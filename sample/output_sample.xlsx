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개요" sheetId="1" state="visible" r:id="rId3"/>
    <sheet name="02_예산총괄" sheetId="2" state="visible" r:id="rId4"/>
    <sheet name="03_세부예산" sheetId="3" state="visible" r:id="rId5"/>
    <sheet name="04_참여기관_분담내역" sheetId="4" state="visible" r:id="rId6"/>
    <sheet name="05_지역별_배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<sst xmlns="http://schemas.openxmlformats.org/spreadsheetml/2006/main" count="71" uniqueCount="57">
  <si>
    <r>
      <rPr>
        <b val="true"/>
        <sz val="14"/>
        <rFont val="맑은 고딕"/>
        <family val="0"/>
        <charset val="1"/>
      </rPr>
      <t xml:space="preserve">2027 AI </t>
    </r>
    <r>
      <rPr>
        <b val="true"/>
        <sz val="14"/>
        <rFont val="Noto Sans CJK SC"/>
        <family val="2"/>
      </rPr>
      <t xml:space="preserve">활용 선도교사 연수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예시권역</t>
    </r>
    <r>
      <rPr>
        <b val="true"/>
        <sz val="14"/>
        <rFont val="맑은 고딕"/>
        <family val="0"/>
        <charset val="1"/>
      </rPr>
      <t xml:space="preserve">)</t>
    </r>
  </si>
  <si>
    <t xml:space="preserve">권역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</si>
  <si>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권역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대전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세종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충북</t>
    </r>
    <r>
      <rPr>
        <sz val="11"/>
        <color theme="1"/>
        <rFont val="Calibri"/>
        <family val="2"/>
        <charset val="1"/>
      </rPr>
      <t xml:space="preserve">)</t>
    </r>
  </si>
  <si>
    <t xml:space="preserve">주관기관</t>
  </si>
  <si>
    <r>
      <rPr>
        <sz val="11"/>
        <color theme="1"/>
        <rFont val="Calibri"/>
        <family val="2"/>
        <charset val="1"/>
      </rPr>
      <t xml:space="preserve">OO</t>
    </r>
    <r>
      <rPr>
        <sz val="11"/>
        <color theme="1"/>
        <rFont val="Noto Sans CJK SC"/>
        <family val="2"/>
      </rPr>
      <t xml:space="preserve">대학교</t>
    </r>
  </si>
  <si>
    <t xml:space="preserve">사업기간</t>
  </si>
  <si>
    <t xml:space="preserve">2027-07-01 ~ 2027-08-31</t>
  </si>
  <si>
    <r>
      <rPr>
        <b val="true"/>
        <sz val="11"/>
        <rFont val="Noto Sans CJK SC"/>
        <family val="2"/>
      </rPr>
      <t xml:space="preserve">총사업비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</si>
  <si>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t xml:space="preserve">참여기관 수</t>
  </si>
  <si>
    <t xml:space="preserve">예산 총괄</t>
  </si>
  <si>
    <t xml:space="preserve">카테고리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</si>
  <si>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</si>
  <si>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비중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</si>
  <si>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인건비</t>
  </si>
  <si>
    <t xml:space="preserve">강사료</t>
  </si>
  <si>
    <t xml:space="preserve">콘텐츠개발비</t>
  </si>
  <si>
    <t xml:space="preserve">운영비</t>
  </si>
  <si>
    <t xml:space="preserve">관리비</t>
  </si>
  <si>
    <t xml:space="preserve">합계</t>
  </si>
  <si>
    <r>
      <rPr>
        <i val="true"/>
        <sz val="11"/>
        <rFont val="Noto Sans CJK SC"/>
        <family val="2"/>
      </rPr>
      <t xml:space="preserve">검증</t>
    </r>
    <r>
      <rPr>
        <i val="true"/>
        <sz val="11"/>
        <rFont val="맑은 고딕"/>
        <family val="0"/>
        <charset val="1"/>
      </rPr>
      <t xml:space="preserve">: </t>
    </r>
    <r>
      <rPr>
        <i val="true"/>
        <sz val="11"/>
        <rFont val="Noto Sans CJK SC"/>
        <family val="2"/>
      </rPr>
      <t xml:space="preserve">총사업비 대비 차액</t>
    </r>
    <r>
      <rPr>
        <i val="true"/>
        <sz val="11"/>
        <rFont val="맑은 고딕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원</t>
    </r>
    <r>
      <rPr>
        <i val="true"/>
        <sz val="11"/>
        <rFont val="맑은 고딕"/>
        <family val="0"/>
        <charset val="1"/>
      </rPr>
      <t xml:space="preserve">)</t>
    </r>
  </si>
  <si>
    <t xml:space="preserve">세부항목</t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</si>
  <si>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</si>
  <si>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수량</t>
  </si>
  <si>
    <t xml:space="preserve">횟수</t>
  </si>
  <si>
    <t xml:space="preserve">비고</t>
  </si>
  <si>
    <r>
      <rPr>
        <sz val="11"/>
        <color theme="1"/>
        <rFont val="Noto Sans CJK SC"/>
        <family val="2"/>
      </rPr>
      <t xml:space="preserve">사업총괄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인</t>
    </r>
  </si>
  <si>
    <r>
      <rPr>
        <sz val="11"/>
        <color theme="1"/>
        <rFont val="Noto Sans CJK SC"/>
        <family val="2"/>
      </rPr>
      <t xml:space="preserve">운영보조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인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</si>
  <si>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활용 강사료</t>
    </r>
  </si>
  <si>
    <t xml:space="preserve">특강 강사료</t>
  </si>
  <si>
    <r>
      <rPr>
        <sz val="11"/>
        <color theme="1"/>
        <rFont val="Calibri"/>
        <family val="2"/>
        <charset val="1"/>
      </rPr>
      <t xml:space="preserve">AIDT </t>
    </r>
    <r>
      <rPr>
        <sz val="11"/>
        <color theme="1"/>
        <rFont val="Noto Sans CJK SC"/>
        <family val="2"/>
      </rPr>
      <t xml:space="preserve">연계 콘텐츠 제작</t>
    </r>
  </si>
  <si>
    <r>
      <rPr>
        <sz val="11"/>
        <color theme="1"/>
        <rFont val="Noto Sans CJK SC"/>
        <family val="2"/>
      </rPr>
      <t xml:space="preserve">교재 편집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인쇄</t>
    </r>
  </si>
  <si>
    <t xml:space="preserve">장소 대관</t>
  </si>
  <si>
    <r>
      <rPr>
        <sz val="11"/>
        <color theme="1"/>
        <rFont val="Noto Sans CJK SC"/>
        <family val="2"/>
      </rPr>
      <t xml:space="preserve">다과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식비</t>
    </r>
  </si>
  <si>
    <r>
      <rPr>
        <sz val="11"/>
        <color theme="1"/>
        <rFont val="Noto Sans CJK SC"/>
        <family val="2"/>
      </rPr>
      <t xml:space="preserve">행정 관리비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간접</t>
    </r>
    <r>
      <rPr>
        <sz val="11"/>
        <color theme="1"/>
        <rFont val="Calibri"/>
        <family val="2"/>
        <charset val="1"/>
      </rPr>
      <t xml:space="preserve">)</t>
    </r>
  </si>
  <si>
    <t xml:space="preserve">참여기관별 분담 내역</t>
  </si>
  <si>
    <t xml:space="preserve">참여기관</t>
  </si>
  <si>
    <r>
      <rPr>
        <b val="true"/>
        <sz val="11"/>
        <color rgb="FFFFFFFF"/>
        <rFont val="Noto Sans CJK SC"/>
        <family val="2"/>
      </rPr>
      <t xml:space="preserve">분담률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</si>
  <si>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r>
      <rPr>
        <b val="true"/>
        <sz val="11"/>
        <color rgb="FFFFFFFF"/>
        <rFont val="Noto Sans CJK SC"/>
        <family val="2"/>
      </rPr>
      <t xml:space="preserve">분담금액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</si>
  <si>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역할</t>
  </si>
  <si>
    <t xml:space="preserve">총괄 주관</t>
  </si>
  <si>
    <t xml:space="preserve">비상교육</t>
  </si>
  <si>
    <r>
      <rPr>
        <sz val="11"/>
        <color theme="1"/>
        <rFont val="Noto Sans CJK SC"/>
        <family val="2"/>
      </rPr>
      <t xml:space="preserve">콘텐츠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플랫폼 운영</t>
    </r>
  </si>
  <si>
    <t xml:space="preserve">△△교육청</t>
  </si>
  <si>
    <r>
      <rPr>
        <sz val="11"/>
        <color theme="1"/>
        <rFont val="Noto Sans CJK SC"/>
        <family val="2"/>
      </rPr>
      <t xml:space="preserve">현장 연계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홍보</t>
    </r>
  </si>
  <si>
    <t xml:space="preserve">□□연구원</t>
  </si>
  <si>
    <r>
      <rPr>
        <sz val="11"/>
        <color theme="1"/>
        <rFont val="Noto Sans CJK SC"/>
        <family val="2"/>
      </rPr>
      <t xml:space="preserve">연구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평가</t>
    </r>
  </si>
  <si>
    <t xml:space="preserve">지역별 배분</t>
  </si>
  <si>
    <t xml:space="preserve">지역코드</t>
  </si>
  <si>
    <t xml:space="preserve">지역명</t>
  </si>
  <si>
    <t xml:space="preserve">참여교사수</t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</si>
  <si>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인당 배정예산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</si>
  <si>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30</t>
  </si>
  <si>
    <t xml:space="preserve">대전</t>
  </si>
  <si>
    <t xml:space="preserve">36</t>
  </si>
  <si>
    <t xml:space="preserve">세종</t>
  </si>
  <si>
    <t xml:space="preserve">43</t>
  </si>
  <si>
    <t xml:space="preserve">충북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</si>
</sst>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name val="맑은 고딕"/>
      <family val="0"/>
      <charset val="1"/>
    </font>
    <font>
      <sz val="11"/>
      <color rgb="FF0000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11"/>
      <color rgb="FF000000"/>
      <name val="맑은 고딕"/>
      <family val="0"/>
      <charset val="1"/>
    </font>
    <font>
      <i val="true"/>
      <sz val="11"/>
      <name val="Noto Sans CJK SC"/>
      <family val="2"/>
    </font>
    <font>
      <i val="true"/>
      <sz val="11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4" min="3" style="0" width="15"/>
  </cols>
  <sheetData>
    <row r="1" customFormat="false" ht="21.6" hidden="false" customHeight="false" outlineLevel="0" collapsed="false">
      <c r="A1" s="1" t="s">
        <v>0</v>
      </c>
      <c r="B1" s="1"/>
      <c r="C1" s="1"/>
      <c r="D1" s="1"/>
    </row>
    <row r="3" customFormat="false" ht="17.15" hidden="false" customHeight="false" outlineLevel="0" collapsed="false">
      <c r="A3" s="2" t="s">
        <v>1</v>
      </c>
      <c r="B3" s="3" t="s">
        <v>2</v>
      </c>
    </row>
    <row r="4" customFormat="false" ht="17.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7.15" hidden="false" customHeight="false" outlineLevel="0" collapsed="false">
      <c r="A6" s="2" t="s">
        <v>7</v>
      </c>
      <c r="B6" s="4" t="n">
        <v>450000000</v>
      </c>
    </row>
    <row r="7" customFormat="false" ht="15" hidden="false" customHeight="false" outlineLevel="0" collapsed="false">
      <c r="A7" s="2" t="s">
        <v>8</v>
      </c>
      <c r="B7" s="0" t="n">
        <v>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5" t="s">
        <v>9</v>
      </c>
      <c r="B1" s="5"/>
      <c r="C1" s="5"/>
    </row>
    <row r="3" customFormat="false" ht="17.15" hidden="false" customHeight="false" outlineLevel="0" collapsed="false">
      <c r="A3" s="6" t="s">
        <v>10</v>
      </c>
      <c r="B3" s="6" t="s">
        <v>11</v>
      </c>
      <c r="C3" s="6" t="s">
        <v>12</v>
      </c>
    </row>
    <row r="4" customFormat="false" ht="15" hidden="false" customHeight="false" outlineLevel="0" collapsed="false">
      <c r="A4" s="7" t="s">
        <v>13</v>
      </c>
      <c r="B4" s="8" t="n">
        <f aca="false">SUM(03_세부예산!F2:F3)</f>
        <v>18000000</v>
      </c>
      <c r="C4" s="9" t="n">
        <f aca="false">B4/$B$9</f>
        <v>0.228426395939086</v>
      </c>
    </row>
    <row r="5" customFormat="false" ht="15" hidden="false" customHeight="false" outlineLevel="0" collapsed="false">
      <c r="A5" s="7" t="s">
        <v>14</v>
      </c>
      <c r="B5" s="8" t="n">
        <f aca="false">SUM(03_세부예산!F4:F5)</f>
        <v>26000000</v>
      </c>
      <c r="C5" s="9" t="n">
        <f aca="false">B5/$B$9</f>
        <v>0.32994923857868</v>
      </c>
    </row>
    <row r="6" customFormat="false" ht="15" hidden="false" customHeight="false" outlineLevel="0" collapsed="false">
      <c r="A6" s="7" t="s">
        <v>15</v>
      </c>
      <c r="B6" s="8" t="n">
        <f aca="false">SUM(03_세부예산!F6:F7)</f>
        <v>19000000</v>
      </c>
      <c r="C6" s="9" t="n">
        <f aca="false">B6/$B$9</f>
        <v>0.241116751269036</v>
      </c>
    </row>
    <row r="7" customFormat="false" ht="15" hidden="false" customHeight="false" outlineLevel="0" collapsed="false">
      <c r="A7" s="7" t="s">
        <v>16</v>
      </c>
      <c r="B7" s="8" t="n">
        <f aca="false">SUM(03_세부예산!F8:F9)</f>
        <v>10800000</v>
      </c>
      <c r="C7" s="9" t="n">
        <f aca="false">B7/$B$9</f>
        <v>0.137055837563452</v>
      </c>
    </row>
    <row r="8" customFormat="false" ht="15" hidden="false" customHeight="false" outlineLevel="0" collapsed="false">
      <c r="A8" s="7" t="s">
        <v>17</v>
      </c>
      <c r="B8" s="8" t="n">
        <f aca="false">SUM(03_세부예산!F10:F10)</f>
        <v>5000000</v>
      </c>
      <c r="C8" s="9" t="n">
        <f aca="false">B8/$B$9</f>
        <v>0.0634517766497462</v>
      </c>
    </row>
    <row r="9" customFormat="false" ht="15" hidden="false" customHeight="false" outlineLevel="0" collapsed="false">
      <c r="A9" s="10" t="s">
        <v>18</v>
      </c>
      <c r="B9" s="11" t="n">
        <f aca="false">SUM(B4:B8)</f>
        <v>78800000</v>
      </c>
      <c r="C9" s="7"/>
    </row>
    <row r="11" customFormat="false" ht="17.15" hidden="false" customHeight="false" outlineLevel="0" collapsed="false">
      <c r="A11" s="12" t="s">
        <v>19</v>
      </c>
      <c r="B11" s="13" t="n">
        <f aca="false">01_개요!B6-B9</f>
        <v>371200000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6" t="s">
        <v>10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11</v>
      </c>
      <c r="G1" s="6" t="s">
        <v>24</v>
      </c>
    </row>
    <row r="2" customFormat="false" ht="17.15" hidden="false" customHeight="false" outlineLevel="0" collapsed="false">
      <c r="A2" s="7" t="s">
        <v>13</v>
      </c>
      <c r="B2" s="7" t="s">
        <v>25</v>
      </c>
      <c r="C2" s="14" t="n">
        <v>4000000</v>
      </c>
      <c r="D2" s="15" t="n">
        <v>1</v>
      </c>
      <c r="E2" s="15" t="n">
        <v>2</v>
      </c>
      <c r="F2" s="8" t="n">
        <f aca="false">C2*D2*E2</f>
        <v>8000000</v>
      </c>
      <c r="G2" s="7"/>
    </row>
    <row r="3" customFormat="false" ht="17.15" hidden="false" customHeight="false" outlineLevel="0" collapsed="false">
      <c r="A3" s="7" t="s">
        <v>13</v>
      </c>
      <c r="B3" s="7" t="s">
        <v>26</v>
      </c>
      <c r="C3" s="14" t="n">
        <v>2500000</v>
      </c>
      <c r="D3" s="15" t="n">
        <v>2</v>
      </c>
      <c r="E3" s="15" t="n">
        <v>2</v>
      </c>
      <c r="F3" s="8" t="n">
        <f aca="false">C3*D3*E3</f>
        <v>10000000</v>
      </c>
      <c r="G3" s="7"/>
    </row>
    <row r="4" customFormat="false" ht="17.15" hidden="false" customHeight="false" outlineLevel="0" collapsed="false">
      <c r="A4" s="7" t="s">
        <v>14</v>
      </c>
      <c r="B4" s="16" t="s">
        <v>27</v>
      </c>
      <c r="C4" s="14" t="n">
        <v>300000</v>
      </c>
      <c r="D4" s="15" t="n">
        <v>20</v>
      </c>
      <c r="E4" s="15" t="n">
        <v>4</v>
      </c>
      <c r="F4" s="8" t="n">
        <f aca="false">C4*D4*E4</f>
        <v>24000000</v>
      </c>
      <c r="G4" s="16"/>
    </row>
    <row r="5" customFormat="false" ht="15" hidden="false" customHeight="false" outlineLevel="0" collapsed="false">
      <c r="A5" s="7" t="s">
        <v>14</v>
      </c>
      <c r="B5" s="7" t="s">
        <v>28</v>
      </c>
      <c r="C5" s="14" t="n">
        <v>500000</v>
      </c>
      <c r="D5" s="15" t="n">
        <v>4</v>
      </c>
      <c r="E5" s="15" t="n">
        <v>1</v>
      </c>
      <c r="F5" s="8" t="n">
        <f aca="false">C5*D5*E5</f>
        <v>2000000</v>
      </c>
      <c r="G5" s="16"/>
    </row>
    <row r="6" customFormat="false" ht="17.15" hidden="false" customHeight="false" outlineLevel="0" collapsed="false">
      <c r="A6" s="7" t="s">
        <v>15</v>
      </c>
      <c r="B6" s="16" t="s">
        <v>29</v>
      </c>
      <c r="C6" s="14" t="n">
        <v>15000000</v>
      </c>
      <c r="D6" s="15" t="n">
        <v>1</v>
      </c>
      <c r="E6" s="15" t="n">
        <v>1</v>
      </c>
      <c r="F6" s="8" t="n">
        <f aca="false">C6*D6*E6</f>
        <v>15000000</v>
      </c>
      <c r="G6" s="16"/>
    </row>
    <row r="7" customFormat="false" ht="17.15" hidden="false" customHeight="false" outlineLevel="0" collapsed="false">
      <c r="A7" s="7" t="s">
        <v>15</v>
      </c>
      <c r="B7" s="7" t="s">
        <v>30</v>
      </c>
      <c r="C7" s="14" t="n">
        <v>8000</v>
      </c>
      <c r="D7" s="15" t="n">
        <v>500</v>
      </c>
      <c r="E7" s="15" t="n">
        <v>1</v>
      </c>
      <c r="F7" s="8" t="n">
        <f aca="false">C7*D7*E7</f>
        <v>4000000</v>
      </c>
      <c r="G7" s="16"/>
    </row>
    <row r="8" customFormat="false" ht="15" hidden="false" customHeight="false" outlineLevel="0" collapsed="false">
      <c r="A8" s="7" t="s">
        <v>16</v>
      </c>
      <c r="B8" s="7" t="s">
        <v>31</v>
      </c>
      <c r="C8" s="14" t="n">
        <v>1200000</v>
      </c>
      <c r="D8" s="15" t="n">
        <v>4</v>
      </c>
      <c r="E8" s="15" t="n">
        <v>1</v>
      </c>
      <c r="F8" s="8" t="n">
        <f aca="false">C8*D8*E8</f>
        <v>4800000</v>
      </c>
      <c r="G8" s="16"/>
    </row>
    <row r="9" customFormat="false" ht="17.15" hidden="false" customHeight="false" outlineLevel="0" collapsed="false">
      <c r="A9" s="7" t="s">
        <v>16</v>
      </c>
      <c r="B9" s="7" t="s">
        <v>32</v>
      </c>
      <c r="C9" s="14" t="n">
        <v>12000</v>
      </c>
      <c r="D9" s="15" t="n">
        <v>500</v>
      </c>
      <c r="E9" s="15" t="n">
        <v>1</v>
      </c>
      <c r="F9" s="8" t="n">
        <f aca="false">C9*D9*E9</f>
        <v>6000000</v>
      </c>
      <c r="G9" s="16"/>
    </row>
    <row r="10" customFormat="false" ht="17.15" hidden="false" customHeight="false" outlineLevel="0" collapsed="false">
      <c r="A10" s="7" t="s">
        <v>17</v>
      </c>
      <c r="B10" s="7" t="s">
        <v>33</v>
      </c>
      <c r="C10" s="14" t="n">
        <v>5000000</v>
      </c>
      <c r="D10" s="15" t="n">
        <v>1</v>
      </c>
      <c r="E10" s="15" t="n">
        <v>1</v>
      </c>
      <c r="F10" s="8" t="n">
        <f aca="false">C10*D10*E10</f>
        <v>5000000</v>
      </c>
      <c r="G1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5" t="s">
        <v>34</v>
      </c>
      <c r="B1" s="5"/>
      <c r="C1" s="5"/>
      <c r="D1" s="5"/>
    </row>
    <row r="3" customFormat="false" ht="17.15" hidden="false" customHeight="false" outlineLevel="0" collapsed="false">
      <c r="A3" s="6" t="s">
        <v>35</v>
      </c>
      <c r="B3" s="6" t="s">
        <v>36</v>
      </c>
      <c r="C3" s="6" t="s">
        <v>37</v>
      </c>
      <c r="D3" s="6" t="s">
        <v>38</v>
      </c>
    </row>
    <row r="4" customFormat="false" ht="17.15" hidden="false" customHeight="false" outlineLevel="0" collapsed="false">
      <c r="A4" s="16" t="s">
        <v>4</v>
      </c>
      <c r="B4" s="17" t="n">
        <v>0.4</v>
      </c>
      <c r="C4" s="8" t="n">
        <f aca="false">B4*02_예산총괄!$B$9</f>
        <v>31520000</v>
      </c>
      <c r="D4" s="7" t="s">
        <v>39</v>
      </c>
    </row>
    <row r="5" customFormat="false" ht="17.15" hidden="false" customHeight="false" outlineLevel="0" collapsed="false">
      <c r="A5" s="7" t="s">
        <v>40</v>
      </c>
      <c r="B5" s="17" t="n">
        <v>0.18</v>
      </c>
      <c r="C5" s="8" t="n">
        <f aca="false">B5*02_예산총괄!$B$9</f>
        <v>14184000</v>
      </c>
      <c r="D5" s="7" t="s">
        <v>41</v>
      </c>
    </row>
    <row r="6" customFormat="false" ht="17.15" hidden="false" customHeight="false" outlineLevel="0" collapsed="false">
      <c r="A6" s="7" t="s">
        <v>42</v>
      </c>
      <c r="B6" s="17" t="n">
        <v>0.22</v>
      </c>
      <c r="C6" s="8" t="n">
        <f aca="false">B6*02_예산총괄!$B$9</f>
        <v>17336000</v>
      </c>
      <c r="D6" s="7" t="s">
        <v>43</v>
      </c>
    </row>
    <row r="7" customFormat="false" ht="17.15" hidden="false" customHeight="false" outlineLevel="0" collapsed="false">
      <c r="A7" s="7" t="s">
        <v>44</v>
      </c>
      <c r="B7" s="17" t="n">
        <v>0.2</v>
      </c>
      <c r="C7" s="8" t="n">
        <f aca="false">B7*02_예산총괄!$B$9</f>
        <v>15760000</v>
      </c>
      <c r="D7" s="7" t="s">
        <v>45</v>
      </c>
    </row>
    <row r="8" customFormat="false" ht="15" hidden="false" customHeight="false" outlineLevel="0" collapsed="false">
      <c r="A8" s="2" t="s">
        <v>18</v>
      </c>
      <c r="B8" s="18" t="n">
        <f aca="false">SUM(B4:B7)</f>
        <v>1</v>
      </c>
      <c r="C8" s="13" t="n">
        <f aca="false">SUM(C4:C7)</f>
        <v>78800000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5" t="s">
        <v>46</v>
      </c>
      <c r="B1" s="5"/>
      <c r="C1" s="5"/>
      <c r="D1" s="5"/>
    </row>
    <row r="3" customFormat="false" ht="17.15" hidden="false" customHeight="false" outlineLevel="0" collapsed="false">
      <c r="A3" s="6" t="s">
        <v>47</v>
      </c>
      <c r="B3" s="6" t="s">
        <v>48</v>
      </c>
      <c r="C3" s="6" t="s">
        <v>49</v>
      </c>
      <c r="D3" s="19" t="s">
        <v>50</v>
      </c>
    </row>
    <row r="4" customFormat="false" ht="15" hidden="false" customHeight="false" outlineLevel="0" collapsed="false">
      <c r="A4" s="0" t="s">
        <v>51</v>
      </c>
      <c r="B4" s="20" t="s">
        <v>52</v>
      </c>
      <c r="C4" s="21" t="n">
        <v>150</v>
      </c>
      <c r="D4" s="13" t="n">
        <f aca="false">02_예산총괄!$B$9/$C$7</f>
        <v>157600</v>
      </c>
    </row>
    <row r="5" customFormat="false" ht="15" hidden="false" customHeight="false" outlineLevel="0" collapsed="false">
      <c r="A5" s="0" t="s">
        <v>53</v>
      </c>
      <c r="B5" s="20" t="s">
        <v>54</v>
      </c>
      <c r="C5" s="21" t="n">
        <v>80</v>
      </c>
      <c r="D5" s="13" t="n">
        <f aca="false">02_예산총괄!$B$9/$C$7</f>
        <v>157600</v>
      </c>
    </row>
    <row r="6" customFormat="false" ht="15" hidden="false" customHeight="false" outlineLevel="0" collapsed="false">
      <c r="A6" s="0" t="s">
        <v>55</v>
      </c>
      <c r="B6" s="20" t="s">
        <v>56</v>
      </c>
      <c r="C6" s="21" t="n">
        <v>270</v>
      </c>
      <c r="D6" s="13" t="n">
        <f aca="false">02_예산총괄!$B$9/$C$7</f>
        <v>157600</v>
      </c>
    </row>
    <row r="7" customFormat="false" ht="15" hidden="false" customHeight="false" outlineLevel="0" collapsed="false">
      <c r="B7" s="2" t="s">
        <v>18</v>
      </c>
      <c r="C7" s="3" t="n">
        <f aca="false">SUM(C4:C6)</f>
        <v>500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2026-07-01T12:56:34Z</dcterms:created>
  <dc:creator>openpyxl</dc:creator>
  <dc:description/>
  <dc:language>en-US</dc:language>
  <cp:lastModifiedBy/>
  <dcterms:modified xsi:type="dcterms:W3CDTF">2026-07-01T12:56:34Z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