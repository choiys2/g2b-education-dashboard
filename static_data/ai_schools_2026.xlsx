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도별 현황" sheetId="1" state="visible" r:id="rId3"/>
    <sheet name="AI 중점학교" sheetId="2" state="visible" r:id="rId4"/>
    <sheet name="AI·디지털 선도학교" sheetId="3" state="visible" r:id="rId5"/>
  </sheets>
  <definedNames>
    <definedName function="false" hidden="true" localSheetId="1" name="_xlnm._FilterDatabase" vbProcedure="false">'AI 중점학교'!$A$4:$S$989</definedName>
    <definedName function="false" hidden="true" localSheetId="2" name="_xlnm._FilterDatabase" vbProcedure="false">'AI·디지털 선도학교'!$A$4:$S$1058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<sst xmlns="http://schemas.openxmlformats.org/spreadsheetml/2006/main" count="20877" uniqueCount="7908">
  <si>
    <r>
      <rPr>
        <b val="true"/>
        <sz val="14"/>
        <color rgb="FF1F3864"/>
        <rFont val="맑은 고딕"/>
        <family val="0"/>
        <charset val="1"/>
      </rPr>
      <t xml:space="preserve">2026 </t>
    </r>
    <r>
      <rPr>
        <b val="true"/>
        <sz val="14"/>
        <color rgb="FF1F3864"/>
        <rFont val="Noto Sans CJK SC"/>
        <family val="2"/>
      </rPr>
      <t xml:space="preserve">전국 </t>
    </r>
    <r>
      <rPr>
        <b val="true"/>
        <sz val="14"/>
        <color rgb="FF1F3864"/>
        <rFont val="맑은 고딕"/>
        <family val="0"/>
        <charset val="1"/>
      </rPr>
      <t xml:space="preserve">AI </t>
    </r>
    <r>
      <rPr>
        <b val="true"/>
        <sz val="14"/>
        <color rgb="FF1F3864"/>
        <rFont val="Noto Sans CJK SC"/>
        <family val="2"/>
      </rPr>
      <t xml:space="preserve">중점학교 </t>
    </r>
    <r>
      <rPr>
        <b val="true"/>
        <sz val="14"/>
        <color rgb="FF1F3864"/>
        <rFont val="맑은 고딕"/>
        <family val="0"/>
        <charset val="1"/>
      </rPr>
      <t xml:space="preserve">· AI·</t>
    </r>
    <r>
      <rPr>
        <b val="true"/>
        <sz val="14"/>
        <color rgb="FF1F3864"/>
        <rFont val="Noto Sans CJK SC"/>
        <family val="2"/>
      </rPr>
      <t xml:space="preserve">디지털 활용 선도학교 — 시도별 공개</t>
    </r>
    <r>
      <rPr>
        <b val="true"/>
        <sz val="14"/>
        <color rgb="FF1F3864"/>
        <rFont val="맑은 고딕"/>
        <family val="0"/>
        <charset val="1"/>
      </rPr>
      <t xml:space="preserve">·</t>
    </r>
    <r>
      <rPr>
        <b val="true"/>
        <sz val="14"/>
        <color rgb="FF1F3864"/>
        <rFont val="Noto Sans CJK SC"/>
        <family val="2"/>
      </rPr>
      <t xml:space="preserve">확보 현황</t>
    </r>
  </si>
  <si>
    <r>
      <rPr>
        <sz val="9"/>
        <color rgb="FF595959"/>
        <rFont val="Noto Sans CJK SC"/>
        <family val="2"/>
      </rPr>
      <t xml:space="preserve">확보 수는 명단 탭을 </t>
    </r>
    <r>
      <rPr>
        <sz val="9"/>
        <color rgb="FF595959"/>
        <rFont val="맑은 고딕"/>
        <family val="0"/>
        <charset val="1"/>
      </rPr>
      <t xml:space="preserve">COUNTIFS</t>
    </r>
    <r>
      <rPr>
        <sz val="9"/>
        <color rgb="FF595959"/>
        <rFont val="Noto Sans CJK SC"/>
        <family val="2"/>
      </rPr>
      <t xml:space="preserve">로 집계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명단 수정 시 자동 반영</t>
    </r>
    <r>
      <rPr>
        <sz val="9"/>
        <color rgb="FF595959"/>
        <rFont val="맑은 고딕"/>
        <family val="0"/>
        <charset val="1"/>
      </rPr>
      <t xml:space="preserve">). </t>
    </r>
    <r>
      <rPr>
        <sz val="9"/>
        <color rgb="FF595959"/>
        <rFont val="Noto Sans CJK SC"/>
        <family val="2"/>
      </rPr>
      <t xml:space="preserve">교육부 지정 수는 </t>
    </r>
    <r>
      <rPr>
        <sz val="9"/>
        <color rgb="FF595959"/>
        <rFont val="맑은 고딕"/>
        <family val="0"/>
        <charset val="1"/>
      </rPr>
      <t xml:space="preserve">2026 AI </t>
    </r>
    <r>
      <rPr>
        <sz val="9"/>
        <color rgb="FF595959"/>
        <rFont val="Noto Sans CJK SC"/>
        <family val="2"/>
      </rPr>
      <t xml:space="preserve">중점학교 교육부 발표 시도별 수치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미공개 시도는 붉은 칸</t>
    </r>
    <r>
      <rPr>
        <sz val="9"/>
        <color rgb="FF595959"/>
        <rFont val="맑은 고딕"/>
        <family val="0"/>
        <charset val="1"/>
      </rPr>
      <t xml:space="preserve">.</t>
    </r>
  </si>
  <si>
    <t xml:space="preserve">① 시도별 현황표</t>
  </si>
  <si>
    <t xml:space="preserve">시도</t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</si>
  <si>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Noto Sans CJK SC"/>
        <family val="2"/>
      </rPr>
      <t xml:space="preserve">교육부 지정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</si>
  <si>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Noto Sans CJK SC"/>
        <family val="2"/>
      </rPr>
      <t xml:space="preserve">확보</t>
    </r>
  </si>
  <si>
    <t xml:space="preserve">확보율</t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</si>
  <si>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Noto Sans CJK SC"/>
        <family val="2"/>
      </rPr>
      <t xml:space="preserve">명단</t>
    </r>
  </si>
  <si>
    <t xml:space="preserve">디지털 발표 수</t>
  </si>
  <si>
    <t xml:space="preserve">디지털 확보</t>
  </si>
  <si>
    <t xml:space="preserve">디지털 명단</t>
  </si>
  <si>
    <r>
      <rPr>
        <b val="true"/>
        <sz val="10"/>
        <color rgb="FFFFFFFF"/>
        <rFont val="Noto Sans CJK SC"/>
        <family val="2"/>
      </rPr>
      <t xml:space="preserve">합계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확보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</si>
  <si>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비고</t>
  </si>
  <si>
    <t xml:space="preserve">서울</t>
  </si>
  <si>
    <t xml:space="preserve">공개</t>
  </si>
  <si>
    <t xml:space="preserve">-</t>
  </si>
  <si>
    <t xml:space="preserve">부산</t>
  </si>
  <si>
    <t xml:space="preserve">대구</t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</si>
  <si>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유형</t>
    </r>
    <r>
      <rPr>
        <sz val="10"/>
        <rFont val="맑은 고딕"/>
        <family val="0"/>
        <charset val="1"/>
      </rPr>
      <t xml:space="preserve">1·2·3(</t>
    </r>
    <r>
      <rPr>
        <sz val="10"/>
        <rFont val="Noto Sans CJK SC"/>
        <family val="2"/>
      </rPr>
      <t xml:space="preserve">대구 자체 분류</t>
    </r>
    <r>
      <rPr>
        <sz val="10"/>
        <rFont val="맑은 고딕"/>
        <family val="0"/>
        <charset val="1"/>
      </rPr>
      <t xml:space="preserve">)</t>
    </r>
  </si>
  <si>
    <t xml:space="preserve">인천</t>
  </si>
  <si>
    <r>
      <rPr>
        <sz val="10"/>
        <rFont val="Noto Sans CJK SC"/>
        <family val="2"/>
      </rPr>
      <t xml:space="preserve">디지털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연구학교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교 포함</t>
    </r>
  </si>
  <si>
    <t xml:space="preserve">광주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</si>
  <si>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전남광주 통합 – 나이스 주소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관할청 표기 기준</t>
    </r>
  </si>
  <si>
    <t xml:space="preserve">대전</t>
  </si>
  <si>
    <r>
      <rPr>
        <sz val="10"/>
        <rFont val="맑은 고딕"/>
        <family val="0"/>
        <charset val="1"/>
      </rPr>
      <t xml:space="preserve">AI: </t>
    </r>
    <r>
      <rPr>
        <sz val="10"/>
        <rFont val="Noto Sans CJK SC"/>
        <family val="2"/>
      </rPr>
      <t xml:space="preserve">교육부 </t>
    </r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교 중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교 확인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디지털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연구학교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교 포함</t>
    </r>
  </si>
  <si>
    <t xml:space="preserve">울산</t>
  </si>
  <si>
    <t xml:space="preserve">세종</t>
  </si>
  <si>
    <t xml:space="preserve">미공개</t>
  </si>
  <si>
    <r>
      <rPr>
        <sz val="10"/>
        <rFont val="맑은 고딕"/>
        <family val="0"/>
        <charset val="1"/>
      </rPr>
      <t xml:space="preserve">AI·</t>
    </r>
    <r>
      <rPr>
        <sz val="10"/>
        <rFont val="Noto Sans CJK SC"/>
        <family val="2"/>
      </rPr>
      <t xml:space="preserve">디지털 명단 비공개</t>
    </r>
  </si>
  <si>
    <t xml:space="preserve">경기</t>
  </si>
  <si>
    <r>
      <rPr>
        <sz val="10"/>
        <rFont val="맑은 고딕"/>
        <family val="0"/>
        <charset val="1"/>
      </rPr>
      <t xml:space="preserve">AI 1</t>
    </r>
    <r>
      <rPr>
        <sz val="10"/>
        <rFont val="Noto Sans CJK SC"/>
        <family val="2"/>
      </rPr>
      <t xml:space="preserve">교 운영유형 확인필요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디지털 </t>
    </r>
    <r>
      <rPr>
        <sz val="10"/>
        <rFont val="맑은 고딕"/>
        <family val="0"/>
        <charset val="1"/>
      </rPr>
      <t xml:space="preserve">350</t>
    </r>
    <r>
      <rPr>
        <sz val="10"/>
        <rFont val="Noto Sans CJK SC"/>
        <family val="2"/>
      </rPr>
      <t xml:space="preserve">교 선정 발표됐으나 명단 비공개</t>
    </r>
  </si>
  <si>
    <t xml:space="preserve">강원</t>
  </si>
  <si>
    <t xml:space="preserve">충북</t>
  </si>
  <si>
    <t xml:space="preserve">충남</t>
  </si>
  <si>
    <t xml:space="preserve">전북</t>
  </si>
  <si>
    <t xml:space="preserve">전남</t>
  </si>
  <si>
    <r>
      <rPr>
        <sz val="10"/>
        <rFont val="맑은 고딕"/>
        <family val="0"/>
        <charset val="1"/>
      </rPr>
      <t xml:space="preserve">AI: </t>
    </r>
    <r>
      <rPr>
        <sz val="10"/>
        <rFont val="Noto Sans CJK SC"/>
        <family val="2"/>
      </rPr>
      <t xml:space="preserve">교육청 공개 </t>
    </r>
    <r>
      <rPr>
        <sz val="10"/>
        <rFont val="맑은 고딕"/>
        <family val="0"/>
        <charset val="1"/>
      </rPr>
      <t xml:space="preserve">62</t>
    </r>
    <r>
      <rPr>
        <sz val="10"/>
        <rFont val="Noto Sans CJK SC"/>
        <family val="2"/>
      </rPr>
      <t xml:space="preserve">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교육부 집계 </t>
    </r>
    <r>
      <rPr>
        <sz val="10"/>
        <rFont val="맑은 고딕"/>
        <family val="0"/>
        <charset val="1"/>
      </rPr>
      <t xml:space="preserve">34</t>
    </r>
    <r>
      <rPr>
        <sz val="10"/>
        <rFont val="Noto Sans CJK SC"/>
        <family val="2"/>
      </rPr>
      <t xml:space="preserve">교</t>
    </r>
    <r>
      <rPr>
        <sz val="10"/>
        <rFont val="맑은 고딕"/>
        <family val="0"/>
        <charset val="1"/>
      </rPr>
      <t xml:space="preserve">) – </t>
    </r>
    <r>
      <rPr>
        <sz val="10"/>
        <rFont val="Noto Sans CJK SC"/>
        <family val="2"/>
      </rPr>
      <t xml:space="preserve">교육청 자체 운영교 포함 추정</t>
    </r>
  </si>
  <si>
    <t xml:space="preserve">경북</t>
  </si>
  <si>
    <r>
      <rPr>
        <sz val="10"/>
        <rFont val="맑은 고딕"/>
        <family val="0"/>
        <charset val="1"/>
      </rPr>
      <t xml:space="preserve">AI: </t>
    </r>
    <r>
      <rPr>
        <sz val="10"/>
        <rFont val="Noto Sans CJK SC"/>
        <family val="2"/>
      </rPr>
      <t xml:space="preserve">교육부 </t>
    </r>
    <r>
      <rPr>
        <sz val="10"/>
        <rFont val="맑은 고딕"/>
        <family val="0"/>
        <charset val="1"/>
      </rPr>
      <t xml:space="preserve">85</t>
    </r>
    <r>
      <rPr>
        <sz val="10"/>
        <rFont val="Noto Sans CJK SC"/>
        <family val="2"/>
      </rPr>
      <t xml:space="preserve">교 중 </t>
    </r>
    <r>
      <rPr>
        <sz val="10"/>
        <rFont val="맑은 고딕"/>
        <family val="0"/>
        <charset val="1"/>
      </rPr>
      <t xml:space="preserve">84</t>
    </r>
    <r>
      <rPr>
        <sz val="10"/>
        <rFont val="Noto Sans CJK SC"/>
        <family val="2"/>
      </rPr>
      <t xml:space="preserve">교 확인</t>
    </r>
  </si>
  <si>
    <t xml:space="preserve">경남</t>
  </si>
  <si>
    <t xml:space="preserve">디지털 명단 비공개</t>
  </si>
  <si>
    <t xml:space="preserve">제주</t>
  </si>
  <si>
    <r>
      <rPr>
        <sz val="10"/>
        <rFont val="Noto Sans CJK SC"/>
        <family val="2"/>
      </rPr>
      <t xml:space="preserve">디지털 </t>
    </r>
    <r>
      <rPr>
        <sz val="10"/>
        <rFont val="맑은 고딕"/>
        <family val="0"/>
        <charset val="1"/>
      </rPr>
      <t xml:space="preserve">50</t>
    </r>
    <r>
      <rPr>
        <sz val="10"/>
        <rFont val="Noto Sans CJK SC"/>
        <family val="2"/>
      </rPr>
      <t xml:space="preserve">교 선정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명단 비공개</t>
    </r>
  </si>
  <si>
    <t xml:space="preserve">전국</t>
  </si>
  <si>
    <r>
      <rPr>
        <b val="true"/>
        <sz val="10"/>
        <rFont val="맑은 고딕"/>
        <family val="0"/>
        <charset val="1"/>
      </rPr>
      <t xml:space="preserve">14/17 </t>
    </r>
    <r>
      <rPr>
        <b val="true"/>
        <sz val="10"/>
        <rFont val="Noto Sans CJK SC"/>
        <family val="2"/>
      </rPr>
      <t xml:space="preserve">공개</t>
    </r>
  </si>
  <si>
    <r>
      <rPr>
        <b val="true"/>
        <sz val="10"/>
        <rFont val="맑은 고딕"/>
        <family val="0"/>
        <charset val="1"/>
      </rPr>
      <t xml:space="preserve">11/17 </t>
    </r>
    <r>
      <rPr>
        <b val="true"/>
        <sz val="10"/>
        <rFont val="Noto Sans CJK SC"/>
        <family val="2"/>
      </rPr>
      <t xml:space="preserve">공개</t>
    </r>
  </si>
  <si>
    <r>
      <rPr>
        <b val="true"/>
        <sz val="11"/>
        <color rgb="FF1F3864"/>
        <rFont val="맑은 고딕"/>
        <family val="0"/>
        <charset val="1"/>
      </rPr>
      <t xml:space="preserve">② AI </t>
    </r>
    <r>
      <rPr>
        <b val="true"/>
        <sz val="11"/>
        <color rgb="FF1F3864"/>
        <rFont val="Noto Sans CJK SC"/>
        <family val="2"/>
      </rPr>
      <t xml:space="preserve">중점학교 — 시도 </t>
    </r>
    <r>
      <rPr>
        <b val="true"/>
        <sz val="11"/>
        <color rgb="FF1F3864"/>
        <rFont val="맑은 고딕"/>
        <family val="0"/>
        <charset val="1"/>
      </rPr>
      <t xml:space="preserve">× </t>
    </r>
    <r>
      <rPr>
        <b val="true"/>
        <sz val="11"/>
        <color rgb="FF1F3864"/>
        <rFont val="Noto Sans CJK SC"/>
        <family val="2"/>
      </rPr>
      <t xml:space="preserve">학교급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확보 명단 기준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</si>
  <si>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초</t>
  </si>
  <si>
    <t xml:space="preserve">중</t>
  </si>
  <si>
    <t xml:space="preserve">고</t>
  </si>
  <si>
    <r>
      <rPr>
        <b val="true"/>
        <sz val="10"/>
        <color rgb="FFFFFFFF"/>
        <rFont val="Noto Sans CJK SC"/>
        <family val="2"/>
      </rPr>
      <t xml:space="preserve">특수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기타</t>
    </r>
  </si>
  <si>
    <t xml:space="preserve">계</t>
  </si>
  <si>
    <t xml:space="preserve">타 사업 겸임</t>
  </si>
  <si>
    <r>
      <rPr>
        <b val="true"/>
        <sz val="11"/>
        <color rgb="FF1F3864"/>
        <rFont val="맑은 고딕"/>
        <family val="0"/>
        <charset val="1"/>
      </rPr>
      <t xml:space="preserve">③ AI·</t>
    </r>
    <r>
      <rPr>
        <b val="true"/>
        <sz val="11"/>
        <color rgb="FF1F3864"/>
        <rFont val="Noto Sans CJK SC"/>
        <family val="2"/>
      </rPr>
      <t xml:space="preserve">디지털 선도학교 — 시도 </t>
    </r>
    <r>
      <rPr>
        <b val="true"/>
        <sz val="11"/>
        <color rgb="FF1F3864"/>
        <rFont val="맑은 고딕"/>
        <family val="0"/>
        <charset val="1"/>
      </rPr>
      <t xml:space="preserve">× </t>
    </r>
    <r>
      <rPr>
        <b val="true"/>
        <sz val="11"/>
        <color rgb="FF1F3864"/>
        <rFont val="Noto Sans CJK SC"/>
        <family val="2"/>
      </rPr>
      <t xml:space="preserve">학교급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확보 명단 기준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</si>
  <si>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④ AI </t>
    </r>
    <r>
      <rPr>
        <b val="true"/>
        <sz val="11"/>
        <color rgb="FF1F3864"/>
        <rFont val="Noto Sans CJK SC"/>
        <family val="2"/>
      </rPr>
      <t xml:space="preserve">중점학교 운영 유형별</t>
    </r>
  </si>
  <si>
    <t xml:space="preserve">선도형</t>
  </si>
  <si>
    <t xml:space="preserve">중심형</t>
  </si>
  <si>
    <t xml:space="preserve">문화확산형</t>
  </si>
  <si>
    <r>
      <rPr>
        <b val="true"/>
        <sz val="10"/>
        <color rgb="FFFFFFFF"/>
        <rFont val="Noto Sans CJK SC"/>
        <family val="2"/>
      </rPr>
      <t xml:space="preserve">기타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시도 자체 분류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</si>
  <si>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Noto Sans CJK SC"/>
        <family val="2"/>
      </rPr>
      <t xml:space="preserve">⑤ 영업 진행 현황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명단 탭 진행상태</t>
    </r>
    <r>
      <rPr>
        <b val="true"/>
        <sz val="11"/>
        <color rgb="FF1F3864"/>
        <rFont val="맑은 고딕"/>
        <family val="0"/>
        <charset val="1"/>
      </rPr>
      <t xml:space="preserve">·030 </t>
    </r>
    <r>
      <rPr>
        <b val="true"/>
        <sz val="11"/>
        <color rgb="FF1F3864"/>
        <rFont val="Noto Sans CJK SC"/>
        <family val="2"/>
      </rPr>
      <t xml:space="preserve">가입 입력 시 자동 집계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</si>
  <si>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사업</t>
  </si>
  <si>
    <t xml:space="preserve">미접촉</t>
  </si>
  <si>
    <t xml:space="preserve">접촉</t>
  </si>
  <si>
    <t xml:space="preserve">제안</t>
  </si>
  <si>
    <t xml:space="preserve">협의중</t>
  </si>
  <si>
    <t xml:space="preserve">계약</t>
  </si>
  <si>
    <t xml:space="preserve">보류</t>
  </si>
  <si>
    <r>
      <rPr>
        <b val="true"/>
        <sz val="10"/>
        <color rgb="FFFFFFFF"/>
        <rFont val="맑은 고딕"/>
        <family val="0"/>
        <charset val="1"/>
      </rPr>
      <t xml:space="preserve">030 </t>
    </r>
    <r>
      <rPr>
        <b val="true"/>
        <sz val="10"/>
        <color rgb="FFFFFFFF"/>
        <rFont val="Noto Sans CJK SC"/>
        <family val="2"/>
      </rPr>
      <t xml:space="preserve">가입</t>
    </r>
  </si>
  <si>
    <r>
      <rPr>
        <b val="true"/>
        <sz val="10"/>
        <rFont val="맑은 고딕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중점학교</t>
    </r>
  </si>
  <si>
    <r>
      <rPr>
        <b val="true"/>
        <sz val="10"/>
        <rFont val="맑은 고딕"/>
        <family val="0"/>
        <charset val="1"/>
      </rPr>
      <t xml:space="preserve">AI·</t>
    </r>
    <r>
      <rPr>
        <b val="true"/>
        <sz val="10"/>
        <rFont val="Noto Sans CJK SC"/>
        <family val="2"/>
      </rPr>
      <t xml:space="preserve">디지털 선도학교</t>
    </r>
  </si>
  <si>
    <t xml:space="preserve">참고</t>
  </si>
  <si>
    <r>
      <rPr>
        <sz val="9"/>
        <color rgb="FF404040"/>
        <rFont val="맑은 고딕"/>
        <family val="0"/>
        <charset val="1"/>
      </rPr>
      <t xml:space="preserve">· AI </t>
    </r>
    <r>
      <rPr>
        <sz val="9"/>
        <color rgb="FF404040"/>
        <rFont val="Noto Sans CJK SC"/>
        <family val="2"/>
      </rPr>
      <t xml:space="preserve">중점학교</t>
    </r>
    <r>
      <rPr>
        <sz val="9"/>
        <color rgb="FF404040"/>
        <rFont val="맑은 고딕"/>
        <family val="0"/>
        <charset val="1"/>
      </rPr>
      <t xml:space="preserve">: </t>
    </r>
    <r>
      <rPr>
        <sz val="9"/>
        <color rgb="FF404040"/>
        <rFont val="Noto Sans CJK SC"/>
        <family val="2"/>
      </rPr>
      <t xml:space="preserve">교육부 지정</t>
    </r>
    <r>
      <rPr>
        <sz val="9"/>
        <color rgb="FF404040"/>
        <rFont val="맑은 고딕"/>
        <family val="0"/>
        <charset val="1"/>
      </rPr>
      <t xml:space="preserve">(2026~), </t>
    </r>
    <r>
      <rPr>
        <sz val="9"/>
        <color rgb="FF404040"/>
        <rFont val="Noto Sans CJK SC"/>
        <family val="2"/>
      </rPr>
      <t xml:space="preserve">교육부 발표 전국 </t>
    </r>
    <r>
      <rPr>
        <sz val="9"/>
        <color rgb="FF404040"/>
        <rFont val="맑은 고딕"/>
        <family val="0"/>
        <charset val="1"/>
      </rPr>
      <t xml:space="preserve">1,141</t>
    </r>
    <r>
      <rPr>
        <sz val="9"/>
        <color rgb="FF404040"/>
        <rFont val="Noto Sans CJK SC"/>
        <family val="2"/>
      </rPr>
      <t xml:space="preserve">교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Noto Sans CJK SC"/>
        <family val="2"/>
      </rPr>
      <t xml:space="preserve">시도교육청이 명단을 공개한 </t>
    </r>
    <r>
      <rPr>
        <sz val="9"/>
        <color rgb="FF404040"/>
        <rFont val="맑은 고딕"/>
        <family val="0"/>
        <charset val="1"/>
      </rPr>
      <t xml:space="preserve">14</t>
    </r>
    <r>
      <rPr>
        <sz val="9"/>
        <color rgb="FF404040"/>
        <rFont val="Noto Sans CJK SC"/>
        <family val="2"/>
      </rPr>
      <t xml:space="preserve">개 시도분만 수록</t>
    </r>
    <r>
      <rPr>
        <sz val="9"/>
        <color rgb="FF404040"/>
        <rFont val="맑은 고딕"/>
        <family val="0"/>
        <charset val="1"/>
      </rPr>
      <t xml:space="preserve">(</t>
    </r>
    <r>
      <rPr>
        <sz val="9"/>
        <color rgb="FF404040"/>
        <rFont val="Noto Sans CJK SC"/>
        <family val="2"/>
      </rPr>
      <t xml:space="preserve">세종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강원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충남 미공개</t>
    </r>
    <r>
      <rPr>
        <sz val="9"/>
        <color rgb="FF404040"/>
        <rFont val="맑은 고딕"/>
        <family val="0"/>
        <charset val="1"/>
      </rPr>
      <t xml:space="preserve">).</t>
    </r>
  </si>
  <si>
    <r>
      <rPr>
        <sz val="9"/>
        <color rgb="FF404040"/>
        <rFont val="맑은 고딕"/>
        <family val="0"/>
        <charset val="1"/>
      </rPr>
      <t xml:space="preserve">· AI·</t>
    </r>
    <r>
      <rPr>
        <sz val="9"/>
        <color rgb="FF404040"/>
        <rFont val="Noto Sans CJK SC"/>
        <family val="2"/>
      </rPr>
      <t xml:space="preserve">디지털 활용 선도학교</t>
    </r>
    <r>
      <rPr>
        <sz val="9"/>
        <color rgb="FF404040"/>
        <rFont val="맑은 고딕"/>
        <family val="0"/>
        <charset val="1"/>
      </rPr>
      <t xml:space="preserve">: </t>
    </r>
    <r>
      <rPr>
        <sz val="9"/>
        <color rgb="FF404040"/>
        <rFont val="Noto Sans CJK SC"/>
        <family val="2"/>
      </rPr>
      <t xml:space="preserve">시도교육청 선정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공개분 </t>
    </r>
    <r>
      <rPr>
        <sz val="9"/>
        <color rgb="FF404040"/>
        <rFont val="맑은 고딕"/>
        <family val="0"/>
        <charset val="1"/>
      </rPr>
      <t xml:space="preserve">11</t>
    </r>
    <r>
      <rPr>
        <sz val="9"/>
        <color rgb="FF404040"/>
        <rFont val="Noto Sans CJK SC"/>
        <family val="2"/>
      </rPr>
      <t xml:space="preserve">개 시도 수록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Noto Sans CJK SC"/>
        <family val="2"/>
      </rPr>
      <t xml:space="preserve">경기</t>
    </r>
    <r>
      <rPr>
        <sz val="9"/>
        <color rgb="FF404040"/>
        <rFont val="맑은 고딕"/>
        <family val="0"/>
        <charset val="1"/>
      </rPr>
      <t xml:space="preserve">(350</t>
    </r>
    <r>
      <rPr>
        <sz val="9"/>
        <color rgb="FF404040"/>
        <rFont val="Noto Sans CJK SC"/>
        <family val="2"/>
      </rPr>
      <t xml:space="preserve">교</t>
    </r>
    <r>
      <rPr>
        <sz val="9"/>
        <color rgb="FF404040"/>
        <rFont val="맑은 고딕"/>
        <family val="0"/>
        <charset val="1"/>
      </rPr>
      <t xml:space="preserve">)·</t>
    </r>
    <r>
      <rPr>
        <sz val="9"/>
        <color rgb="FF404040"/>
        <rFont val="Noto Sans CJK SC"/>
        <family val="2"/>
      </rPr>
      <t xml:space="preserve">제주</t>
    </r>
    <r>
      <rPr>
        <sz val="9"/>
        <color rgb="FF404040"/>
        <rFont val="맑은 고딕"/>
        <family val="0"/>
        <charset val="1"/>
      </rPr>
      <t xml:space="preserve">(50</t>
    </r>
    <r>
      <rPr>
        <sz val="9"/>
        <color rgb="FF404040"/>
        <rFont val="Noto Sans CJK SC"/>
        <family val="2"/>
      </rPr>
      <t xml:space="preserve">교</t>
    </r>
    <r>
      <rPr>
        <sz val="9"/>
        <color rgb="FF404040"/>
        <rFont val="맑은 고딕"/>
        <family val="0"/>
        <charset val="1"/>
      </rPr>
      <t xml:space="preserve">)</t>
    </r>
    <r>
      <rPr>
        <sz val="9"/>
        <color rgb="FF404040"/>
        <rFont val="Noto Sans CJK SC"/>
        <family val="2"/>
      </rPr>
      <t xml:space="preserve">는 선정 수만 발표</t>
    </r>
    <r>
      <rPr>
        <sz val="9"/>
        <color rgb="FF404040"/>
        <rFont val="맑은 고딕"/>
        <family val="0"/>
        <charset val="1"/>
      </rPr>
      <t xml:space="preserve">, </t>
    </r>
    <r>
      <rPr>
        <sz val="9"/>
        <color rgb="FF404040"/>
        <rFont val="Noto Sans CJK SC"/>
        <family val="2"/>
      </rPr>
      <t xml:space="preserve">명단 미공개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</si>
  <si>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sz val="9"/>
        <color rgb="FF404040"/>
        <rFont val="맑은 고딕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학교명은 나이스 현재 교명으로 통일</t>
    </r>
    <r>
      <rPr>
        <sz val="9"/>
        <color rgb="FF404040"/>
        <rFont val="맑은 고딕"/>
        <family val="0"/>
        <charset val="1"/>
      </rPr>
      <t xml:space="preserve">(</t>
    </r>
    <r>
      <rPr>
        <sz val="9"/>
        <color rgb="FF404040"/>
        <rFont val="Noto Sans CJK SC"/>
        <family val="2"/>
      </rPr>
      <t xml:space="preserve">명단상 교명과 다른 경우 메모 칸에 원 교명 표기</t>
    </r>
    <r>
      <rPr>
        <sz val="9"/>
        <color rgb="FF404040"/>
        <rFont val="맑은 고딕"/>
        <family val="0"/>
        <charset val="1"/>
      </rPr>
      <t xml:space="preserve">). </t>
    </r>
    <r>
      <rPr>
        <sz val="9"/>
        <color rgb="FF404040"/>
        <rFont val="Noto Sans CJK SC"/>
        <family val="2"/>
      </rPr>
      <t xml:space="preserve">같은 학교가 두 사업에 모두 선정된 경우 </t>
    </r>
    <r>
      <rPr>
        <sz val="9"/>
        <color rgb="FF404040"/>
        <rFont val="맑은 고딕"/>
        <family val="0"/>
        <charset val="1"/>
      </rPr>
      <t xml:space="preserve">"</t>
    </r>
    <r>
      <rPr>
        <sz val="9"/>
        <color rgb="FF404040"/>
        <rFont val="Noto Sans CJK SC"/>
        <family val="2"/>
      </rPr>
      <t xml:space="preserve">겸임</t>
    </r>
    <r>
      <rPr>
        <sz val="9"/>
        <color rgb="FF404040"/>
        <rFont val="맑은 고딕"/>
        <family val="0"/>
        <charset val="1"/>
      </rPr>
      <t xml:space="preserve">" </t>
    </r>
    <r>
      <rPr>
        <sz val="9"/>
        <color rgb="FF404040"/>
        <rFont val="Noto Sans CJK SC"/>
        <family val="2"/>
      </rPr>
      <t xml:space="preserve">칸에 </t>
    </r>
    <r>
      <rPr>
        <sz val="9"/>
        <color rgb="FF404040"/>
        <rFont val="맑은 고딕"/>
        <family val="0"/>
        <charset val="1"/>
      </rPr>
      <t xml:space="preserve">O.</t>
    </r>
  </si>
  <si>
    <r>
      <rPr>
        <sz val="9"/>
        <color rgb="FF404040"/>
        <rFont val="맑은 고딕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광주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전남</t>
    </r>
    <r>
      <rPr>
        <sz val="9"/>
        <color rgb="FF404040"/>
        <rFont val="맑은 고딕"/>
        <family val="0"/>
        <charset val="1"/>
      </rPr>
      <t xml:space="preserve">: 2026 </t>
    </r>
    <r>
      <rPr>
        <sz val="9"/>
        <color rgb="FF404040"/>
        <rFont val="Noto Sans CJK SC"/>
        <family val="2"/>
      </rPr>
      <t xml:space="preserve">통합에 따라 나이스 주소가 </t>
    </r>
    <r>
      <rPr>
        <sz val="9"/>
        <color rgb="FF404040"/>
        <rFont val="맑은 고딕"/>
        <family val="0"/>
        <charset val="1"/>
      </rPr>
      <t xml:space="preserve">"</t>
    </r>
    <r>
      <rPr>
        <sz val="9"/>
        <color rgb="FF404040"/>
        <rFont val="Noto Sans CJK SC"/>
        <family val="2"/>
      </rPr>
      <t xml:space="preserve">전남광주통합특별시</t>
    </r>
    <r>
      <rPr>
        <sz val="9"/>
        <color rgb="FF404040"/>
        <rFont val="맑은 고딕"/>
        <family val="0"/>
        <charset val="1"/>
      </rPr>
      <t xml:space="preserve">"</t>
    </r>
    <r>
      <rPr>
        <sz val="9"/>
        <color rgb="FF404040"/>
        <rFont val="Noto Sans CJK SC"/>
        <family val="2"/>
      </rPr>
      <t xml:space="preserve">로 표기됨</t>
    </r>
    <r>
      <rPr>
        <sz val="9"/>
        <color rgb="FF404040"/>
        <rFont val="맑은 고딕"/>
        <family val="0"/>
        <charset val="1"/>
      </rPr>
      <t xml:space="preserve">(</t>
    </r>
    <r>
      <rPr>
        <sz val="9"/>
        <color rgb="FF404040"/>
        <rFont val="Noto Sans CJK SC"/>
        <family val="2"/>
      </rPr>
      <t xml:space="preserve">관할청은 광주동부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광주서부 등</t>
    </r>
    <r>
      <rPr>
        <sz val="9"/>
        <color rgb="FF404040"/>
        <rFont val="맑은 고딕"/>
        <family val="0"/>
        <charset val="1"/>
      </rPr>
      <t xml:space="preserve">).</t>
    </r>
  </si>
  <si>
    <r>
      <rPr>
        <sz val="9"/>
        <color rgb="FF404040"/>
        <rFont val="맑은 고딕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연락처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주소</t>
    </r>
    <r>
      <rPr>
        <sz val="9"/>
        <color rgb="FF404040"/>
        <rFont val="맑은 고딕"/>
        <family val="0"/>
        <charset val="1"/>
      </rPr>
      <t xml:space="preserve">: </t>
    </r>
    <r>
      <rPr>
        <sz val="9"/>
        <color rgb="FF404040"/>
        <rFont val="Noto Sans CJK SC"/>
        <family val="2"/>
      </rPr>
      <t xml:space="preserve">나이스 교육정보 개방포털 학교기본정보</t>
    </r>
    <r>
      <rPr>
        <sz val="9"/>
        <color rgb="FF404040"/>
        <rFont val="맑은 고딕"/>
        <family val="0"/>
        <charset val="1"/>
      </rPr>
      <t xml:space="preserve">(2026.10 </t>
    </r>
    <r>
      <rPr>
        <sz val="9"/>
        <color rgb="FF404040"/>
        <rFont val="Noto Sans CJK SC"/>
        <family val="2"/>
      </rPr>
      <t xml:space="preserve">조회</t>
    </r>
    <r>
      <rPr>
        <sz val="9"/>
        <color rgb="FF404040"/>
        <rFont val="맑은 고딕"/>
        <family val="0"/>
        <charset val="1"/>
      </rPr>
      <t xml:space="preserve">). </t>
    </r>
    <r>
      <rPr>
        <sz val="9"/>
        <color rgb="FF404040"/>
        <rFont val="Noto Sans CJK SC"/>
        <family val="2"/>
      </rPr>
      <t xml:space="preserve">대표번호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홈페이지는 학교 사정에 따라 변경될 수 있음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</si>
  <si>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sz val="9"/>
        <color rgb="FF404040"/>
        <rFont val="맑은 고딕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학생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교원수 칸은 비어 있음</t>
    </r>
    <r>
      <rPr>
        <sz val="9"/>
        <color rgb="FF404040"/>
        <rFont val="맑은 고딕"/>
        <family val="0"/>
        <charset val="1"/>
      </rPr>
      <t xml:space="preserve">(</t>
    </r>
    <r>
      <rPr>
        <sz val="9"/>
        <color rgb="FF404040"/>
        <rFont val="Noto Sans CJK SC"/>
        <family val="2"/>
      </rPr>
      <t xml:space="preserve">학교알리미 공시 기준으로 추가 입력 예정</t>
    </r>
    <r>
      <rPr>
        <sz val="9"/>
        <color rgb="FF404040"/>
        <rFont val="맑은 고딕"/>
        <family val="0"/>
        <charset val="1"/>
      </rPr>
      <t xml:space="preserve">).</t>
    </r>
  </si>
  <si>
    <r>
      <rPr>
        <b val="true"/>
        <sz val="14"/>
        <color rgb="FF1F3864"/>
        <rFont val="맑은 고딕"/>
        <family val="0"/>
        <charset val="1"/>
      </rPr>
      <t xml:space="preserve">2026 AI </t>
    </r>
    <r>
      <rPr>
        <b val="true"/>
        <sz val="14"/>
        <color rgb="FF1F3864"/>
        <rFont val="Noto Sans CJK SC"/>
        <family val="2"/>
      </rPr>
      <t xml:space="preserve">중점학교 명단 — 전국</t>
    </r>
    <r>
      <rPr>
        <b val="true"/>
        <sz val="14"/>
        <color rgb="FF1F3864"/>
        <rFont val="맑은 고딕"/>
        <family val="0"/>
        <charset val="1"/>
      </rPr>
      <t xml:space="preserve">(</t>
    </r>
    <r>
      <rPr>
        <b val="true"/>
        <sz val="14"/>
        <color rgb="FF1F3864"/>
        <rFont val="Noto Sans CJK SC"/>
        <family val="2"/>
      </rPr>
      <t xml:space="preserve">공개 시도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</si>
  <si>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출처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각 시도교육청 누리집 공개 선정 명단</t>
    </r>
    <r>
      <rPr>
        <sz val="9"/>
        <color rgb="FF595959"/>
        <rFont val="맑은 고딕"/>
        <family val="0"/>
        <charset val="1"/>
      </rPr>
      <t xml:space="preserve">(2026) / </t>
    </r>
    <r>
      <rPr>
        <sz val="9"/>
        <color rgb="FF595959"/>
        <rFont val="Noto Sans CJK SC"/>
        <family val="2"/>
      </rPr>
      <t xml:space="preserve">연락처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주소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나이스 교육정보 개방포털 학교기본정보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주황색 머리글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노란 칸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은 영업 관리용 입력 칸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학생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교원수는 추후 학교알리미 기준 입력</t>
    </r>
    <r>
      <rPr>
        <sz val="9"/>
        <color rgb="FF595959"/>
        <rFont val="맑은 고딕"/>
        <family val="0"/>
        <charset val="1"/>
      </rPr>
      <t xml:space="preserve">.</t>
    </r>
  </si>
  <si>
    <t xml:space="preserve">No</t>
  </si>
  <si>
    <t xml:space="preserve">관할 교육지원청</t>
  </si>
  <si>
    <t xml:space="preserve">시군구</t>
  </si>
  <si>
    <t xml:space="preserve">학교급</t>
  </si>
  <si>
    <t xml:space="preserve">설립</t>
  </si>
  <si>
    <t xml:space="preserve">학교명</t>
  </si>
  <si>
    <t xml:space="preserve">운영 유형</t>
  </si>
  <si>
    <t xml:space="preserve">디지털 선도학교 겸임</t>
  </si>
  <si>
    <t xml:space="preserve">대표전화</t>
  </si>
  <si>
    <t xml:space="preserve">홈페이지</t>
  </si>
  <si>
    <t xml:space="preserve">주소</t>
  </si>
  <si>
    <t xml:space="preserve">학생수</t>
  </si>
  <si>
    <t xml:space="preserve">교원수</t>
  </si>
  <si>
    <t xml:space="preserve">영업 담당자</t>
  </si>
  <si>
    <t xml:space="preserve">최근 연락일</t>
  </si>
  <si>
    <t xml:space="preserve">진행상태</t>
  </si>
  <si>
    <r>
      <rPr>
        <b val="true"/>
        <sz val="10"/>
        <color rgb="FFFFFFFF"/>
        <rFont val="맑은 고딕"/>
        <family val="0"/>
        <charset val="1"/>
      </rPr>
      <t xml:space="preserve">030 </t>
    </r>
    <r>
      <rPr>
        <b val="true"/>
        <sz val="10"/>
        <color rgb="FFFFFFFF"/>
        <rFont val="Noto Sans CJK SC"/>
        <family val="2"/>
      </rPr>
      <t xml:space="preserve">단체 가입</t>
    </r>
  </si>
  <si>
    <t xml:space="preserve">메모</t>
  </si>
  <si>
    <t xml:space="preserve">강남서초교육지원청</t>
  </si>
  <si>
    <t xml:space="preserve">강남구</t>
  </si>
  <si>
    <t xml:space="preserve">공립</t>
  </si>
  <si>
    <t xml:space="preserve">서울개원초등학교</t>
  </si>
  <si>
    <t xml:space="preserve">02-2138-1940</t>
  </si>
  <si>
    <t xml:space="preserve">http://gaewon.sen.es.kr</t>
  </si>
  <si>
    <r>
      <rPr>
        <sz val="10"/>
        <rFont val="Noto Sans CJK SC"/>
        <family val="2"/>
      </rPr>
      <t xml:space="preserve">서울특별시 강남구 선릉로 </t>
    </r>
    <r>
      <rPr>
        <sz val="10"/>
        <rFont val="맑은 고딕"/>
        <family val="0"/>
        <charset val="1"/>
      </rPr>
      <t xml:space="preserve">29</t>
    </r>
  </si>
  <si>
    <t xml:space="preserve">서울개일초등학교</t>
  </si>
  <si>
    <t xml:space="preserve">02-571-8320</t>
  </si>
  <si>
    <t xml:space="preserve">http://gaeil.sen.es.kr</t>
  </si>
  <si>
    <r>
      <rPr>
        <sz val="10"/>
        <rFont val="Noto Sans CJK SC"/>
        <family val="2"/>
      </rPr>
      <t xml:space="preserve">서울특별시 강남구 개포로 </t>
    </r>
    <r>
      <rPr>
        <sz val="10"/>
        <rFont val="맑은 고딕"/>
        <family val="0"/>
        <charset val="1"/>
      </rPr>
      <t xml:space="preserve">401</t>
    </r>
  </si>
  <si>
    <t xml:space="preserve">서울구룡초등학교</t>
  </si>
  <si>
    <t xml:space="preserve">02-573-5017</t>
  </si>
  <si>
    <t xml:space="preserve">http://kuryong.sen.es.kr</t>
  </si>
  <si>
    <r>
      <rPr>
        <sz val="10"/>
        <rFont val="Noto Sans CJK SC"/>
        <family val="2"/>
      </rPr>
      <t xml:space="preserve">서울특별시 강남구 개포로 </t>
    </r>
    <r>
      <rPr>
        <sz val="10"/>
        <rFont val="맑은 고딕"/>
        <family val="0"/>
        <charset val="1"/>
      </rPr>
      <t xml:space="preserve">263</t>
    </r>
  </si>
  <si>
    <t xml:space="preserve">서울삼릉초등학교</t>
  </si>
  <si>
    <t xml:space="preserve">02-545-4502</t>
  </si>
  <si>
    <t xml:space="preserve">http://srng.sen.es.kr</t>
  </si>
  <si>
    <r>
      <rPr>
        <sz val="10"/>
        <rFont val="Noto Sans CJK SC"/>
        <family val="2"/>
      </rPr>
      <t xml:space="preserve">서울특별시 강남구 봉은사로</t>
    </r>
    <r>
      <rPr>
        <sz val="10"/>
        <rFont val="맑은 고딕"/>
        <family val="0"/>
        <charset val="1"/>
      </rPr>
      <t xml:space="preserve">63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22</t>
    </r>
  </si>
  <si>
    <t xml:space="preserve">개포중학교</t>
  </si>
  <si>
    <t xml:space="preserve">02-2138-1631</t>
  </si>
  <si>
    <t xml:space="preserve">http://gaepo.sen.ms.kr</t>
  </si>
  <si>
    <r>
      <rPr>
        <sz val="10"/>
        <rFont val="Noto Sans CJK SC"/>
        <family val="2"/>
      </rPr>
      <t xml:space="preserve">서울특별시 강남구 선릉로 </t>
    </r>
    <r>
      <rPr>
        <sz val="10"/>
        <rFont val="맑은 고딕"/>
        <family val="0"/>
        <charset val="1"/>
      </rPr>
      <t xml:space="preserve">9</t>
    </r>
  </si>
  <si>
    <t xml:space="preserve">청담중학교</t>
  </si>
  <si>
    <t xml:space="preserve">02-511-5151</t>
  </si>
  <si>
    <t xml:space="preserve">http://cheongdam.sen.ms.kr</t>
  </si>
  <si>
    <r>
      <rPr>
        <sz val="10"/>
        <rFont val="Noto Sans CJK SC"/>
        <family val="2"/>
      </rPr>
      <t xml:space="preserve">서울특별시 강남구 압구정로</t>
    </r>
    <r>
      <rPr>
        <sz val="10"/>
        <rFont val="맑은 고딕"/>
        <family val="0"/>
        <charset val="1"/>
      </rPr>
      <t xml:space="preserve">61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36</t>
    </r>
  </si>
  <si>
    <t xml:space="preserve">사립</t>
  </si>
  <si>
    <t xml:space="preserve">휘문중학교</t>
  </si>
  <si>
    <t xml:space="preserve">02-500-9700</t>
  </si>
  <si>
    <t xml:space="preserve">http://whimoon.sen.ms.kr</t>
  </si>
  <si>
    <r>
      <rPr>
        <sz val="10"/>
        <rFont val="Noto Sans CJK SC"/>
        <family val="2"/>
      </rPr>
      <t xml:space="preserve">서울특별시 강남구 역삼로 </t>
    </r>
    <r>
      <rPr>
        <sz val="10"/>
        <rFont val="맑은 고딕"/>
        <family val="0"/>
        <charset val="1"/>
      </rPr>
      <t xml:space="preserve">541</t>
    </r>
  </si>
  <si>
    <t xml:space="preserve">서초구</t>
  </si>
  <si>
    <t xml:space="preserve">서울방일초등학교</t>
  </si>
  <si>
    <t xml:space="preserve">02-3472-5142</t>
  </si>
  <si>
    <t xml:space="preserve">http://bangil.sen.es.kr</t>
  </si>
  <si>
    <r>
      <rPr>
        <sz val="10"/>
        <rFont val="Noto Sans CJK SC"/>
        <family val="2"/>
      </rPr>
      <t xml:space="preserve">서울특별시 서초구 방배로</t>
    </r>
    <r>
      <rPr>
        <sz val="10"/>
        <rFont val="맑은 고딕"/>
        <family val="0"/>
        <charset val="1"/>
      </rPr>
      <t xml:space="preserve">18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52</t>
    </r>
  </si>
  <si>
    <t xml:space="preserve">서울서이초등학교</t>
  </si>
  <si>
    <t xml:space="preserve">02-3474-7021</t>
  </si>
  <si>
    <t xml:space="preserve">http://seoi.sen.es.kr</t>
  </si>
  <si>
    <r>
      <rPr>
        <sz val="10"/>
        <rFont val="Noto Sans CJK SC"/>
        <family val="2"/>
      </rPr>
      <t xml:space="preserve">서울특별시 서초구 서운로 </t>
    </r>
    <r>
      <rPr>
        <sz val="10"/>
        <rFont val="맑은 고딕"/>
        <family val="0"/>
        <charset val="1"/>
      </rPr>
      <t xml:space="preserve">35</t>
    </r>
  </si>
  <si>
    <t xml:space="preserve">서울양재초등학교</t>
  </si>
  <si>
    <t xml:space="preserve">02-573-4432</t>
  </si>
  <si>
    <t xml:space="preserve">http://yangjae.sen.es.kr</t>
  </si>
  <si>
    <r>
      <rPr>
        <sz val="10"/>
        <rFont val="Noto Sans CJK SC"/>
        <family val="2"/>
      </rPr>
      <t xml:space="preserve">서울특별시 서초구 바우뫼로</t>
    </r>
    <r>
      <rPr>
        <sz val="10"/>
        <rFont val="맑은 고딕"/>
        <family val="0"/>
        <charset val="1"/>
      </rPr>
      <t xml:space="preserve">18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14</t>
    </r>
  </si>
  <si>
    <t xml:space="preserve">서울원촌초등학교</t>
  </si>
  <si>
    <t xml:space="preserve">02-536-0816</t>
  </si>
  <si>
    <t xml:space="preserve">http://wonchon.sen.es.kr</t>
  </si>
  <si>
    <r>
      <rPr>
        <sz val="10"/>
        <rFont val="Noto Sans CJK SC"/>
        <family val="2"/>
      </rPr>
      <t xml:space="preserve">서울특별시 서초구 사평대로</t>
    </r>
    <r>
      <rPr>
        <sz val="10"/>
        <rFont val="맑은 고딕"/>
        <family val="0"/>
        <charset val="1"/>
      </rPr>
      <t xml:space="preserve">45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26</t>
    </r>
  </si>
  <si>
    <t xml:space="preserve">내곡중학교</t>
  </si>
  <si>
    <t xml:space="preserve">02-571-9532</t>
  </si>
  <si>
    <t xml:space="preserve">http://naegok.sen.ms.kr</t>
  </si>
  <si>
    <r>
      <rPr>
        <sz val="10"/>
        <rFont val="Noto Sans CJK SC"/>
        <family val="2"/>
      </rPr>
      <t xml:space="preserve">서울특별시 서초구 청계산로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9-20</t>
    </r>
  </si>
  <si>
    <t xml:space="preserve">신동중학교</t>
  </si>
  <si>
    <t xml:space="preserve">02-594-6456</t>
  </si>
  <si>
    <t xml:space="preserve">http://shindong.sen.ms.kr</t>
  </si>
  <si>
    <r>
      <rPr>
        <sz val="10"/>
        <rFont val="Noto Sans CJK SC"/>
        <family val="2"/>
      </rPr>
      <t xml:space="preserve">서울특별시 서초구 나루터로 </t>
    </r>
    <r>
      <rPr>
        <sz val="10"/>
        <rFont val="맑은 고딕"/>
        <family val="0"/>
        <charset val="1"/>
      </rPr>
      <t xml:space="preserve">27</t>
    </r>
  </si>
  <si>
    <t xml:space="preserve">영동중학교</t>
  </si>
  <si>
    <t xml:space="preserve">02-3474-7386</t>
  </si>
  <si>
    <t xml:space="preserve">http://youngdong.sen.ms.kr</t>
  </si>
  <si>
    <r>
      <rPr>
        <sz val="10"/>
        <rFont val="Noto Sans CJK SC"/>
        <family val="2"/>
      </rPr>
      <t xml:space="preserve">서울특별시 서초구 성촌길 </t>
    </r>
    <r>
      <rPr>
        <sz val="10"/>
        <rFont val="맑은 고딕"/>
        <family val="0"/>
        <charset val="1"/>
      </rPr>
      <t xml:space="preserve">14</t>
    </r>
  </si>
  <si>
    <t xml:space="preserve">강동송파교육지원청</t>
  </si>
  <si>
    <t xml:space="preserve">강동구</t>
  </si>
  <si>
    <t xml:space="preserve">서울강빛초등학교</t>
  </si>
  <si>
    <t xml:space="preserve">02-6951-3963</t>
  </si>
  <si>
    <t xml:space="preserve">http://gbe.sen.es.kr</t>
  </si>
  <si>
    <r>
      <rPr>
        <sz val="10"/>
        <rFont val="Noto Sans CJK SC"/>
        <family val="2"/>
      </rPr>
      <t xml:space="preserve">서울특별시 강동구 아리수로</t>
    </r>
    <r>
      <rPr>
        <sz val="10"/>
        <rFont val="맑은 고딕"/>
        <family val="0"/>
        <charset val="1"/>
      </rPr>
      <t xml:space="preserve">93</t>
    </r>
    <r>
      <rPr>
        <sz val="10"/>
        <rFont val="Noto Sans CJK SC"/>
        <family val="2"/>
      </rPr>
      <t xml:space="preserve">다길 </t>
    </r>
    <r>
      <rPr>
        <sz val="10"/>
        <rFont val="맑은 고딕"/>
        <family val="0"/>
        <charset val="1"/>
      </rPr>
      <t xml:space="preserve">1</t>
    </r>
  </si>
  <si>
    <t xml:space="preserve">서울강일초등학교</t>
  </si>
  <si>
    <t xml:space="preserve">02-3426-6472</t>
  </si>
  <si>
    <t xml:space="preserve">http://gangil.sen.es.kr</t>
  </si>
  <si>
    <r>
      <rPr>
        <sz val="10"/>
        <rFont val="Noto Sans CJK SC"/>
        <family val="2"/>
      </rPr>
      <t xml:space="preserve">서울특별시 강동구 아리수로</t>
    </r>
    <r>
      <rPr>
        <sz val="10"/>
        <rFont val="맑은 고딕"/>
        <family val="0"/>
        <charset val="1"/>
      </rPr>
      <t xml:space="preserve">98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24</t>
    </r>
  </si>
  <si>
    <t xml:space="preserve">서울고일초등학교</t>
  </si>
  <si>
    <t xml:space="preserve">02-3434-8200</t>
  </si>
  <si>
    <t xml:space="preserve">http://goil.sen.es.kr</t>
  </si>
  <si>
    <r>
      <rPr>
        <sz val="10"/>
        <rFont val="Noto Sans CJK SC"/>
        <family val="2"/>
      </rPr>
      <t xml:space="preserve">서울특별시 강동구 구천면로</t>
    </r>
    <r>
      <rPr>
        <sz val="10"/>
        <rFont val="맑은 고딕"/>
        <family val="0"/>
        <charset val="1"/>
      </rPr>
      <t xml:space="preserve">93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20</t>
    </r>
  </si>
  <si>
    <t xml:space="preserve">서울선사초등학교</t>
  </si>
  <si>
    <t xml:space="preserve">02-441-3492</t>
  </si>
  <si>
    <t xml:space="preserve">http://sunsa.sen.es.kr</t>
  </si>
  <si>
    <r>
      <rPr>
        <sz val="10"/>
        <rFont val="Noto Sans CJK SC"/>
        <family val="2"/>
      </rPr>
      <t xml:space="preserve">서울특별시 강동구 올림픽로 </t>
    </r>
    <r>
      <rPr>
        <sz val="10"/>
        <rFont val="맑은 고딕"/>
        <family val="0"/>
        <charset val="1"/>
      </rPr>
      <t xml:space="preserve">837</t>
    </r>
  </si>
  <si>
    <t xml:space="preserve">서울성내초등학교</t>
  </si>
  <si>
    <t xml:space="preserve">02-470-6354</t>
  </si>
  <si>
    <t xml:space="preserve">http://seongnae.sen.es.kr</t>
  </si>
  <si>
    <r>
      <rPr>
        <sz val="10"/>
        <rFont val="Noto Sans CJK SC"/>
        <family val="2"/>
      </rPr>
      <t xml:space="preserve">서울특별시 강동구 성내로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19</t>
    </r>
  </si>
  <si>
    <t xml:space="preserve">서울위례초등학교</t>
  </si>
  <si>
    <t xml:space="preserve">02-474-4998</t>
  </si>
  <si>
    <t xml:space="preserve">http://wirye.sen.es.kr</t>
  </si>
  <si>
    <r>
      <rPr>
        <sz val="10"/>
        <rFont val="Noto Sans CJK SC"/>
        <family val="2"/>
      </rPr>
      <t xml:space="preserve">서울특별시 강동구 명일로 </t>
    </r>
    <r>
      <rPr>
        <sz val="10"/>
        <rFont val="맑은 고딕"/>
        <family val="0"/>
        <charset val="1"/>
      </rPr>
      <t xml:space="preserve">23</t>
    </r>
  </si>
  <si>
    <t xml:space="preserve">배재중학교</t>
  </si>
  <si>
    <t xml:space="preserve">02-429-1885</t>
  </si>
  <si>
    <t xml:space="preserve">http://paichai.sen.ms.kr</t>
  </si>
  <si>
    <r>
      <rPr>
        <sz val="10"/>
        <rFont val="Noto Sans CJK SC"/>
        <family val="2"/>
      </rPr>
      <t xml:space="preserve">서울특별시 강동구 고덕로 </t>
    </r>
    <r>
      <rPr>
        <sz val="10"/>
        <rFont val="맑은 고딕"/>
        <family val="0"/>
        <charset val="1"/>
      </rPr>
      <t xml:space="preserve">227</t>
    </r>
  </si>
  <si>
    <t xml:space="preserve">상일중학교</t>
  </si>
  <si>
    <t xml:space="preserve">02-428-0735</t>
  </si>
  <si>
    <t xml:space="preserve">http://sangil.sen.ms.kr</t>
  </si>
  <si>
    <r>
      <rPr>
        <sz val="10"/>
        <rFont val="Noto Sans CJK SC"/>
        <family val="2"/>
      </rPr>
      <t xml:space="preserve">서울특별시 강동구 천호대로</t>
    </r>
    <r>
      <rPr>
        <sz val="10"/>
        <rFont val="맑은 고딕"/>
        <family val="0"/>
        <charset val="1"/>
      </rPr>
      <t xml:space="preserve">219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61</t>
    </r>
  </si>
  <si>
    <t xml:space="preserve">송파구</t>
  </si>
  <si>
    <t xml:space="preserve">서울가락초등학교</t>
  </si>
  <si>
    <t xml:space="preserve">02-3402-1161</t>
  </si>
  <si>
    <t xml:space="preserve">http://garak.sen.es.kr</t>
  </si>
  <si>
    <r>
      <rPr>
        <sz val="10"/>
        <rFont val="Noto Sans CJK SC"/>
        <family val="2"/>
      </rPr>
      <t xml:space="preserve">서울특별시 송파구 송파대로</t>
    </r>
    <r>
      <rPr>
        <sz val="10"/>
        <rFont val="맑은 고딕"/>
        <family val="0"/>
        <charset val="1"/>
      </rPr>
      <t xml:space="preserve">37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45</t>
    </r>
  </si>
  <si>
    <t xml:space="preserve">서울남천초등학교</t>
  </si>
  <si>
    <t xml:space="preserve">02-3401-0651</t>
  </si>
  <si>
    <t xml:space="preserve">http://s-namcheon.sen.es.kr</t>
  </si>
  <si>
    <r>
      <rPr>
        <sz val="10"/>
        <rFont val="Noto Sans CJK SC"/>
        <family val="2"/>
      </rPr>
      <t xml:space="preserve">서울특별시 송파구 성내천로 </t>
    </r>
    <r>
      <rPr>
        <sz val="10"/>
        <rFont val="맑은 고딕"/>
        <family val="0"/>
        <charset val="1"/>
      </rPr>
      <t xml:space="preserve">207</t>
    </r>
  </si>
  <si>
    <t xml:space="preserve">서울송파초등학교</t>
  </si>
  <si>
    <t xml:space="preserve">02-414-0644</t>
  </si>
  <si>
    <t xml:space="preserve">http://songpa.sen.es.kr</t>
  </si>
  <si>
    <r>
      <rPr>
        <sz val="10"/>
        <rFont val="Noto Sans CJK SC"/>
        <family val="2"/>
      </rPr>
      <t xml:space="preserve">서울특별시 송파구 백제고분로 </t>
    </r>
    <r>
      <rPr>
        <sz val="10"/>
        <rFont val="맑은 고딕"/>
        <family val="0"/>
        <charset val="1"/>
      </rPr>
      <t xml:space="preserve">400</t>
    </r>
  </si>
  <si>
    <t xml:space="preserve">서울위례솔초등학교</t>
  </si>
  <si>
    <t xml:space="preserve">02-6922-8800</t>
  </si>
  <si>
    <t xml:space="preserve">http://wiryesol.sen.es.kr</t>
  </si>
  <si>
    <r>
      <rPr>
        <sz val="10"/>
        <rFont val="Noto Sans CJK SC"/>
        <family val="2"/>
      </rPr>
      <t xml:space="preserve">서울특별시 송파구 위례북로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12</t>
    </r>
  </si>
  <si>
    <t xml:space="preserve">서울잠신초등학교</t>
  </si>
  <si>
    <t xml:space="preserve">02-412-3286</t>
  </si>
  <si>
    <t xml:space="preserve">http://jamshin.sen.es.kr</t>
  </si>
  <si>
    <r>
      <rPr>
        <sz val="10"/>
        <rFont val="Noto Sans CJK SC"/>
        <family val="2"/>
      </rPr>
      <t xml:space="preserve">서울특별시 송파구 잠실로 </t>
    </r>
    <r>
      <rPr>
        <sz val="10"/>
        <rFont val="맑은 고딕"/>
        <family val="0"/>
        <charset val="1"/>
      </rPr>
      <t xml:space="preserve">32</t>
    </r>
  </si>
  <si>
    <t xml:space="preserve">서울잠실초등학교</t>
  </si>
  <si>
    <t xml:space="preserve">02-3432-3571</t>
  </si>
  <si>
    <t xml:space="preserve">http://jamsil.sen.es.kr</t>
  </si>
  <si>
    <r>
      <rPr>
        <sz val="10"/>
        <rFont val="Noto Sans CJK SC"/>
        <family val="2"/>
      </rPr>
      <t xml:space="preserve">서울특별시 송파구 올림픽로</t>
    </r>
    <r>
      <rPr>
        <sz val="10"/>
        <rFont val="맑은 고딕"/>
        <family val="0"/>
        <charset val="1"/>
      </rPr>
      <t xml:space="preserve">35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20</t>
    </r>
  </si>
  <si>
    <t xml:space="preserve">서울풍납초등학교</t>
  </si>
  <si>
    <t xml:space="preserve">02-477-8151</t>
  </si>
  <si>
    <t xml:space="preserve">http://poongnap.sen.es.kr</t>
  </si>
  <si>
    <r>
      <rPr>
        <sz val="10"/>
        <rFont val="Noto Sans CJK SC"/>
        <family val="2"/>
      </rPr>
      <t xml:space="preserve">서울특별시 송파구 풍성로 </t>
    </r>
    <r>
      <rPr>
        <sz val="10"/>
        <rFont val="맑은 고딕"/>
        <family val="0"/>
        <charset val="1"/>
      </rPr>
      <t xml:space="preserve">43</t>
    </r>
  </si>
  <si>
    <t xml:space="preserve">서울풍성초등학교</t>
  </si>
  <si>
    <t xml:space="preserve">02-485-9957</t>
  </si>
  <si>
    <t xml:space="preserve">http://poongsung.sen.es.kr</t>
  </si>
  <si>
    <r>
      <rPr>
        <sz val="10"/>
        <rFont val="Noto Sans CJK SC"/>
        <family val="2"/>
      </rPr>
      <t xml:space="preserve">서울특별시 송파구 강동대로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13</t>
    </r>
  </si>
  <si>
    <t xml:space="preserve">배명중학교</t>
  </si>
  <si>
    <t xml:space="preserve">02-414-5474</t>
  </si>
  <si>
    <t xml:space="preserve">http://bm.sen.ms.kr</t>
  </si>
  <si>
    <r>
      <rPr>
        <sz val="10"/>
        <rFont val="Noto Sans CJK SC"/>
        <family val="2"/>
      </rPr>
      <t xml:space="preserve">서울특별시 송파구 삼학사로 </t>
    </r>
    <r>
      <rPr>
        <sz val="10"/>
        <rFont val="맑은 고딕"/>
        <family val="0"/>
        <charset val="1"/>
      </rPr>
      <t xml:space="preserve">11</t>
    </r>
  </si>
  <si>
    <t xml:space="preserve">아주중학교</t>
  </si>
  <si>
    <t xml:space="preserve">02-415-1697</t>
  </si>
  <si>
    <t xml:space="preserve">http://aju.sen.ms.kr</t>
  </si>
  <si>
    <r>
      <rPr>
        <sz val="10"/>
        <rFont val="Noto Sans CJK SC"/>
        <family val="2"/>
      </rPr>
      <t xml:space="preserve">서울특별시 송파구 올림픽로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69</t>
    </r>
  </si>
  <si>
    <t xml:space="preserve">풍성중학교</t>
  </si>
  <si>
    <t xml:space="preserve">02-2224-7700</t>
  </si>
  <si>
    <t xml:space="preserve">http://pungsung.sen.ms.kr</t>
  </si>
  <si>
    <r>
      <rPr>
        <sz val="10"/>
        <rFont val="Noto Sans CJK SC"/>
        <family val="2"/>
      </rPr>
      <t xml:space="preserve">서울특별시 송파구 강동대로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27</t>
    </r>
  </si>
  <si>
    <t xml:space="preserve">해누리중학교</t>
  </si>
  <si>
    <t xml:space="preserve">02-3469-4800</t>
  </si>
  <si>
    <t xml:space="preserve">http://haenuri.sen.ms.kr</t>
  </si>
  <si>
    <r>
      <rPr>
        <sz val="10"/>
        <rFont val="Noto Sans CJK SC"/>
        <family val="2"/>
      </rPr>
      <t xml:space="preserve">서울특별시 송파구 송파대로</t>
    </r>
    <r>
      <rPr>
        <sz val="10"/>
        <rFont val="맑은 고딕"/>
        <family val="0"/>
        <charset val="1"/>
      </rPr>
      <t xml:space="preserve">37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95</t>
    </r>
  </si>
  <si>
    <t xml:space="preserve">강서양천교육지원청</t>
  </si>
  <si>
    <t xml:space="preserve">강서구</t>
  </si>
  <si>
    <t xml:space="preserve">서울등양초등학교</t>
  </si>
  <si>
    <t xml:space="preserve">02-2658-0072</t>
  </si>
  <si>
    <t xml:space="preserve">http://dungyang.sen.es.kr</t>
  </si>
  <si>
    <r>
      <rPr>
        <sz val="10"/>
        <rFont val="Noto Sans CJK SC"/>
        <family val="2"/>
      </rPr>
      <t xml:space="preserve">서울특별시 강서구 강서로</t>
    </r>
    <r>
      <rPr>
        <sz val="10"/>
        <rFont val="맑은 고딕"/>
        <family val="0"/>
        <charset val="1"/>
      </rPr>
      <t xml:space="preserve">56</t>
    </r>
    <r>
      <rPr>
        <sz val="10"/>
        <rFont val="Noto Sans CJK SC"/>
        <family val="2"/>
      </rPr>
      <t xml:space="preserve">나길 </t>
    </r>
    <r>
      <rPr>
        <sz val="10"/>
        <rFont val="맑은 고딕"/>
        <family val="0"/>
        <charset val="1"/>
      </rPr>
      <t xml:space="preserve">140</t>
    </r>
  </si>
  <si>
    <t xml:space="preserve">서울등촌초등학교</t>
  </si>
  <si>
    <t xml:space="preserve">02-2653-9374</t>
  </si>
  <si>
    <t xml:space="preserve">http://deungchon.sen.es.kr</t>
  </si>
  <si>
    <r>
      <rPr>
        <sz val="10"/>
        <rFont val="Noto Sans CJK SC"/>
        <family val="2"/>
      </rPr>
      <t xml:space="preserve">서울특별시 강서구 등촌로</t>
    </r>
    <r>
      <rPr>
        <sz val="10"/>
        <rFont val="맑은 고딕"/>
        <family val="0"/>
        <charset val="1"/>
      </rPr>
      <t xml:space="preserve">39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71</t>
    </r>
  </si>
  <si>
    <t xml:space="preserve">서울송화초등학교</t>
  </si>
  <si>
    <t xml:space="preserve">02-2665-7093</t>
  </si>
  <si>
    <t xml:space="preserve">http://songhwa.sen.es.kr</t>
  </si>
  <si>
    <r>
      <rPr>
        <sz val="10"/>
        <rFont val="Noto Sans CJK SC"/>
        <family val="2"/>
      </rPr>
      <t xml:space="preserve">서울특별시 강서구 방화대로</t>
    </r>
    <r>
      <rPr>
        <sz val="10"/>
        <rFont val="맑은 고딕"/>
        <family val="0"/>
        <charset val="1"/>
      </rPr>
      <t xml:space="preserve">34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</t>
    </r>
  </si>
  <si>
    <t xml:space="preserve">서울염경초등학교</t>
  </si>
  <si>
    <t xml:space="preserve">02-3662-0773</t>
  </si>
  <si>
    <t xml:space="preserve">http://yeomkyoung.sen.es.kr</t>
  </si>
  <si>
    <r>
      <rPr>
        <sz val="10"/>
        <rFont val="Noto Sans CJK SC"/>
        <family val="2"/>
      </rPr>
      <t xml:space="preserve">서울특별시 강서구 양천로</t>
    </r>
    <r>
      <rPr>
        <sz val="10"/>
        <rFont val="맑은 고딕"/>
        <family val="0"/>
        <charset val="1"/>
      </rPr>
      <t xml:space="preserve">69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49</t>
    </r>
  </si>
  <si>
    <t xml:space="preserve">서울염동초등학교</t>
  </si>
  <si>
    <t xml:space="preserve">02-3664-1671</t>
  </si>
  <si>
    <t xml:space="preserve">http://yeomdong.sen.es.kr</t>
  </si>
  <si>
    <r>
      <rPr>
        <sz val="10"/>
        <rFont val="Noto Sans CJK SC"/>
        <family val="2"/>
      </rPr>
      <t xml:space="preserve">서울특별시 강서구 양천로</t>
    </r>
    <r>
      <rPr>
        <sz val="10"/>
        <rFont val="맑은 고딕"/>
        <family val="0"/>
        <charset val="1"/>
      </rPr>
      <t xml:space="preserve">73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17</t>
    </r>
  </si>
  <si>
    <t xml:space="preserve">등촌중학교</t>
  </si>
  <si>
    <t xml:space="preserve">02-2653-0392</t>
  </si>
  <si>
    <t xml:space="preserve">http://deungchon.sen.ms.kr</t>
  </si>
  <si>
    <r>
      <rPr>
        <sz val="10"/>
        <rFont val="Noto Sans CJK SC"/>
        <family val="2"/>
      </rPr>
      <t xml:space="preserve">서울특별시 강서구 공항대로 </t>
    </r>
    <r>
      <rPr>
        <sz val="10"/>
        <rFont val="맑은 고딕"/>
        <family val="0"/>
        <charset val="1"/>
      </rPr>
      <t xml:space="preserve">484-12</t>
    </r>
  </si>
  <si>
    <t xml:space="preserve">삼정중학교</t>
  </si>
  <si>
    <t xml:space="preserve">02-2666-6033</t>
  </si>
  <si>
    <t xml:space="preserve">http://samjeong.sen.ms.kr</t>
  </si>
  <si>
    <r>
      <rPr>
        <sz val="10"/>
        <rFont val="Noto Sans CJK SC"/>
        <family val="2"/>
      </rPr>
      <t xml:space="preserve">서울특별시 강서구 금낭화로 </t>
    </r>
    <r>
      <rPr>
        <sz val="10"/>
        <rFont val="맑은 고딕"/>
        <family val="0"/>
        <charset val="1"/>
      </rPr>
      <t xml:space="preserve">210</t>
    </r>
  </si>
  <si>
    <t xml:space="preserve">성재중학교</t>
  </si>
  <si>
    <t xml:space="preserve">02-2658-9853</t>
  </si>
  <si>
    <t xml:space="preserve">http://sungjae.sen.ms.kr</t>
  </si>
  <si>
    <r>
      <rPr>
        <sz val="10"/>
        <rFont val="Noto Sans CJK SC"/>
        <family val="2"/>
      </rPr>
      <t xml:space="preserve">서울특별시 강서구 허준로 </t>
    </r>
    <r>
      <rPr>
        <sz val="10"/>
        <rFont val="맑은 고딕"/>
        <family val="0"/>
        <charset val="1"/>
      </rPr>
      <t xml:space="preserve">36</t>
    </r>
  </si>
  <si>
    <t xml:space="preserve">양천구</t>
  </si>
  <si>
    <t xml:space="preserve">서울강월초등학교</t>
  </si>
  <si>
    <t xml:space="preserve">02-2605-0501</t>
  </si>
  <si>
    <t xml:space="preserve">http://gangwol.sen.es.kr</t>
  </si>
  <si>
    <r>
      <rPr>
        <sz val="10"/>
        <rFont val="Noto Sans CJK SC"/>
        <family val="2"/>
      </rPr>
      <t xml:space="preserve">서울특별시 양천구 신월로 </t>
    </r>
    <r>
      <rPr>
        <sz val="10"/>
        <rFont val="맑은 고딕"/>
        <family val="0"/>
        <charset val="1"/>
      </rPr>
      <t xml:space="preserve">97</t>
    </r>
  </si>
  <si>
    <t xml:space="preserve">서울계남초등학교</t>
  </si>
  <si>
    <t xml:space="preserve">02-2645-8754</t>
  </si>
  <si>
    <t xml:space="preserve">http://gyenam.sen.es.kr</t>
  </si>
  <si>
    <r>
      <rPr>
        <sz val="10"/>
        <rFont val="Noto Sans CJK SC"/>
        <family val="2"/>
      </rPr>
      <t xml:space="preserve">서울특별시 양천구 목동동로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54</t>
    </r>
  </si>
  <si>
    <t xml:space="preserve">서울목원초등학교</t>
  </si>
  <si>
    <t xml:space="preserve">02-2643-5771</t>
  </si>
  <si>
    <t xml:space="preserve">http://mokwon.sen.es.kr</t>
  </si>
  <si>
    <r>
      <rPr>
        <sz val="10"/>
        <rFont val="Noto Sans CJK SC"/>
        <family val="2"/>
      </rPr>
      <t xml:space="preserve">서울특별시 양천구 목동중앙로 </t>
    </r>
    <r>
      <rPr>
        <sz val="10"/>
        <rFont val="맑은 고딕"/>
        <family val="0"/>
        <charset val="1"/>
      </rPr>
      <t xml:space="preserve">204</t>
    </r>
  </si>
  <si>
    <t xml:space="preserve">목일중학교</t>
  </si>
  <si>
    <t xml:space="preserve">02-2646-0553</t>
  </si>
  <si>
    <t xml:space="preserve">http://mokil.sen.ms.kr</t>
  </si>
  <si>
    <r>
      <rPr>
        <sz val="10"/>
        <rFont val="Noto Sans CJK SC"/>
        <family val="2"/>
      </rPr>
      <t xml:space="preserve">서울특별시 양천구 목동동로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70</t>
    </r>
  </si>
  <si>
    <t xml:space="preserve">양동중학교</t>
  </si>
  <si>
    <t xml:space="preserve">02-2648-3638</t>
  </si>
  <si>
    <t xml:space="preserve">http://yangdong.sen.ms.kr</t>
  </si>
  <si>
    <r>
      <rPr>
        <sz val="10"/>
        <rFont val="Noto Sans CJK SC"/>
        <family val="2"/>
      </rPr>
      <t xml:space="preserve">서울특별시 양천구 목동중앙북로 </t>
    </r>
    <r>
      <rPr>
        <sz val="10"/>
        <rFont val="맑은 고딕"/>
        <family val="0"/>
        <charset val="1"/>
      </rPr>
      <t xml:space="preserve">49</t>
    </r>
  </si>
  <si>
    <t xml:space="preserve">영도중학교</t>
  </si>
  <si>
    <t xml:space="preserve">02-2643-0242</t>
  </si>
  <si>
    <t xml:space="preserve">http://yeongdo21.sen.ms.kr</t>
  </si>
  <si>
    <r>
      <rPr>
        <sz val="10"/>
        <rFont val="Noto Sans CJK SC"/>
        <family val="2"/>
      </rPr>
      <t xml:space="preserve">서울특별시 양천구 목동중앙남로 </t>
    </r>
    <r>
      <rPr>
        <sz val="10"/>
        <rFont val="맑은 고딕"/>
        <family val="0"/>
        <charset val="1"/>
      </rPr>
      <t xml:space="preserve">27</t>
    </r>
  </si>
  <si>
    <t xml:space="preserve">교육청 직속</t>
  </si>
  <si>
    <t xml:space="preserve">광문고등학교</t>
  </si>
  <si>
    <t xml:space="preserve">02-427-2870</t>
  </si>
  <si>
    <t xml:space="preserve">http://gwangmun.sen.hs.kr</t>
  </si>
  <si>
    <r>
      <rPr>
        <sz val="10"/>
        <rFont val="Noto Sans CJK SC"/>
        <family val="2"/>
      </rPr>
      <t xml:space="preserve">서울특별시 강동구 동남로 </t>
    </r>
    <r>
      <rPr>
        <sz val="10"/>
        <rFont val="맑은 고딕"/>
        <family val="0"/>
        <charset val="1"/>
      </rPr>
      <t xml:space="preserve">968</t>
    </r>
  </si>
  <si>
    <t xml:space="preserve">강북구</t>
  </si>
  <si>
    <t xml:space="preserve">신일고등학교</t>
  </si>
  <si>
    <t xml:space="preserve">02-989-4151</t>
  </si>
  <si>
    <t xml:space="preserve">http://shinil.sen.hs.kr</t>
  </si>
  <si>
    <r>
      <rPr>
        <sz val="10"/>
        <rFont val="Noto Sans CJK SC"/>
        <family val="2"/>
      </rPr>
      <t xml:space="preserve">서울특별시 강북구 솔매로</t>
    </r>
    <r>
      <rPr>
        <sz val="10"/>
        <rFont val="맑은 고딕"/>
        <family val="0"/>
        <charset val="1"/>
      </rPr>
      <t xml:space="preserve">49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20</t>
    </r>
  </si>
  <si>
    <t xml:space="preserve">혜화여자고등학교</t>
  </si>
  <si>
    <t xml:space="preserve">02-985-8415</t>
  </si>
  <si>
    <t xml:space="preserve">http://hyehwa-h.sen.hs.kr</t>
  </si>
  <si>
    <r>
      <rPr>
        <sz val="10"/>
        <rFont val="Noto Sans CJK SC"/>
        <family val="2"/>
      </rPr>
      <t xml:space="preserve">서울특별시 강북구 인수봉로 </t>
    </r>
    <r>
      <rPr>
        <sz val="10"/>
        <rFont val="맑은 고딕"/>
        <family val="0"/>
        <charset val="1"/>
      </rPr>
      <t xml:space="preserve">127</t>
    </r>
  </si>
  <si>
    <t xml:space="preserve">동양고등학교</t>
  </si>
  <si>
    <t xml:space="preserve">02-2657-0800</t>
  </si>
  <si>
    <t xml:space="preserve">http://dongyang.sen.hs.kr</t>
  </si>
  <si>
    <r>
      <rPr>
        <sz val="10"/>
        <rFont val="Noto Sans CJK SC"/>
        <family val="2"/>
      </rPr>
      <t xml:space="preserve">서울특별시 강서구 허준로 </t>
    </r>
    <r>
      <rPr>
        <sz val="10"/>
        <rFont val="맑은 고딕"/>
        <family val="0"/>
        <charset val="1"/>
      </rPr>
      <t xml:space="preserve">50</t>
    </r>
  </si>
  <si>
    <t xml:space="preserve">마포고등학교</t>
  </si>
  <si>
    <t xml:space="preserve">02-3663-2583</t>
  </si>
  <si>
    <t xml:space="preserve">http://mapo.sen.hs.kr</t>
  </si>
  <si>
    <r>
      <rPr>
        <sz val="10"/>
        <rFont val="Noto Sans CJK SC"/>
        <family val="2"/>
      </rPr>
      <t xml:space="preserve">서울특별시 강서구 화곡로 </t>
    </r>
    <r>
      <rPr>
        <sz val="10"/>
        <rFont val="맑은 고딕"/>
        <family val="0"/>
        <charset val="1"/>
      </rPr>
      <t xml:space="preserve">403</t>
    </r>
  </si>
  <si>
    <t xml:space="preserve">영일고등학교</t>
  </si>
  <si>
    <t xml:space="preserve">02-2653-8134</t>
  </si>
  <si>
    <t xml:space="preserve">http://youngil.sen.hs.kr</t>
  </si>
  <si>
    <r>
      <rPr>
        <sz val="10"/>
        <rFont val="Noto Sans CJK SC"/>
        <family val="2"/>
      </rPr>
      <t xml:space="preserve">서울특별시 강서구 등촌로</t>
    </r>
    <r>
      <rPr>
        <sz val="10"/>
        <rFont val="맑은 고딕"/>
        <family val="0"/>
        <charset val="1"/>
      </rPr>
      <t xml:space="preserve">51</t>
    </r>
    <r>
      <rPr>
        <sz val="10"/>
        <rFont val="Noto Sans CJK SC"/>
        <family val="2"/>
      </rPr>
      <t xml:space="preserve">가길 </t>
    </r>
    <r>
      <rPr>
        <sz val="10"/>
        <rFont val="맑은 고딕"/>
        <family val="0"/>
        <charset val="1"/>
      </rPr>
      <t xml:space="preserve">26</t>
    </r>
  </si>
  <si>
    <r>
      <rPr>
        <sz val="10"/>
        <rFont val="Noto Sans CJK SC"/>
        <family val="2"/>
      </rPr>
      <t xml:space="preserve">특수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기타</t>
    </r>
  </si>
  <si>
    <t xml:space="preserve">서울서진학교</t>
  </si>
  <si>
    <t xml:space="preserve">02-6981-9000</t>
  </si>
  <si>
    <t xml:space="preserve">http://seojin.sen.sc.kr</t>
  </si>
  <si>
    <r>
      <rPr>
        <sz val="10"/>
        <rFont val="Noto Sans CJK SC"/>
        <family val="2"/>
      </rPr>
      <t xml:space="preserve">서울특별시 강서구 양천로</t>
    </r>
    <r>
      <rPr>
        <sz val="10"/>
        <rFont val="맑은 고딕"/>
        <family val="0"/>
        <charset val="1"/>
      </rPr>
      <t xml:space="preserve">55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22</t>
    </r>
  </si>
  <si>
    <t xml:space="preserve">관악구</t>
  </si>
  <si>
    <t xml:space="preserve">당곡고등학교</t>
  </si>
  <si>
    <t xml:space="preserve">02-6717-5200</t>
  </si>
  <si>
    <t xml:space="preserve">http://danggok.sen.hs.kr</t>
  </si>
  <si>
    <r>
      <rPr>
        <sz val="10"/>
        <rFont val="Noto Sans CJK SC"/>
        <family val="2"/>
      </rPr>
      <t xml:space="preserve">서울특별시 관악구 봉천로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108</t>
    </r>
  </si>
  <si>
    <t xml:space="preserve">광진구</t>
  </si>
  <si>
    <t xml:space="preserve">대원여자고등학교</t>
  </si>
  <si>
    <t xml:space="preserve">02-2204-1620</t>
  </si>
  <si>
    <t xml:space="preserve">http://dwg.sen.hs.kr</t>
  </si>
  <si>
    <r>
      <rPr>
        <sz val="10"/>
        <rFont val="Noto Sans CJK SC"/>
        <family val="2"/>
      </rPr>
      <t xml:space="preserve">서울특별시 광진구 용마산로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26</t>
    </r>
  </si>
  <si>
    <t xml:space="preserve">동국대학교사범대학부속가람고등학교</t>
  </si>
  <si>
    <t xml:space="preserve">02-2049-1577</t>
  </si>
  <si>
    <t xml:space="preserve">http://garam.sen.hs.kr</t>
  </si>
  <si>
    <r>
      <rPr>
        <sz val="10"/>
        <rFont val="Noto Sans CJK SC"/>
        <family val="2"/>
      </rPr>
      <t xml:space="preserve">서울특별시 광진구 광나루로</t>
    </r>
    <r>
      <rPr>
        <sz val="10"/>
        <rFont val="맑은 고딕"/>
        <family val="0"/>
        <charset val="1"/>
      </rPr>
      <t xml:space="preserve">36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47</t>
    </r>
  </si>
  <si>
    <t xml:space="preserve">구로구</t>
  </si>
  <si>
    <t xml:space="preserve">경인고등학교</t>
  </si>
  <si>
    <t xml:space="preserve">02-2618-3043</t>
  </si>
  <si>
    <t xml:space="preserve">http://kyeongin.sen.hs.kr</t>
  </si>
  <si>
    <r>
      <rPr>
        <sz val="10"/>
        <rFont val="Noto Sans CJK SC"/>
        <family val="2"/>
      </rPr>
      <t xml:space="preserve">서울특별시 구로구 경인로</t>
    </r>
    <r>
      <rPr>
        <sz val="10"/>
        <rFont val="맑은 고딕"/>
        <family val="0"/>
        <charset val="1"/>
      </rPr>
      <t xml:space="preserve">46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31</t>
    </r>
  </si>
  <si>
    <t xml:space="preserve">구로고등학교</t>
  </si>
  <si>
    <t xml:space="preserve">02-851-2065</t>
  </si>
  <si>
    <t xml:space="preserve">http://guro.sen.hs.kr</t>
  </si>
  <si>
    <r>
      <rPr>
        <sz val="10"/>
        <rFont val="Noto Sans CJK SC"/>
        <family val="2"/>
      </rPr>
      <t xml:space="preserve">서울특별시 구로구 가마산로</t>
    </r>
    <r>
      <rPr>
        <sz val="10"/>
        <rFont val="맑은 고딕"/>
        <family val="0"/>
        <charset val="1"/>
      </rPr>
      <t xml:space="preserve">27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45</t>
    </r>
  </si>
  <si>
    <t xml:space="preserve">구일고등학교</t>
  </si>
  <si>
    <t xml:space="preserve">02-858-2549</t>
  </si>
  <si>
    <t xml:space="preserve">http://guil.sen.hs.kr</t>
  </si>
  <si>
    <r>
      <rPr>
        <sz val="10"/>
        <rFont val="Noto Sans CJK SC"/>
        <family val="2"/>
      </rPr>
      <t xml:space="preserve">서울특별시 구로구 구일로 </t>
    </r>
    <r>
      <rPr>
        <sz val="10"/>
        <rFont val="맑은 고딕"/>
        <family val="0"/>
        <charset val="1"/>
      </rPr>
      <t xml:space="preserve">90-51</t>
    </r>
  </si>
  <si>
    <t xml:space="preserve">서울정진학교</t>
  </si>
  <si>
    <t xml:space="preserve">02-2688-1303</t>
  </si>
  <si>
    <t xml:space="preserve">http://jungjin.sen.sc.kr</t>
  </si>
  <si>
    <r>
      <rPr>
        <sz val="10"/>
        <rFont val="Noto Sans CJK SC"/>
        <family val="2"/>
      </rPr>
      <t xml:space="preserve">서울특별시 구로구 부일로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158</t>
    </r>
  </si>
  <si>
    <t xml:space="preserve">금천구</t>
  </si>
  <si>
    <t xml:space="preserve">동일여자고등학교</t>
  </si>
  <si>
    <t xml:space="preserve">02-803-9806</t>
  </si>
  <si>
    <t xml:space="preserve">http://dongilg.sen.hs.kr</t>
  </si>
  <si>
    <r>
      <rPr>
        <sz val="10"/>
        <rFont val="Noto Sans CJK SC"/>
        <family val="2"/>
      </rPr>
      <t xml:space="preserve">서울특별시 금천구 탑골로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45</t>
    </r>
  </si>
  <si>
    <t xml:space="preserve">노원구</t>
  </si>
  <si>
    <t xml:space="preserve">불암고등학교</t>
  </si>
  <si>
    <t xml:space="preserve">02-936-7500</t>
  </si>
  <si>
    <t xml:space="preserve">http://buram.sen.hs.kr</t>
  </si>
  <si>
    <r>
      <rPr>
        <sz val="10"/>
        <rFont val="Noto Sans CJK SC"/>
        <family val="2"/>
      </rPr>
      <t xml:space="preserve">서울특별시 노원구 중계로 </t>
    </r>
    <r>
      <rPr>
        <sz val="10"/>
        <rFont val="맑은 고딕"/>
        <family val="0"/>
        <charset val="1"/>
      </rPr>
      <t xml:space="preserve">155</t>
    </r>
  </si>
  <si>
    <t xml:space="preserve">상명고등학교</t>
  </si>
  <si>
    <t xml:space="preserve">02-971-6211</t>
  </si>
  <si>
    <t xml:space="preserve">http://sangmyung.sen.hs.kr</t>
  </si>
  <si>
    <r>
      <rPr>
        <sz val="10"/>
        <rFont val="Noto Sans CJK SC"/>
        <family val="2"/>
      </rPr>
      <t xml:space="preserve">서울특별시 노원구 덕릉로 </t>
    </r>
    <r>
      <rPr>
        <sz val="10"/>
        <rFont val="맑은 고딕"/>
        <family val="0"/>
        <charset val="1"/>
      </rPr>
      <t xml:space="preserve">553</t>
    </r>
  </si>
  <si>
    <t xml:space="preserve">서라벌고등학교</t>
  </si>
  <si>
    <t xml:space="preserve">02-2092-2200</t>
  </si>
  <si>
    <t xml:space="preserve">http://sorabol.sen.hs.kr</t>
  </si>
  <si>
    <r>
      <rPr>
        <sz val="10"/>
        <rFont val="Noto Sans CJK SC"/>
        <family val="2"/>
      </rPr>
      <t xml:space="preserve">서울특별시 노원구 한글비석로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18</t>
    </r>
  </si>
  <si>
    <t xml:space="preserve">용화여자고등학교</t>
  </si>
  <si>
    <t xml:space="preserve">02-950-3500</t>
  </si>
  <si>
    <t xml:space="preserve">http://www.yonghwa.hs.kr</t>
  </si>
  <si>
    <r>
      <rPr>
        <sz val="10"/>
        <rFont val="Noto Sans CJK SC"/>
        <family val="2"/>
      </rPr>
      <t xml:space="preserve">서울특별시 노원구 동일로 </t>
    </r>
    <r>
      <rPr>
        <sz val="10"/>
        <rFont val="맑은 고딕"/>
        <family val="0"/>
        <charset val="1"/>
      </rPr>
      <t xml:space="preserve">1461</t>
    </r>
  </si>
  <si>
    <t xml:space="preserve">청원여자고등학교</t>
  </si>
  <si>
    <t xml:space="preserve">02-3399-7811</t>
  </si>
  <si>
    <t xml:space="preserve">http://cheongwon-gh.sen.hs.kr</t>
  </si>
  <si>
    <r>
      <rPr>
        <sz val="10"/>
        <rFont val="Noto Sans CJK SC"/>
        <family val="2"/>
      </rPr>
      <t xml:space="preserve">서울특별시 노원구 한글비석로 </t>
    </r>
    <r>
      <rPr>
        <sz val="10"/>
        <rFont val="맑은 고딕"/>
        <family val="0"/>
        <charset val="1"/>
      </rPr>
      <t xml:space="preserve">506</t>
    </r>
  </si>
  <si>
    <t xml:space="preserve">도봉구</t>
  </si>
  <si>
    <t xml:space="preserve">선덕고등학교</t>
  </si>
  <si>
    <t xml:space="preserve">02-997-4111</t>
  </si>
  <si>
    <t xml:space="preserve">http://sunduck.sen.hs.kr</t>
  </si>
  <si>
    <r>
      <rPr>
        <sz val="10"/>
        <rFont val="Noto Sans CJK SC"/>
        <family val="2"/>
      </rPr>
      <t xml:space="preserve">서울특별시 도봉구 시루봉로 </t>
    </r>
    <r>
      <rPr>
        <sz val="10"/>
        <rFont val="맑은 고딕"/>
        <family val="0"/>
        <charset val="1"/>
      </rPr>
      <t xml:space="preserve">53</t>
    </r>
  </si>
  <si>
    <t xml:space="preserve">동대문구</t>
  </si>
  <si>
    <t xml:space="preserve">동국대학교사범대학부속고등학교</t>
  </si>
  <si>
    <t xml:space="preserve">02-6913-1511</t>
  </si>
  <si>
    <t xml:space="preserve">http://ddbk.sen.hs.kr</t>
  </si>
  <si>
    <r>
      <rPr>
        <sz val="10"/>
        <rFont val="Noto Sans CJK SC"/>
        <family val="2"/>
      </rPr>
      <t xml:space="preserve">서울특별시 동대문구 장안벚꽃로 </t>
    </r>
    <r>
      <rPr>
        <sz val="10"/>
        <rFont val="맑은 고딕"/>
        <family val="0"/>
        <charset val="1"/>
      </rPr>
      <t xml:space="preserve">201</t>
    </r>
  </si>
  <si>
    <t xml:space="preserve">동작구</t>
  </si>
  <si>
    <t xml:space="preserve">경문고등학교</t>
  </si>
  <si>
    <t xml:space="preserve">02-535-1301</t>
  </si>
  <si>
    <t xml:space="preserve">http://kyungmoon.sen.hs.kr</t>
  </si>
  <si>
    <r>
      <rPr>
        <sz val="10"/>
        <rFont val="Noto Sans CJK SC"/>
        <family val="2"/>
      </rPr>
      <t xml:space="preserve">서울특별시 동작구 동작대로 </t>
    </r>
    <r>
      <rPr>
        <sz val="10"/>
        <rFont val="맑은 고딕"/>
        <family val="0"/>
        <charset val="1"/>
      </rPr>
      <t xml:space="preserve">171</t>
    </r>
  </si>
  <si>
    <t xml:space="preserve">성남고등학교</t>
  </si>
  <si>
    <t xml:space="preserve">02-815-3645</t>
  </si>
  <si>
    <t xml:space="preserve">http://sungnam.sen.hs.kr</t>
  </si>
  <si>
    <r>
      <rPr>
        <sz val="10"/>
        <rFont val="Noto Sans CJK SC"/>
        <family val="2"/>
      </rPr>
      <t xml:space="preserve">서울특별시 동작구 대방동길 </t>
    </r>
    <r>
      <rPr>
        <sz val="10"/>
        <rFont val="맑은 고딕"/>
        <family val="0"/>
        <charset val="1"/>
      </rPr>
      <t xml:space="preserve">74</t>
    </r>
  </si>
  <si>
    <t xml:space="preserve">수도여자고등학교</t>
  </si>
  <si>
    <t xml:space="preserve">02-2102-3506</t>
  </si>
  <si>
    <t xml:space="preserve">http://sudogh.sen.hs.kr</t>
  </si>
  <si>
    <r>
      <rPr>
        <sz val="10"/>
        <rFont val="Noto Sans CJK SC"/>
        <family val="2"/>
      </rPr>
      <t xml:space="preserve">서울특별시 동작구 여의대방로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73</t>
    </r>
  </si>
  <si>
    <t xml:space="preserve">숭의여자고등학교</t>
  </si>
  <si>
    <t xml:space="preserve">02-810-7800</t>
  </si>
  <si>
    <t xml:space="preserve">http://soongeui.sen.hs.kr</t>
  </si>
  <si>
    <r>
      <rPr>
        <sz val="10"/>
        <rFont val="Noto Sans CJK SC"/>
        <family val="2"/>
      </rPr>
      <t xml:space="preserve">서울특별시 동작구 여의대방로</t>
    </r>
    <r>
      <rPr>
        <sz val="10"/>
        <rFont val="맑은 고딕"/>
        <family val="0"/>
        <charset val="1"/>
      </rPr>
      <t xml:space="preserve">36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79</t>
    </r>
  </si>
  <si>
    <t xml:space="preserve">마포구</t>
  </si>
  <si>
    <t xml:space="preserve">상암고등학교</t>
  </si>
  <si>
    <t xml:space="preserve">02-373-0041</t>
  </si>
  <si>
    <t xml:space="preserve">http://sangam.sen.hs.kr</t>
  </si>
  <si>
    <r>
      <rPr>
        <sz val="10"/>
        <rFont val="Noto Sans CJK SC"/>
        <family val="2"/>
      </rPr>
      <t xml:space="preserve">서울특별시 마포구 월드컵북로 </t>
    </r>
    <r>
      <rPr>
        <sz val="10"/>
        <rFont val="맑은 고딕"/>
        <family val="0"/>
        <charset val="1"/>
      </rPr>
      <t xml:space="preserve">445</t>
    </r>
  </si>
  <si>
    <t xml:space="preserve">숭문고등학교</t>
  </si>
  <si>
    <t xml:space="preserve">02-715-4461</t>
  </si>
  <si>
    <t xml:space="preserve">http://soongmoon.sen.hs.kr</t>
  </si>
  <si>
    <r>
      <rPr>
        <sz val="10"/>
        <rFont val="Noto Sans CJK SC"/>
        <family val="2"/>
      </rPr>
      <t xml:space="preserve">서울특별시 마포구 숭문길 </t>
    </r>
    <r>
      <rPr>
        <sz val="10"/>
        <rFont val="맑은 고딕"/>
        <family val="0"/>
        <charset val="1"/>
      </rPr>
      <t xml:space="preserve">99</t>
    </r>
  </si>
  <si>
    <t xml:space="preserve">서대문구</t>
  </si>
  <si>
    <t xml:space="preserve">가재울고등학교</t>
  </si>
  <si>
    <t xml:space="preserve">02-6351-0500</t>
  </si>
  <si>
    <t xml:space="preserve">http://gajaeul.sen.hs.kr</t>
  </si>
  <si>
    <r>
      <rPr>
        <sz val="10"/>
        <rFont val="Noto Sans CJK SC"/>
        <family val="2"/>
      </rPr>
      <t xml:space="preserve">서울특별시 서대문구 수색로 </t>
    </r>
    <r>
      <rPr>
        <sz val="10"/>
        <rFont val="맑은 고딕"/>
        <family val="0"/>
        <charset val="1"/>
      </rPr>
      <t xml:space="preserve">100-35</t>
    </r>
  </si>
  <si>
    <t xml:space="preserve">동덕여자고등학교</t>
  </si>
  <si>
    <t xml:space="preserve">02-586-5418</t>
  </si>
  <si>
    <t xml:space="preserve">http://dongduk.sen.hs.kr</t>
  </si>
  <si>
    <r>
      <rPr>
        <sz val="10"/>
        <rFont val="Noto Sans CJK SC"/>
        <family val="2"/>
      </rPr>
      <t xml:space="preserve">서울특별시 서초구 효령로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123-5</t>
    </r>
  </si>
  <si>
    <t xml:space="preserve">반포고등학교</t>
  </si>
  <si>
    <t xml:space="preserve">02-2258-4300</t>
  </si>
  <si>
    <t xml:space="preserve">http://banpo.sen.hs.kr</t>
  </si>
  <si>
    <r>
      <rPr>
        <sz val="10"/>
        <rFont val="Noto Sans CJK SC"/>
        <family val="2"/>
      </rPr>
      <t xml:space="preserve">서울특별시 서초구 고무래로 </t>
    </r>
    <r>
      <rPr>
        <sz val="10"/>
        <rFont val="맑은 고딕"/>
        <family val="0"/>
        <charset val="1"/>
      </rPr>
      <t xml:space="preserve">71</t>
    </r>
  </si>
  <si>
    <t xml:space="preserve">서울고등학교</t>
  </si>
  <si>
    <t xml:space="preserve">02-582-8151</t>
  </si>
  <si>
    <t xml:space="preserve">http://seoul.sen.hs.kr</t>
  </si>
  <si>
    <r>
      <rPr>
        <sz val="10"/>
        <rFont val="Noto Sans CJK SC"/>
        <family val="2"/>
      </rPr>
      <t xml:space="preserve">서울특별시 서초구 효령로 </t>
    </r>
    <r>
      <rPr>
        <sz val="10"/>
        <rFont val="맑은 고딕"/>
        <family val="0"/>
        <charset val="1"/>
      </rPr>
      <t xml:space="preserve">197</t>
    </r>
  </si>
  <si>
    <t xml:space="preserve">언남고등학교</t>
  </si>
  <si>
    <t xml:space="preserve">02-575-2680</t>
  </si>
  <si>
    <t xml:space="preserve">http://eonnam.sen.hs.kr</t>
  </si>
  <si>
    <r>
      <rPr>
        <sz val="10"/>
        <rFont val="Noto Sans CJK SC"/>
        <family val="2"/>
      </rPr>
      <t xml:space="preserve">서울특별시 서초구 동산로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35</t>
    </r>
  </si>
  <si>
    <t xml:space="preserve">성동구</t>
  </si>
  <si>
    <t xml:space="preserve">도선고등학교</t>
  </si>
  <si>
    <t xml:space="preserve">02-2292-8175</t>
  </si>
  <si>
    <t xml:space="preserve">http://dosun.sen.hs.kr</t>
  </si>
  <si>
    <r>
      <rPr>
        <sz val="10"/>
        <rFont val="Noto Sans CJK SC"/>
        <family val="2"/>
      </rPr>
      <t xml:space="preserve">서울특별시 성동구 마장로 </t>
    </r>
    <r>
      <rPr>
        <sz val="10"/>
        <rFont val="맑은 고딕"/>
        <family val="0"/>
        <charset val="1"/>
      </rPr>
      <t xml:space="preserve">156</t>
    </r>
  </si>
  <si>
    <t xml:space="preserve">한양대학교사범대학부속고등학교</t>
  </si>
  <si>
    <t xml:space="preserve">02-2200-3520</t>
  </si>
  <si>
    <t xml:space="preserve">http://www.hanyang-u.hs.kr</t>
  </si>
  <si>
    <r>
      <rPr>
        <sz val="10"/>
        <rFont val="Noto Sans CJK SC"/>
        <family val="2"/>
      </rPr>
      <t xml:space="preserve">서울특별시 성동구 마조로 </t>
    </r>
    <r>
      <rPr>
        <sz val="10"/>
        <rFont val="맑은 고딕"/>
        <family val="0"/>
        <charset val="1"/>
      </rPr>
      <t xml:space="preserve">42</t>
    </r>
  </si>
  <si>
    <t xml:space="preserve">성북구</t>
  </si>
  <si>
    <t xml:space="preserve">계성고등학교</t>
  </si>
  <si>
    <t xml:space="preserve">02-728-6100</t>
  </si>
  <si>
    <t xml:space="preserve">http://gyeseong.sen.hs.kr</t>
  </si>
  <si>
    <r>
      <rPr>
        <sz val="10"/>
        <rFont val="Noto Sans CJK SC"/>
        <family val="2"/>
      </rPr>
      <t xml:space="preserve">서울특별시 성북구 길음로 </t>
    </r>
    <r>
      <rPr>
        <sz val="10"/>
        <rFont val="맑은 고딕"/>
        <family val="0"/>
        <charset val="1"/>
      </rPr>
      <t xml:space="preserve">63</t>
    </r>
  </si>
  <si>
    <t xml:space="preserve">고려대학교사범대학부속고등학교</t>
  </si>
  <si>
    <t xml:space="preserve">02-914-7483</t>
  </si>
  <si>
    <t xml:space="preserve">http://koreahi.sen.hs.kr</t>
  </si>
  <si>
    <r>
      <rPr>
        <sz val="10"/>
        <rFont val="Noto Sans CJK SC"/>
        <family val="2"/>
      </rPr>
      <t xml:space="preserve">서울특별시 성북구 정릉로 </t>
    </r>
    <r>
      <rPr>
        <sz val="10"/>
        <rFont val="맑은 고딕"/>
        <family val="0"/>
        <charset val="1"/>
      </rPr>
      <t xml:space="preserve">161</t>
    </r>
  </si>
  <si>
    <t xml:space="preserve">석관고등학교</t>
  </si>
  <si>
    <t xml:space="preserve">02-958-1000</t>
  </si>
  <si>
    <t xml:space="preserve">http://seokgwan.sen.hs.kr</t>
  </si>
  <si>
    <r>
      <rPr>
        <sz val="10"/>
        <rFont val="Noto Sans CJK SC"/>
        <family val="2"/>
      </rPr>
      <t xml:space="preserve">서울특별시 성북구 한천로</t>
    </r>
    <r>
      <rPr>
        <sz val="10"/>
        <rFont val="맑은 고딕"/>
        <family val="0"/>
        <charset val="1"/>
      </rPr>
      <t xml:space="preserve">70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30</t>
    </r>
  </si>
  <si>
    <t xml:space="preserve">용문고등학교</t>
  </si>
  <si>
    <t xml:space="preserve">02-928-3871</t>
  </si>
  <si>
    <t xml:space="preserve">http://yongmoon.sen.hs.kr</t>
  </si>
  <si>
    <r>
      <rPr>
        <sz val="10"/>
        <rFont val="Noto Sans CJK SC"/>
        <family val="2"/>
      </rPr>
      <t xml:space="preserve">서울특별시 성북구 고려대로</t>
    </r>
    <r>
      <rPr>
        <sz val="10"/>
        <rFont val="맑은 고딕"/>
        <family val="0"/>
        <charset val="1"/>
      </rPr>
      <t xml:space="preserve">17</t>
    </r>
    <r>
      <rPr>
        <sz val="10"/>
        <rFont val="Noto Sans CJK SC"/>
        <family val="2"/>
      </rPr>
      <t xml:space="preserve">가길 </t>
    </r>
    <r>
      <rPr>
        <sz val="10"/>
        <rFont val="맑은 고딕"/>
        <family val="0"/>
        <charset val="1"/>
      </rPr>
      <t xml:space="preserve">46</t>
    </r>
  </si>
  <si>
    <t xml:space="preserve">홍익대학교사범대학부속고등학교</t>
  </si>
  <si>
    <t xml:space="preserve">02-762-0826</t>
  </si>
  <si>
    <t xml:space="preserve">http://hongik.sen.hs.kr</t>
  </si>
  <si>
    <r>
      <rPr>
        <sz val="10"/>
        <rFont val="Noto Sans CJK SC"/>
        <family val="2"/>
      </rPr>
      <t xml:space="preserve">서울특별시 성북구 성북로</t>
    </r>
    <r>
      <rPr>
        <sz val="10"/>
        <rFont val="맑은 고딕"/>
        <family val="0"/>
        <charset val="1"/>
      </rPr>
      <t xml:space="preserve">14</t>
    </r>
    <r>
      <rPr>
        <sz val="10"/>
        <rFont val="Noto Sans CJK SC"/>
        <family val="2"/>
      </rPr>
      <t xml:space="preserve">가길 </t>
    </r>
    <r>
      <rPr>
        <sz val="10"/>
        <rFont val="맑은 고딕"/>
        <family val="0"/>
        <charset val="1"/>
      </rPr>
      <t xml:space="preserve">23</t>
    </r>
  </si>
  <si>
    <t xml:space="preserve">보성고등학교</t>
  </si>
  <si>
    <t xml:space="preserve">02-2152-2430</t>
  </si>
  <si>
    <t xml:space="preserve">http://posung.sen.hs.kr</t>
  </si>
  <si>
    <r>
      <rPr>
        <sz val="10"/>
        <rFont val="Noto Sans CJK SC"/>
        <family val="2"/>
      </rPr>
      <t xml:space="preserve">서울특별시 송파구 양재대로 </t>
    </r>
    <r>
      <rPr>
        <sz val="10"/>
        <rFont val="맑은 고딕"/>
        <family val="0"/>
        <charset val="1"/>
      </rPr>
      <t xml:space="preserve">1278</t>
    </r>
  </si>
  <si>
    <t xml:space="preserve">잠신고등학교</t>
  </si>
  <si>
    <t xml:space="preserve">02-417-8771</t>
  </si>
  <si>
    <t xml:space="preserve">http://jamsin.sen.hs.kr</t>
  </si>
  <si>
    <r>
      <rPr>
        <sz val="10"/>
        <rFont val="Noto Sans CJK SC"/>
        <family val="2"/>
      </rPr>
      <t xml:space="preserve">서울특별시 송파구 잠실로 </t>
    </r>
    <r>
      <rPr>
        <sz val="10"/>
        <rFont val="맑은 고딕"/>
        <family val="0"/>
        <charset val="1"/>
      </rPr>
      <t xml:space="preserve">24</t>
    </r>
  </si>
  <si>
    <t xml:space="preserve">광영여자고등학교</t>
  </si>
  <si>
    <t xml:space="preserve">02-2697-5553</t>
  </si>
  <si>
    <t xml:space="preserve">http://kyg.sen.hs.kr</t>
  </si>
  <si>
    <r>
      <rPr>
        <sz val="10"/>
        <rFont val="Noto Sans CJK SC"/>
        <family val="2"/>
      </rPr>
      <t xml:space="preserve">서울특별시 양천구 남부순환로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17</t>
    </r>
  </si>
  <si>
    <t xml:space="preserve">양정고등학교</t>
  </si>
  <si>
    <t xml:space="preserve">02-2649-7071</t>
  </si>
  <si>
    <t xml:space="preserve">http://www.yangchung.hs.kr</t>
  </si>
  <si>
    <r>
      <rPr>
        <sz val="10"/>
        <rFont val="Noto Sans CJK SC"/>
        <family val="2"/>
      </rPr>
      <t xml:space="preserve">서울특별시 양천구 안양천로 </t>
    </r>
    <r>
      <rPr>
        <sz val="10"/>
        <rFont val="맑은 고딕"/>
        <family val="0"/>
        <charset val="1"/>
      </rPr>
      <t xml:space="preserve">1039</t>
    </r>
  </si>
  <si>
    <t xml:space="preserve">영등포구</t>
  </si>
  <si>
    <t xml:space="preserve">관악고등학교</t>
  </si>
  <si>
    <t xml:space="preserve">02-2633-5954</t>
  </si>
  <si>
    <t xml:space="preserve">http://kwan-ak.sen.hs.kr</t>
  </si>
  <si>
    <r>
      <rPr>
        <sz val="10"/>
        <rFont val="Noto Sans CJK SC"/>
        <family val="2"/>
      </rPr>
      <t xml:space="preserve">서울특별시 영등포구 영등포로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26</t>
    </r>
  </si>
  <si>
    <t xml:space="preserve">용산구</t>
  </si>
  <si>
    <t xml:space="preserve">배문고등학교</t>
  </si>
  <si>
    <t xml:space="preserve">02-3480-7100</t>
  </si>
  <si>
    <t xml:space="preserve">http://www.baemoon.hs.kr</t>
  </si>
  <si>
    <r>
      <rPr>
        <sz val="10"/>
        <rFont val="Noto Sans CJK SC"/>
        <family val="2"/>
      </rPr>
      <t xml:space="preserve">서울특별시 용산구 효창원로 </t>
    </r>
    <r>
      <rPr>
        <sz val="10"/>
        <rFont val="맑은 고딕"/>
        <family val="0"/>
        <charset val="1"/>
      </rPr>
      <t xml:space="preserve">258</t>
    </r>
  </si>
  <si>
    <t xml:space="preserve">오산고등학교</t>
  </si>
  <si>
    <t xml:space="preserve">02-799-9500</t>
  </si>
  <si>
    <t xml:space="preserve">http://osan.sen.hs.kr</t>
  </si>
  <si>
    <r>
      <rPr>
        <sz val="10"/>
        <rFont val="Noto Sans CJK SC"/>
        <family val="2"/>
      </rPr>
      <t xml:space="preserve">서울특별시 용산구 보광로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17</t>
    </r>
  </si>
  <si>
    <t xml:space="preserve">용산고등학교</t>
  </si>
  <si>
    <t xml:space="preserve">02-3706-6700</t>
  </si>
  <si>
    <t xml:space="preserve">http://yongsan.sen.hs.kr</t>
  </si>
  <si>
    <r>
      <rPr>
        <sz val="10"/>
        <rFont val="Noto Sans CJK SC"/>
        <family val="2"/>
      </rPr>
      <t xml:space="preserve">서울특별시 용산구 두텁바위로 </t>
    </r>
    <r>
      <rPr>
        <sz val="10"/>
        <rFont val="맑은 고딕"/>
        <family val="0"/>
        <charset val="1"/>
      </rPr>
      <t xml:space="preserve">60</t>
    </r>
  </si>
  <si>
    <t xml:space="preserve">종로구</t>
  </si>
  <si>
    <t xml:space="preserve">덕성여자고등학교</t>
  </si>
  <si>
    <t xml:space="preserve">02-734-6871</t>
  </si>
  <si>
    <t xml:space="preserve">http://duksung.sen.hs.kr</t>
  </si>
  <si>
    <r>
      <rPr>
        <sz val="10"/>
        <rFont val="Noto Sans CJK SC"/>
        <family val="2"/>
      </rPr>
      <t xml:space="preserve">서울특별시 종로구 율곡로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50</t>
    </r>
  </si>
  <si>
    <t xml:space="preserve">동성고등학교</t>
  </si>
  <si>
    <t xml:space="preserve">02-3671-9100</t>
  </si>
  <si>
    <t xml:space="preserve">http://www.dongsung.hs.kr</t>
  </si>
  <si>
    <r>
      <rPr>
        <sz val="10"/>
        <rFont val="Noto Sans CJK SC"/>
        <family val="2"/>
      </rPr>
      <t xml:space="preserve">서울특별시 종로구 대학로 </t>
    </r>
    <r>
      <rPr>
        <sz val="10"/>
        <rFont val="맑은 고딕"/>
        <family val="0"/>
        <charset val="1"/>
      </rPr>
      <t xml:space="preserve">156</t>
    </r>
  </si>
  <si>
    <t xml:space="preserve">배화여자고등학교</t>
  </si>
  <si>
    <t xml:space="preserve">02-724-0300</t>
  </si>
  <si>
    <t xml:space="preserve">http://paiwha.sen.hs.kr</t>
  </si>
  <si>
    <r>
      <rPr>
        <sz val="10"/>
        <rFont val="Noto Sans CJK SC"/>
        <family val="2"/>
      </rPr>
      <t xml:space="preserve">서울특별시 종로구 필운대로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34</t>
    </r>
  </si>
  <si>
    <t xml:space="preserve">서울경운학교</t>
  </si>
  <si>
    <t xml:space="preserve">02-3668-5100</t>
  </si>
  <si>
    <t xml:space="preserve">http://gyeongun.sen.sc.kr</t>
  </si>
  <si>
    <r>
      <rPr>
        <sz val="10"/>
        <rFont val="Noto Sans CJK SC"/>
        <family val="2"/>
      </rPr>
      <t xml:space="preserve">서울특별시 종로구 삼일대로 </t>
    </r>
    <r>
      <rPr>
        <sz val="10"/>
        <rFont val="맑은 고딕"/>
        <family val="0"/>
        <charset val="1"/>
      </rPr>
      <t xml:space="preserve">454</t>
    </r>
  </si>
  <si>
    <t xml:space="preserve">중구</t>
  </si>
  <si>
    <t xml:space="preserve">이화여자고등학교</t>
  </si>
  <si>
    <t xml:space="preserve">02-752-3353</t>
  </si>
  <si>
    <t xml:space="preserve">http://www.ewha.hs.kr</t>
  </si>
  <si>
    <t xml:space="preserve">서울특별시 중구 정동길</t>
  </si>
  <si>
    <t xml:space="preserve">환일고등학교</t>
  </si>
  <si>
    <t xml:space="preserve">02-390-7113</t>
  </si>
  <si>
    <t xml:space="preserve">http://www.hwanil.hs.kr</t>
  </si>
  <si>
    <r>
      <rPr>
        <sz val="10"/>
        <rFont val="Noto Sans CJK SC"/>
        <family val="2"/>
      </rPr>
      <t xml:space="preserve">서울특별시 중구 환일길 </t>
    </r>
    <r>
      <rPr>
        <sz val="10"/>
        <rFont val="맑은 고딕"/>
        <family val="0"/>
        <charset val="1"/>
      </rPr>
      <t xml:space="preserve">47</t>
    </r>
  </si>
  <si>
    <t xml:space="preserve">중랑구</t>
  </si>
  <si>
    <t xml:space="preserve">면목고등학교</t>
  </si>
  <si>
    <t xml:space="preserve">02-435-0002</t>
  </si>
  <si>
    <t xml:space="preserve">http://mmhs.sen.hs.kr</t>
  </si>
  <si>
    <r>
      <rPr>
        <sz val="10"/>
        <rFont val="Noto Sans CJK SC"/>
        <family val="2"/>
      </rPr>
      <t xml:space="preserve">서울특별시 중랑구 용마산로</t>
    </r>
    <r>
      <rPr>
        <sz val="10"/>
        <rFont val="맑은 고딕"/>
        <family val="0"/>
        <charset val="1"/>
      </rPr>
      <t xml:space="preserve">72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36-14</t>
    </r>
  </si>
  <si>
    <t xml:space="preserve">송곡고등학교</t>
  </si>
  <si>
    <t xml:space="preserve">02-435-0660</t>
  </si>
  <si>
    <t xml:space="preserve">http://sg.sen.hs.kr</t>
  </si>
  <si>
    <r>
      <rPr>
        <sz val="10"/>
        <rFont val="Noto Sans CJK SC"/>
        <family val="2"/>
      </rPr>
      <t xml:space="preserve">서울특별시 중랑구 양원역로 </t>
    </r>
    <r>
      <rPr>
        <sz val="10"/>
        <rFont val="맑은 고딕"/>
        <family val="0"/>
        <charset val="1"/>
      </rPr>
      <t xml:space="preserve">50</t>
    </r>
  </si>
  <si>
    <t xml:space="preserve">원묵고등학교</t>
  </si>
  <si>
    <t xml:space="preserve">02-3422-3573</t>
  </si>
  <si>
    <t xml:space="preserve">http://wonmook.sen.hs.kr</t>
  </si>
  <si>
    <r>
      <rPr>
        <sz val="10"/>
        <rFont val="Noto Sans CJK SC"/>
        <family val="2"/>
      </rPr>
      <t xml:space="preserve">서울특별시 중랑구 숙선옹주로 </t>
    </r>
    <r>
      <rPr>
        <sz val="10"/>
        <rFont val="맑은 고딕"/>
        <family val="0"/>
        <charset val="1"/>
      </rPr>
      <t xml:space="preserve">82</t>
    </r>
  </si>
  <si>
    <t xml:space="preserve">태릉고등학교</t>
  </si>
  <si>
    <t xml:space="preserve">02-6211-8585</t>
  </si>
  <si>
    <t xml:space="preserve">http://taereung.sen.hs.kr</t>
  </si>
  <si>
    <r>
      <rPr>
        <sz val="10"/>
        <rFont val="Noto Sans CJK SC"/>
        <family val="2"/>
      </rPr>
      <t xml:space="preserve">서울특별시 중랑구 신내로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36</t>
    </r>
  </si>
  <si>
    <r>
      <rPr>
        <sz val="10"/>
        <rFont val="Noto Sans CJK SC"/>
        <family val="2"/>
      </rPr>
      <t xml:space="preserve">국립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교육부</t>
    </r>
    <r>
      <rPr>
        <sz val="10"/>
        <rFont val="맑은 고딕"/>
        <family val="0"/>
        <charset val="1"/>
      </rPr>
      <t xml:space="preserve">)</t>
    </r>
  </si>
  <si>
    <t xml:space="preserve">국립</t>
  </si>
  <si>
    <t xml:space="preserve">서울대학교사범대학부설중학교</t>
  </si>
  <si>
    <t xml:space="preserve">02-943-5812</t>
  </si>
  <si>
    <t xml:space="preserve">http://snums.sen.ms.kr</t>
  </si>
  <si>
    <r>
      <rPr>
        <sz val="10"/>
        <rFont val="Noto Sans CJK SC"/>
        <family val="2"/>
      </rPr>
      <t xml:space="preserve">서울특별시 성북구 월곡로 </t>
    </r>
    <r>
      <rPr>
        <sz val="10"/>
        <rFont val="맑은 고딕"/>
        <family val="0"/>
        <charset val="1"/>
      </rPr>
      <t xml:space="preserve">36</t>
    </r>
  </si>
  <si>
    <t xml:space="preserve">서울대학교사범대학부설여자중학교</t>
  </si>
  <si>
    <t xml:space="preserve">02-762-5252</t>
  </si>
  <si>
    <t xml:space="preserve">http://snu.sen.ms.kr</t>
  </si>
  <si>
    <r>
      <rPr>
        <sz val="10"/>
        <rFont val="Noto Sans CJK SC"/>
        <family val="2"/>
      </rPr>
      <t xml:space="preserve">서울특별시 종로구 대학로 </t>
    </r>
    <r>
      <rPr>
        <sz val="10"/>
        <rFont val="맑은 고딕"/>
        <family val="0"/>
        <charset val="1"/>
      </rPr>
      <t xml:space="preserve">64</t>
    </r>
  </si>
  <si>
    <t xml:space="preserve">남부교육지원청</t>
  </si>
  <si>
    <t xml:space="preserve">서울고척초등학교</t>
  </si>
  <si>
    <t xml:space="preserve">02-2618-6212</t>
  </si>
  <si>
    <t xml:space="preserve">http://gocheok.sen.es.kr</t>
  </si>
  <si>
    <r>
      <rPr>
        <sz val="10"/>
        <rFont val="Noto Sans CJK SC"/>
        <family val="2"/>
      </rPr>
      <t xml:space="preserve">서울특별시 구로구 경서로 </t>
    </r>
    <r>
      <rPr>
        <sz val="10"/>
        <rFont val="맑은 고딕"/>
        <family val="0"/>
        <charset val="1"/>
      </rPr>
      <t xml:space="preserve">31</t>
    </r>
  </si>
  <si>
    <t xml:space="preserve">서울미래초등학교</t>
  </si>
  <si>
    <t xml:space="preserve">02-868-1981</t>
  </si>
  <si>
    <t xml:space="preserve">http://mirae.sen.es.kr</t>
  </si>
  <si>
    <r>
      <rPr>
        <sz val="10"/>
        <rFont val="Noto Sans CJK SC"/>
        <family val="2"/>
      </rPr>
      <t xml:space="preserve">서울특별시 구로구 새말로 </t>
    </r>
    <r>
      <rPr>
        <sz val="10"/>
        <rFont val="맑은 고딕"/>
        <family val="0"/>
        <charset val="1"/>
      </rPr>
      <t xml:space="preserve">73</t>
    </r>
  </si>
  <si>
    <t xml:space="preserve">서울신미림초등학교</t>
  </si>
  <si>
    <t xml:space="preserve">02-2676-8644</t>
  </si>
  <si>
    <t xml:space="preserve">http://sinmirim.sen.es.kr</t>
  </si>
  <si>
    <r>
      <rPr>
        <sz val="10"/>
        <rFont val="Noto Sans CJK SC"/>
        <family val="2"/>
      </rPr>
      <t xml:space="preserve">서울특별시 구로구 신도림로 </t>
    </r>
    <r>
      <rPr>
        <sz val="10"/>
        <rFont val="맑은 고딕"/>
        <family val="0"/>
        <charset val="1"/>
      </rPr>
      <t xml:space="preserve">26</t>
    </r>
  </si>
  <si>
    <t xml:space="preserve">서울영일초등학교</t>
  </si>
  <si>
    <t xml:space="preserve">02-861-0426</t>
  </si>
  <si>
    <t xml:space="preserve">http://syoungil.sen.es.kr</t>
  </si>
  <si>
    <r>
      <rPr>
        <sz val="10"/>
        <rFont val="Noto Sans CJK SC"/>
        <family val="2"/>
      </rPr>
      <t xml:space="preserve">서울특별시 구로구 남부순환로</t>
    </r>
    <r>
      <rPr>
        <sz val="10"/>
        <rFont val="맑은 고딕"/>
        <family val="0"/>
        <charset val="1"/>
      </rPr>
      <t xml:space="preserve">105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218</t>
    </r>
  </si>
  <si>
    <t xml:space="preserve">서울오정초등학교</t>
  </si>
  <si>
    <t xml:space="preserve">02-2686-3165</t>
  </si>
  <si>
    <t xml:space="preserve">http://ojung.sen.es.kr</t>
  </si>
  <si>
    <r>
      <rPr>
        <sz val="10"/>
        <rFont val="Noto Sans CJK SC"/>
        <family val="2"/>
      </rPr>
      <t xml:space="preserve">서울특별시 구로구 경인로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10</t>
    </r>
  </si>
  <si>
    <t xml:space="preserve">서울금동초등학교</t>
  </si>
  <si>
    <t xml:space="preserve">02-809-2125</t>
  </si>
  <si>
    <t xml:space="preserve">http://geumdong.sen.es.kr</t>
  </si>
  <si>
    <r>
      <rPr>
        <sz val="10"/>
        <rFont val="Noto Sans CJK SC"/>
        <family val="2"/>
      </rPr>
      <t xml:space="preserve">서울특별시 금천구 금하로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53</t>
    </r>
  </si>
  <si>
    <t xml:space="preserve">서울문백초등학교</t>
  </si>
  <si>
    <t xml:space="preserve">02-803-4155</t>
  </si>
  <si>
    <t xml:space="preserve">http://munbaek.sen.es.kr</t>
  </si>
  <si>
    <r>
      <rPr>
        <sz val="10"/>
        <rFont val="Noto Sans CJK SC"/>
        <family val="2"/>
      </rPr>
      <t xml:space="preserve">서울특별시 금천구 시흥대로</t>
    </r>
    <r>
      <rPr>
        <sz val="10"/>
        <rFont val="맑은 고딕"/>
        <family val="0"/>
        <charset val="1"/>
      </rPr>
      <t xml:space="preserve">47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43-1</t>
    </r>
  </si>
  <si>
    <t xml:space="preserve">서울당서초등학교</t>
  </si>
  <si>
    <t xml:space="preserve">02-2675-4532</t>
  </si>
  <si>
    <t xml:space="preserve">http://dangseo.sen.es.kr</t>
  </si>
  <si>
    <r>
      <rPr>
        <sz val="10"/>
        <rFont val="Noto Sans CJK SC"/>
        <family val="2"/>
      </rPr>
      <t xml:space="preserve">서울특별시 영등포구 당산로 </t>
    </r>
    <r>
      <rPr>
        <sz val="10"/>
        <rFont val="맑은 고딕"/>
        <family val="0"/>
        <charset val="1"/>
      </rPr>
      <t xml:space="preserve">187</t>
    </r>
  </si>
  <si>
    <t xml:space="preserve">서울대길초등학교</t>
  </si>
  <si>
    <t xml:space="preserve">02-842-4500</t>
  </si>
  <si>
    <t xml:space="preserve">http://idaegil.sen.es.kr</t>
  </si>
  <si>
    <r>
      <rPr>
        <sz val="10"/>
        <rFont val="Noto Sans CJK SC"/>
        <family val="2"/>
      </rPr>
      <t xml:space="preserve">서울특별시 영등포구 대방천로 </t>
    </r>
    <r>
      <rPr>
        <sz val="10"/>
        <rFont val="맑은 고딕"/>
        <family val="0"/>
        <charset val="1"/>
      </rPr>
      <t xml:space="preserve">206</t>
    </r>
  </si>
  <si>
    <t xml:space="preserve">당산서중학교</t>
  </si>
  <si>
    <t xml:space="preserve">02-2676-0962</t>
  </si>
  <si>
    <t xml:space="preserve">http://dangsanseo.sen.ms.kr</t>
  </si>
  <si>
    <r>
      <rPr>
        <sz val="10"/>
        <rFont val="Noto Sans CJK SC"/>
        <family val="2"/>
      </rPr>
      <t xml:space="preserve">서울특별시 영등포구 당산로</t>
    </r>
    <r>
      <rPr>
        <sz val="10"/>
        <rFont val="맑은 고딕"/>
        <family val="0"/>
        <charset val="1"/>
      </rPr>
      <t xml:space="preserve">41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12</t>
    </r>
  </si>
  <si>
    <t xml:space="preserve">당산중학교</t>
  </si>
  <si>
    <t xml:space="preserve">02-2177-9900</t>
  </si>
  <si>
    <t xml:space="preserve">http://dangsan.sen.ms.kr</t>
  </si>
  <si>
    <r>
      <rPr>
        <sz val="10"/>
        <rFont val="Noto Sans CJK SC"/>
        <family val="2"/>
      </rPr>
      <t xml:space="preserve">서울특별시 영등포구 버드나루로 </t>
    </r>
    <r>
      <rPr>
        <sz val="10"/>
        <rFont val="맑은 고딕"/>
        <family val="0"/>
        <charset val="1"/>
      </rPr>
      <t xml:space="preserve">160</t>
    </r>
  </si>
  <si>
    <t xml:space="preserve">여의도중학교</t>
  </si>
  <si>
    <t xml:space="preserve">02-2199-9500</t>
  </si>
  <si>
    <t xml:space="preserve">http://yeouido.sen.ms.kr</t>
  </si>
  <si>
    <r>
      <rPr>
        <sz val="10"/>
        <rFont val="Noto Sans CJK SC"/>
        <family val="2"/>
      </rPr>
      <t xml:space="preserve">서울특별시 영등포구 국제금융로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46</t>
    </r>
  </si>
  <si>
    <t xml:space="preserve">동부교육지원청</t>
  </si>
  <si>
    <t xml:space="preserve">서울전농초등학교</t>
  </si>
  <si>
    <t xml:space="preserve">02-2247-0291</t>
  </si>
  <si>
    <t xml:space="preserve">http://jeonnong.sen.es.kr</t>
  </si>
  <si>
    <r>
      <rPr>
        <sz val="10"/>
        <rFont val="Noto Sans CJK SC"/>
        <family val="2"/>
      </rPr>
      <t xml:space="preserve">서울특별시 동대문구 사가정로 </t>
    </r>
    <r>
      <rPr>
        <sz val="10"/>
        <rFont val="맑은 고딕"/>
        <family val="0"/>
        <charset val="1"/>
      </rPr>
      <t xml:space="preserve">66</t>
    </r>
  </si>
  <si>
    <t xml:space="preserve">경희중학교</t>
  </si>
  <si>
    <t xml:space="preserve">02-957-9051</t>
  </si>
  <si>
    <t xml:space="preserve">http://kyunghee.sen.ms.kr</t>
  </si>
  <si>
    <r>
      <rPr>
        <sz val="10"/>
        <rFont val="Noto Sans CJK SC"/>
        <family val="2"/>
      </rPr>
      <t xml:space="preserve">서울특별시 동대문구 경희대로 </t>
    </r>
    <r>
      <rPr>
        <sz val="10"/>
        <rFont val="맑은 고딕"/>
        <family val="0"/>
        <charset val="1"/>
      </rPr>
      <t xml:space="preserve">26</t>
    </r>
  </si>
  <si>
    <t xml:space="preserve">장평중학교</t>
  </si>
  <si>
    <t xml:space="preserve">02-2243-8282</t>
  </si>
  <si>
    <t xml:space="preserve">http://jangpyung.sen.ms.kr</t>
  </si>
  <si>
    <r>
      <rPr>
        <sz val="10"/>
        <rFont val="Noto Sans CJK SC"/>
        <family val="2"/>
      </rPr>
      <t xml:space="preserve">서울특별시 동대문구 답십리로</t>
    </r>
    <r>
      <rPr>
        <sz val="10"/>
        <rFont val="맑은 고딕"/>
        <family val="0"/>
        <charset val="1"/>
      </rPr>
      <t xml:space="preserve">72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158</t>
    </r>
  </si>
  <si>
    <t xml:space="preserve">서울원묵초등학교</t>
  </si>
  <si>
    <t xml:space="preserve">02-3421-2100</t>
  </si>
  <si>
    <t xml:space="preserve">http://wonmuk.sen.es.kr</t>
  </si>
  <si>
    <r>
      <rPr>
        <sz val="10"/>
        <rFont val="Noto Sans CJK SC"/>
        <family val="2"/>
      </rPr>
      <t xml:space="preserve">서울특별시 중랑구 숙선옹주로 </t>
    </r>
    <r>
      <rPr>
        <sz val="10"/>
        <rFont val="맑은 고딕"/>
        <family val="0"/>
        <charset val="1"/>
      </rPr>
      <t xml:space="preserve">109</t>
    </r>
  </si>
  <si>
    <t xml:space="preserve">장안중학교</t>
  </si>
  <si>
    <t xml:space="preserve">02-6930-3300</t>
  </si>
  <si>
    <t xml:space="preserve">http://jangan70.sen.ms.kr</t>
  </si>
  <si>
    <r>
      <rPr>
        <sz val="10"/>
        <rFont val="Noto Sans CJK SC"/>
        <family val="2"/>
      </rPr>
      <t xml:space="preserve">서울특별시 중랑구 동일로 </t>
    </r>
    <r>
      <rPr>
        <sz val="10"/>
        <rFont val="맑은 고딕"/>
        <family val="0"/>
        <charset val="1"/>
      </rPr>
      <t xml:space="preserve">780</t>
    </r>
  </si>
  <si>
    <t xml:space="preserve">동작관악교육지원청</t>
  </si>
  <si>
    <t xml:space="preserve">서울미성초등학교</t>
  </si>
  <si>
    <t xml:space="preserve">02-839-8302</t>
  </si>
  <si>
    <t xml:space="preserve">http://misung.sen.es.kr</t>
  </si>
  <si>
    <r>
      <rPr>
        <sz val="10"/>
        <rFont val="Noto Sans CJK SC"/>
        <family val="2"/>
      </rPr>
      <t xml:space="preserve">서울특별시 관악구 문성로 </t>
    </r>
    <r>
      <rPr>
        <sz val="10"/>
        <rFont val="맑은 고딕"/>
        <family val="0"/>
        <charset val="1"/>
      </rPr>
      <t xml:space="preserve">79</t>
    </r>
  </si>
  <si>
    <t xml:space="preserve">서울신림초등학교</t>
  </si>
  <si>
    <t xml:space="preserve">02-856-3127</t>
  </si>
  <si>
    <t xml:space="preserve">http://sillim.sen.es.kr</t>
  </si>
  <si>
    <r>
      <rPr>
        <sz val="10"/>
        <rFont val="Noto Sans CJK SC"/>
        <family val="2"/>
      </rPr>
      <t xml:space="preserve">서울특별시 관악구 문성로</t>
    </r>
    <r>
      <rPr>
        <sz val="10"/>
        <rFont val="맑은 고딕"/>
        <family val="0"/>
        <charset val="1"/>
      </rPr>
      <t xml:space="preserve">28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31</t>
    </r>
  </si>
  <si>
    <t xml:space="preserve">서울신성초등학교</t>
  </si>
  <si>
    <t xml:space="preserve">02-875-7611</t>
  </si>
  <si>
    <t xml:space="preserve">http://sss.sen.es.kr</t>
  </si>
  <si>
    <r>
      <rPr>
        <sz val="10"/>
        <rFont val="Noto Sans CJK SC"/>
        <family val="2"/>
      </rPr>
      <t xml:space="preserve">서울특별시 관악구 신림로 </t>
    </r>
    <r>
      <rPr>
        <sz val="10"/>
        <rFont val="맑은 고딕"/>
        <family val="0"/>
        <charset val="1"/>
      </rPr>
      <t xml:space="preserve">114</t>
    </r>
  </si>
  <si>
    <t xml:space="preserve">서울보라매초등학교</t>
  </si>
  <si>
    <t xml:space="preserve">02-836-3001</t>
  </si>
  <si>
    <t xml:space="preserve">http://boramae.sen.es.kr</t>
  </si>
  <si>
    <r>
      <rPr>
        <sz val="10"/>
        <rFont val="Noto Sans CJK SC"/>
        <family val="2"/>
      </rPr>
      <t xml:space="preserve">서울특별시 동작구 여의대방로</t>
    </r>
    <r>
      <rPr>
        <sz val="10"/>
        <rFont val="맑은 고딕"/>
        <family val="0"/>
        <charset val="1"/>
      </rPr>
      <t xml:space="preserve">16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30</t>
    </r>
  </si>
  <si>
    <t xml:space="preserve">서울상도초등학교</t>
  </si>
  <si>
    <t xml:space="preserve">02-823-2168</t>
  </si>
  <si>
    <t xml:space="preserve">http://seoulsangdo.sen.es.kr</t>
  </si>
  <si>
    <r>
      <rPr>
        <sz val="10"/>
        <rFont val="Noto Sans CJK SC"/>
        <family val="2"/>
      </rPr>
      <t xml:space="preserve">서울특별시 동작구 성대로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62</t>
    </r>
  </si>
  <si>
    <t xml:space="preserve">서울흑석초등학교</t>
  </si>
  <si>
    <t xml:space="preserve">02-815-3276</t>
  </si>
  <si>
    <t xml:space="preserve">http://heukseok.sen.es.kr</t>
  </si>
  <si>
    <r>
      <rPr>
        <sz val="10"/>
        <rFont val="Noto Sans CJK SC"/>
        <family val="2"/>
      </rPr>
      <t xml:space="preserve">서울특별시 동작구 현충로 </t>
    </r>
    <r>
      <rPr>
        <sz val="10"/>
        <rFont val="맑은 고딕"/>
        <family val="0"/>
        <charset val="1"/>
      </rPr>
      <t xml:space="preserve">87</t>
    </r>
  </si>
  <si>
    <t xml:space="preserve">동양중학교</t>
  </si>
  <si>
    <t xml:space="preserve">02-814-9652</t>
  </si>
  <si>
    <t xml:space="preserve">http://dongyang.sen.ms.kr</t>
  </si>
  <si>
    <r>
      <rPr>
        <sz val="10"/>
        <rFont val="Noto Sans CJK SC"/>
        <family val="2"/>
      </rPr>
      <t xml:space="preserve">서울특별시 동작구 흑석로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94</t>
    </r>
  </si>
  <si>
    <t xml:space="preserve">사당중학교</t>
  </si>
  <si>
    <t xml:space="preserve">02-537-7157</t>
  </si>
  <si>
    <t xml:space="preserve">http://sadang.sen.ms.kr</t>
  </si>
  <si>
    <r>
      <rPr>
        <sz val="10"/>
        <rFont val="Noto Sans CJK SC"/>
        <family val="2"/>
      </rPr>
      <t xml:space="preserve">서울특별시 동작구 사당로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가길 </t>
    </r>
    <r>
      <rPr>
        <sz val="10"/>
        <rFont val="맑은 고딕"/>
        <family val="0"/>
        <charset val="1"/>
      </rPr>
      <t xml:space="preserve">58</t>
    </r>
  </si>
  <si>
    <t xml:space="preserve">장승중학교</t>
  </si>
  <si>
    <t xml:space="preserve">02-812-4416</t>
  </si>
  <si>
    <t xml:space="preserve">http://jangseung.sen.ms.kr</t>
  </si>
  <si>
    <r>
      <rPr>
        <sz val="10"/>
        <rFont val="Noto Sans CJK SC"/>
        <family val="2"/>
      </rPr>
      <t xml:space="preserve">서울특별시 동작구 장승배기로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가길 </t>
    </r>
    <r>
      <rPr>
        <sz val="10"/>
        <rFont val="맑은 고딕"/>
        <family val="0"/>
        <charset val="1"/>
      </rPr>
      <t xml:space="preserve">25</t>
    </r>
  </si>
  <si>
    <t xml:space="preserve">북부교육지원청</t>
  </si>
  <si>
    <t xml:space="preserve">서울공릉초등학교</t>
  </si>
  <si>
    <t xml:space="preserve">02-949-0212</t>
  </si>
  <si>
    <t xml:space="preserve">http://gongrung.sen.es.kr</t>
  </si>
  <si>
    <r>
      <rPr>
        <sz val="10"/>
        <rFont val="Noto Sans CJK SC"/>
        <family val="2"/>
      </rPr>
      <t xml:space="preserve">서울특별시 노원구 동일로</t>
    </r>
    <r>
      <rPr>
        <sz val="10"/>
        <rFont val="맑은 고딕"/>
        <family val="0"/>
        <charset val="1"/>
      </rPr>
      <t xml:space="preserve">173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12</t>
    </r>
  </si>
  <si>
    <t xml:space="preserve">서울상수초등학교</t>
  </si>
  <si>
    <t xml:space="preserve">02-932-1442</t>
  </si>
  <si>
    <t xml:space="preserve">http://sangsoo.sen.es.kr</t>
  </si>
  <si>
    <r>
      <rPr>
        <sz val="10"/>
        <rFont val="Noto Sans CJK SC"/>
        <family val="2"/>
      </rPr>
      <t xml:space="preserve">서울특별시 노원구 동일로</t>
    </r>
    <r>
      <rPr>
        <sz val="10"/>
        <rFont val="맑은 고딕"/>
        <family val="0"/>
        <charset val="1"/>
      </rPr>
      <t xml:space="preserve">216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66</t>
    </r>
  </si>
  <si>
    <t xml:space="preserve">서울수암초등학교</t>
  </si>
  <si>
    <t xml:space="preserve">02-3392-4277</t>
  </si>
  <si>
    <t xml:space="preserve">http://suam.sen.es.kr</t>
  </si>
  <si>
    <r>
      <rPr>
        <sz val="10"/>
        <rFont val="Noto Sans CJK SC"/>
        <family val="2"/>
      </rPr>
      <t xml:space="preserve">서울특별시 노원구 중계로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9</t>
    </r>
  </si>
  <si>
    <t xml:space="preserve">서울용원초등학교</t>
  </si>
  <si>
    <t xml:space="preserve">02-948-5302</t>
  </si>
  <si>
    <t xml:space="preserve">http://yong1.sen.es.kr</t>
  </si>
  <si>
    <r>
      <rPr>
        <sz val="10"/>
        <rFont val="Noto Sans CJK SC"/>
        <family val="2"/>
      </rPr>
      <t xml:space="preserve">서울특별시 노원구 섬밭로 </t>
    </r>
    <r>
      <rPr>
        <sz val="10"/>
        <rFont val="맑은 고딕"/>
        <family val="0"/>
        <charset val="1"/>
      </rPr>
      <t xml:space="preserve">144</t>
    </r>
  </si>
  <si>
    <t xml:space="preserve">서울중평초등학교</t>
  </si>
  <si>
    <t xml:space="preserve">02-979-2388</t>
  </si>
  <si>
    <t xml:space="preserve">http://jungpyong.sen.es.kr</t>
  </si>
  <si>
    <r>
      <rPr>
        <sz val="10"/>
        <rFont val="Noto Sans CJK SC"/>
        <family val="2"/>
      </rPr>
      <t xml:space="preserve">서울특별시 노원구 섬밭로 </t>
    </r>
    <r>
      <rPr>
        <sz val="10"/>
        <rFont val="맑은 고딕"/>
        <family val="0"/>
        <charset val="1"/>
      </rPr>
      <t xml:space="preserve">241</t>
    </r>
  </si>
  <si>
    <t xml:space="preserve">서울태릉초등학교</t>
  </si>
  <si>
    <t xml:space="preserve">02-976-1433</t>
  </si>
  <si>
    <t xml:space="preserve">http://taereung.sen.es.kr</t>
  </si>
  <si>
    <r>
      <rPr>
        <sz val="10"/>
        <rFont val="Noto Sans CJK SC"/>
        <family val="2"/>
      </rPr>
      <t xml:space="preserve">서울특별시 노원구 노원로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36</t>
    </r>
  </si>
  <si>
    <t xml:space="preserve">청원초등학교</t>
  </si>
  <si>
    <t xml:space="preserve">02-3399-7888</t>
  </si>
  <si>
    <t xml:space="preserve">http://cheongwon.sen.es.kr</t>
  </si>
  <si>
    <t xml:space="preserve">공릉중학교</t>
  </si>
  <si>
    <t xml:space="preserve">02-971-5212</t>
  </si>
  <si>
    <t xml:space="preserve">http://kongrung.sen.ms.kr</t>
  </si>
  <si>
    <r>
      <rPr>
        <sz val="10"/>
        <rFont val="Noto Sans CJK SC"/>
        <family val="2"/>
      </rPr>
      <t xml:space="preserve">서울특별시 노원구 노원로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42</t>
    </r>
  </si>
  <si>
    <t xml:space="preserve">상계제일중학교</t>
  </si>
  <si>
    <t xml:space="preserve">02-930-3543</t>
  </si>
  <si>
    <t xml:space="preserve">http://sanggyejeil.sen.ms.kr</t>
  </si>
  <si>
    <r>
      <rPr>
        <sz val="10"/>
        <rFont val="Noto Sans CJK SC"/>
        <family val="2"/>
      </rPr>
      <t xml:space="preserve">서울특별시 노원구 덕릉로</t>
    </r>
    <r>
      <rPr>
        <sz val="10"/>
        <rFont val="맑은 고딕"/>
        <family val="0"/>
        <charset val="1"/>
      </rPr>
      <t xml:space="preserve">86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29-15</t>
    </r>
  </si>
  <si>
    <t xml:space="preserve">재현중학교</t>
  </si>
  <si>
    <t xml:space="preserve">02-932-4816</t>
  </si>
  <si>
    <t xml:space="preserve">http://jaehyun.sen.ms.kr</t>
  </si>
  <si>
    <r>
      <rPr>
        <sz val="10"/>
        <rFont val="Noto Sans CJK SC"/>
        <family val="2"/>
      </rPr>
      <t xml:space="preserve">서울특별시 노원구 덕릉로</t>
    </r>
    <r>
      <rPr>
        <sz val="10"/>
        <rFont val="맑은 고딕"/>
        <family val="0"/>
        <charset val="1"/>
      </rPr>
      <t xml:space="preserve">82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64</t>
    </r>
  </si>
  <si>
    <t xml:space="preserve">태랑중학교</t>
  </si>
  <si>
    <t xml:space="preserve">02-973-1355</t>
  </si>
  <si>
    <t xml:space="preserve">http://taerang.sen.ms.kr</t>
  </si>
  <si>
    <r>
      <rPr>
        <sz val="10"/>
        <rFont val="Noto Sans CJK SC"/>
        <family val="2"/>
      </rPr>
      <t xml:space="preserve">서울특별시 노원구 화랑로</t>
    </r>
    <r>
      <rPr>
        <sz val="10"/>
        <rFont val="맑은 고딕"/>
        <family val="0"/>
        <charset val="1"/>
      </rPr>
      <t xml:space="preserve">51</t>
    </r>
    <r>
      <rPr>
        <sz val="10"/>
        <rFont val="Noto Sans CJK SC"/>
        <family val="2"/>
      </rPr>
      <t xml:space="preserve">나길 </t>
    </r>
    <r>
      <rPr>
        <sz val="10"/>
        <rFont val="맑은 고딕"/>
        <family val="0"/>
        <charset val="1"/>
      </rPr>
      <t xml:space="preserve">51</t>
    </r>
  </si>
  <si>
    <t xml:space="preserve">서울누원초등학교</t>
  </si>
  <si>
    <t xml:space="preserve">02-955-5162</t>
  </si>
  <si>
    <t xml:space="preserve">http://nuwon.sen.es.kr</t>
  </si>
  <si>
    <r>
      <rPr>
        <sz val="10"/>
        <rFont val="Noto Sans CJK SC"/>
        <family val="2"/>
      </rPr>
      <t xml:space="preserve">서울특별시 도봉구 마들로 </t>
    </r>
    <r>
      <rPr>
        <sz val="10"/>
        <rFont val="맑은 고딕"/>
        <family val="0"/>
        <charset val="1"/>
      </rPr>
      <t xml:space="preserve">859-44</t>
    </r>
  </si>
  <si>
    <t xml:space="preserve">서울자운초등학교</t>
  </si>
  <si>
    <t xml:space="preserve">02-908-0385</t>
  </si>
  <si>
    <t xml:space="preserve">http://jawoon.sen.es.kr</t>
  </si>
  <si>
    <r>
      <rPr>
        <sz val="10"/>
        <rFont val="Noto Sans CJK SC"/>
        <family val="2"/>
      </rPr>
      <t xml:space="preserve">서울특별시 도봉구 마들로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166</t>
    </r>
  </si>
  <si>
    <t xml:space="preserve">서울창도초등학교</t>
  </si>
  <si>
    <t xml:space="preserve">02-3492-0008</t>
  </si>
  <si>
    <t xml:space="preserve">http://changdo.sen.es.kr</t>
  </si>
  <si>
    <r>
      <rPr>
        <sz val="10"/>
        <rFont val="Noto Sans CJK SC"/>
        <family val="2"/>
      </rPr>
      <t xml:space="preserve">서울특별시 도봉구 방학로 </t>
    </r>
    <r>
      <rPr>
        <sz val="10"/>
        <rFont val="맑은 고딕"/>
        <family val="0"/>
        <charset val="1"/>
      </rPr>
      <t xml:space="preserve">32-28</t>
    </r>
  </si>
  <si>
    <t xml:space="preserve">서부교육지원청</t>
  </si>
  <si>
    <t xml:space="preserve">서울마포초등학교</t>
  </si>
  <si>
    <t xml:space="preserve">02-712-0852</t>
  </si>
  <si>
    <t xml:space="preserve">http://mapo.sen.es.kr</t>
  </si>
  <si>
    <r>
      <rPr>
        <sz val="10"/>
        <rFont val="Noto Sans CJK SC"/>
        <family val="2"/>
      </rPr>
      <t xml:space="preserve">서울특별시 마포구 도화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64</t>
    </r>
  </si>
  <si>
    <t xml:space="preserve">숭문중학교</t>
  </si>
  <si>
    <t xml:space="preserve">02-715-4463</t>
  </si>
  <si>
    <t xml:space="preserve">http://soongmoon.sen.ms.kr</t>
  </si>
  <si>
    <t xml:space="preserve">서울연가초등학교</t>
  </si>
  <si>
    <t xml:space="preserve">02-372-3044</t>
  </si>
  <si>
    <t xml:space="preserve">http://yeonga.sen.es.kr</t>
  </si>
  <si>
    <r>
      <rPr>
        <sz val="10"/>
        <rFont val="Noto Sans CJK SC"/>
        <family val="2"/>
      </rPr>
      <t xml:space="preserve">서울특별시 서대문구 증가로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가길 </t>
    </r>
    <r>
      <rPr>
        <sz val="10"/>
        <rFont val="맑은 고딕"/>
        <family val="0"/>
        <charset val="1"/>
      </rPr>
      <t xml:space="preserve">49-50</t>
    </r>
  </si>
  <si>
    <t xml:space="preserve">은평구</t>
  </si>
  <si>
    <t xml:space="preserve">서울역촌초등학교</t>
  </si>
  <si>
    <t xml:space="preserve">02-352-2245</t>
  </si>
  <si>
    <t xml:space="preserve">http://yeokchon.sen.es.kr</t>
  </si>
  <si>
    <r>
      <rPr>
        <sz val="10"/>
        <rFont val="Noto Sans CJK SC"/>
        <family val="2"/>
      </rPr>
      <t xml:space="preserve">서울특별시 은평구 은평로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25</t>
    </r>
  </si>
  <si>
    <t xml:space="preserve">서울연은초등학교</t>
  </si>
  <si>
    <t xml:space="preserve">02-372-6999</t>
  </si>
  <si>
    <t xml:space="preserve">http://yeoneun.sen.es.kr</t>
  </si>
  <si>
    <r>
      <rPr>
        <sz val="10"/>
        <rFont val="Noto Sans CJK SC"/>
        <family val="2"/>
      </rPr>
      <t xml:space="preserve">서울특별시 은평구 백련산로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35</t>
    </r>
  </si>
  <si>
    <t xml:space="preserve">서울은평초등학교</t>
  </si>
  <si>
    <t xml:space="preserve">02-355-2578</t>
  </si>
  <si>
    <t xml:space="preserve">http://eunpyeong.sen.es.kr</t>
  </si>
  <si>
    <r>
      <rPr>
        <sz val="10"/>
        <rFont val="Noto Sans CJK SC"/>
        <family val="2"/>
      </rPr>
      <t xml:space="preserve">서울특별시 은평구 은평로 </t>
    </r>
    <r>
      <rPr>
        <sz val="10"/>
        <rFont val="맑은 고딕"/>
        <family val="0"/>
        <charset val="1"/>
      </rPr>
      <t xml:space="preserve">239</t>
    </r>
  </si>
  <si>
    <t xml:space="preserve">서울진관초등학교</t>
  </si>
  <si>
    <t xml:space="preserve">02-386-3365</t>
  </si>
  <si>
    <t xml:space="preserve">http://jingwan.sen.es.kr</t>
  </si>
  <si>
    <r>
      <rPr>
        <sz val="10"/>
        <rFont val="Noto Sans CJK SC"/>
        <family val="2"/>
      </rPr>
      <t xml:space="preserve">서울특별시 은평구 진관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78-16</t>
    </r>
  </si>
  <si>
    <t xml:space="preserve">충암중학교</t>
  </si>
  <si>
    <t xml:space="preserve">070-5002-8740</t>
  </si>
  <si>
    <t xml:space="preserve">http://choongam.sen.ms.kr</t>
  </si>
  <si>
    <r>
      <rPr>
        <sz val="10"/>
        <rFont val="Noto Sans CJK SC"/>
        <family val="2"/>
      </rPr>
      <t xml:space="preserve">서울특별시 은평구 가좌로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</t>
    </r>
  </si>
  <si>
    <t xml:space="preserve">성동광진교육지원청</t>
  </si>
  <si>
    <t xml:space="preserve">서울구의초등학교</t>
  </si>
  <si>
    <t xml:space="preserve">02-444-6490</t>
  </si>
  <si>
    <t xml:space="preserve">http://guui.sen.es.kr</t>
  </si>
  <si>
    <r>
      <rPr>
        <sz val="10"/>
        <rFont val="Noto Sans CJK SC"/>
        <family val="2"/>
      </rPr>
      <t xml:space="preserve">서울특별시 광진구 광나루로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49</t>
    </r>
  </si>
  <si>
    <t xml:space="preserve">서울성자초등학교</t>
  </si>
  <si>
    <t xml:space="preserve">02-2161-6500</t>
  </si>
  <si>
    <t xml:space="preserve">http://seongja.sen.es.kr</t>
  </si>
  <si>
    <r>
      <rPr>
        <sz val="10"/>
        <rFont val="Noto Sans CJK SC"/>
        <family val="2"/>
      </rPr>
      <t xml:space="preserve">서울특별시 광진구 뚝섬로</t>
    </r>
    <r>
      <rPr>
        <sz val="10"/>
        <rFont val="맑은 고딕"/>
        <family val="0"/>
        <charset val="1"/>
      </rPr>
      <t xml:space="preserve">56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7</t>
    </r>
  </si>
  <si>
    <t xml:space="preserve">서울신자초등학교</t>
  </si>
  <si>
    <t xml:space="preserve">02-450-5600</t>
  </si>
  <si>
    <t xml:space="preserve">http://sinja.sen.es.kr</t>
  </si>
  <si>
    <r>
      <rPr>
        <sz val="10"/>
        <rFont val="Noto Sans CJK SC"/>
        <family val="2"/>
      </rPr>
      <t xml:space="preserve">서울특별시 광진구 뚝섬로</t>
    </r>
    <r>
      <rPr>
        <sz val="10"/>
        <rFont val="맑은 고딕"/>
        <family val="0"/>
        <charset val="1"/>
      </rPr>
      <t xml:space="preserve">46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64</t>
    </r>
  </si>
  <si>
    <t xml:space="preserve">서울용곡초등학교</t>
  </si>
  <si>
    <t xml:space="preserve">02-457-7225</t>
  </si>
  <si>
    <t xml:space="preserve">http://yonggok.sen.es.kr</t>
  </si>
  <si>
    <r>
      <rPr>
        <sz val="10"/>
        <rFont val="Noto Sans CJK SC"/>
        <family val="2"/>
      </rPr>
      <t xml:space="preserve">서울특별시 광진구 용마산로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82</t>
    </r>
  </si>
  <si>
    <t xml:space="preserve">서울중광초등학교</t>
  </si>
  <si>
    <t xml:space="preserve">02-469-3340</t>
  </si>
  <si>
    <t xml:space="preserve">http://jkschool.sen.es.kr</t>
  </si>
  <si>
    <r>
      <rPr>
        <sz val="10"/>
        <rFont val="Noto Sans CJK SC"/>
        <family val="2"/>
      </rPr>
      <t xml:space="preserve">서울특별시 광진구 긴고랑로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59</t>
    </r>
  </si>
  <si>
    <t xml:space="preserve">신양중학교</t>
  </si>
  <si>
    <t xml:space="preserve">02-461-1070</t>
  </si>
  <si>
    <t xml:space="preserve">http://shinyang.sen.ms.kr</t>
  </si>
  <si>
    <r>
      <rPr>
        <sz val="10"/>
        <rFont val="Noto Sans CJK SC"/>
        <family val="2"/>
      </rPr>
      <t xml:space="preserve">서울특별시 광진구 자양강변길 </t>
    </r>
    <r>
      <rPr>
        <sz val="10"/>
        <rFont val="맑은 고딕"/>
        <family val="0"/>
        <charset val="1"/>
      </rPr>
      <t xml:space="preserve">73</t>
    </r>
  </si>
  <si>
    <t xml:space="preserve">서울무학초등학교</t>
  </si>
  <si>
    <t xml:space="preserve">02-2290-3200</t>
  </si>
  <si>
    <t xml:space="preserve">http://muhag.sen.es.kr</t>
  </si>
  <si>
    <r>
      <rPr>
        <sz val="10"/>
        <rFont val="Noto Sans CJK SC"/>
        <family val="2"/>
      </rPr>
      <t xml:space="preserve">서울특별시 성동구 무학봉</t>
    </r>
    <r>
      <rPr>
        <sz val="10"/>
        <rFont val="맑은 고딕"/>
        <family val="0"/>
        <charset val="1"/>
      </rPr>
      <t xml:space="preserve">15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21</t>
    </r>
  </si>
  <si>
    <t xml:space="preserve">한양초등학교</t>
  </si>
  <si>
    <t xml:space="preserve">02-2293-8732</t>
  </si>
  <si>
    <t xml:space="preserve">http://www.hye.or.kr</t>
  </si>
  <si>
    <r>
      <rPr>
        <sz val="10"/>
        <rFont val="Noto Sans CJK SC"/>
        <family val="2"/>
      </rPr>
      <t xml:space="preserve">서울특별시 성동구 살곶이길 </t>
    </r>
    <r>
      <rPr>
        <sz val="10"/>
        <rFont val="맑은 고딕"/>
        <family val="0"/>
        <charset val="1"/>
      </rPr>
      <t xml:space="preserve">208</t>
    </r>
  </si>
  <si>
    <t xml:space="preserve">광희중학교</t>
  </si>
  <si>
    <t xml:space="preserve">02-2298-0250</t>
  </si>
  <si>
    <t xml:space="preserve">http://kwanghee.sen.ms.kr</t>
  </si>
  <si>
    <r>
      <rPr>
        <sz val="10"/>
        <rFont val="Noto Sans CJK SC"/>
        <family val="2"/>
      </rPr>
      <t xml:space="preserve">서울특별시 성동구 독서당로</t>
    </r>
    <r>
      <rPr>
        <sz val="10"/>
        <rFont val="맑은 고딕"/>
        <family val="0"/>
        <charset val="1"/>
      </rPr>
      <t xml:space="preserve">62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46</t>
    </r>
  </si>
  <si>
    <t xml:space="preserve">무학중학교</t>
  </si>
  <si>
    <t xml:space="preserve">02-2298-6141</t>
  </si>
  <si>
    <t xml:space="preserve">http://muhak.sen.ms.kr</t>
  </si>
  <si>
    <r>
      <rPr>
        <sz val="10"/>
        <rFont val="Noto Sans CJK SC"/>
        <family val="2"/>
      </rPr>
      <t xml:space="preserve">서울특별시 성동구 행당로 </t>
    </r>
    <r>
      <rPr>
        <sz val="10"/>
        <rFont val="맑은 고딕"/>
        <family val="0"/>
        <charset val="1"/>
      </rPr>
      <t xml:space="preserve">120</t>
    </r>
  </si>
  <si>
    <t xml:space="preserve">성북강북교육지원청</t>
  </si>
  <si>
    <t xml:space="preserve">서울수유초등학교</t>
  </si>
  <si>
    <t xml:space="preserve">02-989-3724</t>
  </si>
  <si>
    <t xml:space="preserve">http://suyu.sen.es.kr</t>
  </si>
  <si>
    <r>
      <rPr>
        <sz val="10"/>
        <rFont val="Noto Sans CJK SC"/>
        <family val="2"/>
      </rPr>
      <t xml:space="preserve">서울특별시 강북구 삼양로</t>
    </r>
    <r>
      <rPr>
        <sz val="10"/>
        <rFont val="맑은 고딕"/>
        <family val="0"/>
        <charset val="1"/>
      </rPr>
      <t xml:space="preserve">74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39</t>
    </r>
  </si>
  <si>
    <t xml:space="preserve">영훈국제중학교</t>
  </si>
  <si>
    <t xml:space="preserve">02-970-4777</t>
  </si>
  <si>
    <t xml:space="preserve">http://www.younghoon.ms.kr</t>
  </si>
  <si>
    <r>
      <rPr>
        <sz val="10"/>
        <rFont val="Noto Sans CJK SC"/>
        <family val="2"/>
      </rPr>
      <t xml:space="preserve">서울특별시 강북구 도봉로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가길 </t>
    </r>
    <r>
      <rPr>
        <sz val="10"/>
        <rFont val="맑은 고딕"/>
        <family val="0"/>
        <charset val="1"/>
      </rPr>
      <t xml:space="preserve">19</t>
    </r>
  </si>
  <si>
    <t xml:space="preserve">대광초등학교</t>
  </si>
  <si>
    <t xml:space="preserve">02-923-2032</t>
  </si>
  <si>
    <t xml:space="preserve">http://daegwang.sen.es.kr</t>
  </si>
  <si>
    <r>
      <rPr>
        <sz val="10"/>
        <rFont val="Noto Sans CJK SC"/>
        <family val="2"/>
      </rPr>
      <t xml:space="preserve">서울특별시 성북구 안암로 </t>
    </r>
    <r>
      <rPr>
        <sz val="10"/>
        <rFont val="맑은 고딕"/>
        <family val="0"/>
        <charset val="1"/>
      </rPr>
      <t xml:space="preserve">5</t>
    </r>
  </si>
  <si>
    <t xml:space="preserve">서울돈암초등학교</t>
  </si>
  <si>
    <t xml:space="preserve">02-928-2010</t>
  </si>
  <si>
    <t xml:space="preserve">http://donam.sen.es.kr</t>
  </si>
  <si>
    <r>
      <rPr>
        <sz val="10"/>
        <rFont val="Noto Sans CJK SC"/>
        <family val="2"/>
      </rPr>
      <t xml:space="preserve">서울특별시 성북구 동소문로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38</t>
    </r>
  </si>
  <si>
    <t xml:space="preserve">서울장월초등학교</t>
  </si>
  <si>
    <t xml:space="preserve">02-918-7822</t>
  </si>
  <si>
    <t xml:space="preserve">http://jangwol.sen.es.kr</t>
  </si>
  <si>
    <r>
      <rPr>
        <sz val="10"/>
        <rFont val="Noto Sans CJK SC"/>
        <family val="2"/>
      </rPr>
      <t xml:space="preserve">서울특별시 성북구 한천로</t>
    </r>
    <r>
      <rPr>
        <sz val="10"/>
        <rFont val="맑은 고딕"/>
        <family val="0"/>
        <charset val="1"/>
      </rPr>
      <t xml:space="preserve">101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66</t>
    </r>
  </si>
  <si>
    <t xml:space="preserve">고명중학교</t>
  </si>
  <si>
    <t xml:space="preserve">02-926-2837</t>
  </si>
  <si>
    <t xml:space="preserve">http://komyung.sen.ms.kr</t>
  </si>
  <si>
    <r>
      <rPr>
        <sz val="10"/>
        <rFont val="Noto Sans CJK SC"/>
        <family val="2"/>
      </rPr>
      <t xml:space="preserve">서울특별시 성북구 북악산로 </t>
    </r>
    <r>
      <rPr>
        <sz val="10"/>
        <rFont val="맑은 고딕"/>
        <family val="0"/>
        <charset val="1"/>
      </rPr>
      <t xml:space="preserve">870</t>
    </r>
  </si>
  <si>
    <t xml:space="preserve">남대문중학교</t>
  </si>
  <si>
    <t xml:space="preserve">02-942-3184</t>
  </si>
  <si>
    <t xml:space="preserve">http://namdaemoon.sen.ms.kr</t>
  </si>
  <si>
    <r>
      <rPr>
        <sz val="10"/>
        <rFont val="Noto Sans CJK SC"/>
        <family val="2"/>
      </rPr>
      <t xml:space="preserve">서울특별시 성북구 한천로 </t>
    </r>
    <r>
      <rPr>
        <sz val="10"/>
        <rFont val="맑은 고딕"/>
        <family val="0"/>
        <charset val="1"/>
      </rPr>
      <t xml:space="preserve">660-30</t>
    </r>
  </si>
  <si>
    <t xml:space="preserve">삼선중학교</t>
  </si>
  <si>
    <t xml:space="preserve">02-742-1147</t>
  </si>
  <si>
    <t xml:space="preserve">http://samseon.sen.ms.kr</t>
  </si>
  <si>
    <r>
      <rPr>
        <sz val="10"/>
        <rFont val="Noto Sans CJK SC"/>
        <family val="2"/>
      </rPr>
      <t xml:space="preserve">서울특별시 성북구 동소문로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69</t>
    </r>
  </si>
  <si>
    <t xml:space="preserve">숭곡중학교</t>
  </si>
  <si>
    <t xml:space="preserve">02-912-7572</t>
  </si>
  <si>
    <t xml:space="preserve">http://soonggok.sen.ms.kr</t>
  </si>
  <si>
    <r>
      <rPr>
        <sz val="10"/>
        <rFont val="Noto Sans CJK SC"/>
        <family val="2"/>
      </rPr>
      <t xml:space="preserve">서울특별시 성북구 종암로 </t>
    </r>
    <r>
      <rPr>
        <sz val="10"/>
        <rFont val="맑은 고딕"/>
        <family val="0"/>
        <charset val="1"/>
      </rPr>
      <t xml:space="preserve">208</t>
    </r>
  </si>
  <si>
    <t xml:space="preserve">용문중학교</t>
  </si>
  <si>
    <t xml:space="preserve">02-926-4238</t>
  </si>
  <si>
    <t xml:space="preserve">http://yongmoon.sen.ms.kr</t>
  </si>
  <si>
    <t xml:space="preserve">중부교육지원청</t>
  </si>
  <si>
    <t xml:space="preserve">서울삼광초등학교</t>
  </si>
  <si>
    <t xml:space="preserve">02-754-0251</t>
  </si>
  <si>
    <t xml:space="preserve">http://seoulsamkwang.sen.es.kr</t>
  </si>
  <si>
    <r>
      <rPr>
        <sz val="10"/>
        <rFont val="Noto Sans CJK SC"/>
        <family val="2"/>
      </rPr>
      <t xml:space="preserve">서울특별시 용산구 두텁바위로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나길 </t>
    </r>
    <r>
      <rPr>
        <sz val="10"/>
        <rFont val="맑은 고딕"/>
        <family val="0"/>
        <charset val="1"/>
      </rPr>
      <t xml:space="preserve">19</t>
    </r>
  </si>
  <si>
    <t xml:space="preserve">서울청파초등학교</t>
  </si>
  <si>
    <t xml:space="preserve">02-701-3242</t>
  </si>
  <si>
    <t xml:space="preserve">http://s-cheongpa.sen.es.kr</t>
  </si>
  <si>
    <r>
      <rPr>
        <sz val="10"/>
        <rFont val="Noto Sans CJK SC"/>
        <family val="2"/>
      </rPr>
      <t xml:space="preserve">서울특별시 용산구 효창원로 </t>
    </r>
    <r>
      <rPr>
        <sz val="10"/>
        <rFont val="맑은 고딕"/>
        <family val="0"/>
        <charset val="1"/>
      </rPr>
      <t xml:space="preserve">228</t>
    </r>
  </si>
  <si>
    <t xml:space="preserve">신광초등학교</t>
  </si>
  <si>
    <t xml:space="preserve">02-710-7900</t>
  </si>
  <si>
    <t xml:space="preserve">http://skes.sen.es.kr</t>
  </si>
  <si>
    <r>
      <rPr>
        <sz val="10"/>
        <rFont val="Noto Sans CJK SC"/>
        <family val="2"/>
      </rPr>
      <t xml:space="preserve">서울특별시 용산구 청파로 </t>
    </r>
    <r>
      <rPr>
        <sz val="10"/>
        <rFont val="맑은 고딕"/>
        <family val="0"/>
        <charset val="1"/>
      </rPr>
      <t xml:space="preserve">263</t>
    </r>
  </si>
  <si>
    <t xml:space="preserve">상명대학교사범대학부속초등학교</t>
  </si>
  <si>
    <t xml:space="preserve">02-379-8033</t>
  </si>
  <si>
    <t xml:space="preserve">http://sangmyung-ae.sen.es.kr</t>
  </si>
  <si>
    <r>
      <rPr>
        <sz val="10"/>
        <rFont val="Noto Sans CJK SC"/>
        <family val="2"/>
      </rPr>
      <t xml:space="preserve">서울특별시 종로구 홍지문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</t>
    </r>
  </si>
  <si>
    <t xml:space="preserve">대신중학교</t>
  </si>
  <si>
    <t xml:space="preserve">02-736-0318</t>
  </si>
  <si>
    <t xml:space="preserve">http://dae-shin.sen.ms.kr</t>
  </si>
  <si>
    <r>
      <rPr>
        <sz val="10"/>
        <rFont val="Noto Sans CJK SC"/>
        <family val="2"/>
      </rPr>
      <t xml:space="preserve">서울특별시 종로구 사직로 </t>
    </r>
    <r>
      <rPr>
        <sz val="10"/>
        <rFont val="맑은 고딕"/>
        <family val="0"/>
        <charset val="1"/>
      </rPr>
      <t xml:space="preserve">9</t>
    </r>
  </si>
  <si>
    <t xml:space="preserve">동성중학교</t>
  </si>
  <si>
    <t xml:space="preserve">02-3671-9101</t>
  </si>
  <si>
    <t xml:space="preserve">http://sds.sen.ms.kr</t>
  </si>
  <si>
    <t xml:space="preserve">부산한솔학교</t>
  </si>
  <si>
    <t xml:space="preserve">051-260-2800</t>
  </si>
  <si>
    <t xml:space="preserve">http://hansol.sc.kr</t>
  </si>
  <si>
    <r>
      <rPr>
        <sz val="10"/>
        <rFont val="Noto Sans CJK SC"/>
        <family val="2"/>
      </rPr>
      <t xml:space="preserve">부산광역시 강서구 명지오션시티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86</t>
    </r>
  </si>
  <si>
    <t xml:space="preserve">금정구</t>
  </si>
  <si>
    <t xml:space="preserve">대진전자통신고등학교</t>
  </si>
  <si>
    <t xml:space="preserve">O</t>
  </si>
  <si>
    <t xml:space="preserve">051-582-8100</t>
  </si>
  <si>
    <t xml:space="preserve">http://www.pdj.hs.kr</t>
  </si>
  <si>
    <r>
      <rPr>
        <sz val="10"/>
        <rFont val="Noto Sans CJK SC"/>
        <family val="2"/>
      </rPr>
      <t xml:space="preserve">부산광역시 금정구 수림로 </t>
    </r>
    <r>
      <rPr>
        <sz val="10"/>
        <rFont val="맑은 고딕"/>
        <family val="0"/>
        <charset val="1"/>
      </rPr>
      <t xml:space="preserve">92</t>
    </r>
  </si>
  <si>
    <t xml:space="preserve">부산은애학교</t>
  </si>
  <si>
    <t xml:space="preserve">051-508-0606</t>
  </si>
  <si>
    <t xml:space="preserve">http://school.busanedu.net</t>
  </si>
  <si>
    <r>
      <rPr>
        <sz val="10"/>
        <rFont val="Noto Sans CJK SC"/>
        <family val="2"/>
      </rPr>
      <t xml:space="preserve">부산광역시 금정구 청룡예전로 </t>
    </r>
    <r>
      <rPr>
        <sz val="10"/>
        <rFont val="맑은 고딕"/>
        <family val="0"/>
        <charset val="1"/>
      </rPr>
      <t xml:space="preserve">107</t>
    </r>
  </si>
  <si>
    <t xml:space="preserve">기장군</t>
  </si>
  <si>
    <t xml:space="preserve">부산성우학교</t>
  </si>
  <si>
    <t xml:space="preserve">051-911-1000</t>
  </si>
  <si>
    <t xml:space="preserve">http://sungwoo.sc.kr</t>
  </si>
  <si>
    <r>
      <rPr>
        <sz val="10"/>
        <rFont val="Noto Sans CJK SC"/>
        <family val="2"/>
      </rPr>
      <t xml:space="preserve">부산광역시 기장군 장안읍 대룡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45</t>
    </r>
  </si>
  <si>
    <t xml:space="preserve">부산해마루학교</t>
  </si>
  <si>
    <t xml:space="preserve">051-720-0000</t>
  </si>
  <si>
    <t xml:space="preserve">http://haemaru.sc.kr</t>
  </si>
  <si>
    <r>
      <rPr>
        <sz val="10"/>
        <rFont val="Noto Sans CJK SC"/>
        <family val="2"/>
      </rPr>
      <t xml:space="preserve">부산광역시 기장군 정관읍 모전로 </t>
    </r>
    <r>
      <rPr>
        <sz val="10"/>
        <rFont val="맑은 고딕"/>
        <family val="0"/>
        <charset val="1"/>
      </rPr>
      <t xml:space="preserve">23</t>
    </r>
  </si>
  <si>
    <t xml:space="preserve">남구</t>
  </si>
  <si>
    <t xml:space="preserve">대양고등학교</t>
  </si>
  <si>
    <t xml:space="preserve">051-640-0580</t>
  </si>
  <si>
    <t xml:space="preserve">http://www.daeyang.hs.kr</t>
  </si>
  <si>
    <r>
      <rPr>
        <sz val="10"/>
        <rFont val="Noto Sans CJK SC"/>
        <family val="2"/>
      </rPr>
      <t xml:space="preserve">부산광역시 남구 지게골로 </t>
    </r>
    <r>
      <rPr>
        <sz val="10"/>
        <rFont val="맑은 고딕"/>
        <family val="0"/>
        <charset val="1"/>
      </rPr>
      <t xml:space="preserve">128-27</t>
    </r>
  </si>
  <si>
    <t xml:space="preserve">배정고등학교</t>
  </si>
  <si>
    <t xml:space="preserve">051-632-4743</t>
  </si>
  <si>
    <t xml:space="preserve">http://baejeong.hs.kr</t>
  </si>
  <si>
    <r>
      <rPr>
        <sz val="10"/>
        <rFont val="Noto Sans CJK SC"/>
        <family val="2"/>
      </rPr>
      <t xml:space="preserve">부산광역시 남구 장고개로</t>
    </r>
    <r>
      <rPr>
        <sz val="10"/>
        <rFont val="맑은 고딕"/>
        <family val="0"/>
        <charset val="1"/>
      </rPr>
      <t xml:space="preserve">85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14-16</t>
    </r>
  </si>
  <si>
    <t xml:space="preserve">한얼고등학교</t>
  </si>
  <si>
    <t xml:space="preserve">051-637-5101</t>
  </si>
  <si>
    <t xml:space="preserve">http://haneol.hs.kr</t>
  </si>
  <si>
    <r>
      <rPr>
        <sz val="10"/>
        <rFont val="Noto Sans CJK SC"/>
        <family val="2"/>
      </rPr>
      <t xml:space="preserve">부산광역시 남구 고동골로</t>
    </r>
    <r>
      <rPr>
        <sz val="10"/>
        <rFont val="맑은 고딕"/>
        <family val="0"/>
        <charset val="1"/>
      </rPr>
      <t xml:space="preserve">69</t>
    </r>
    <r>
      <rPr>
        <sz val="10"/>
        <rFont val="Noto Sans CJK SC"/>
        <family val="2"/>
      </rPr>
      <t xml:space="preserve">번가길 </t>
    </r>
    <r>
      <rPr>
        <sz val="10"/>
        <rFont val="맑은 고딕"/>
        <family val="0"/>
        <charset val="1"/>
      </rPr>
      <t xml:space="preserve">54</t>
    </r>
  </si>
  <si>
    <t xml:space="preserve">동구</t>
  </si>
  <si>
    <t xml:space="preserve">부산컴퓨터과학고등학교</t>
  </si>
  <si>
    <t xml:space="preserve">051-460-0500</t>
  </si>
  <si>
    <t xml:space="preserve">http://www.pcs.hs.kr</t>
  </si>
  <si>
    <r>
      <rPr>
        <sz val="10"/>
        <rFont val="Noto Sans CJK SC"/>
        <family val="2"/>
      </rPr>
      <t xml:space="preserve">부산광역시 동구 초량로</t>
    </r>
    <r>
      <rPr>
        <sz val="10"/>
        <rFont val="맑은 고딕"/>
        <family val="0"/>
        <charset val="1"/>
      </rPr>
      <t xml:space="preserve">80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5</t>
    </r>
  </si>
  <si>
    <t xml:space="preserve">부산진구</t>
  </si>
  <si>
    <t xml:space="preserve">개금고등학교</t>
  </si>
  <si>
    <t xml:space="preserve">051-890-5600</t>
  </si>
  <si>
    <t xml:space="preserve">http://kaekeum.hs.kr</t>
  </si>
  <si>
    <r>
      <rPr>
        <sz val="10"/>
        <rFont val="Noto Sans CJK SC"/>
        <family val="2"/>
      </rPr>
      <t xml:space="preserve">부산광역시 부산진구 백양대로</t>
    </r>
    <r>
      <rPr>
        <sz val="10"/>
        <rFont val="맑은 고딕"/>
        <family val="0"/>
        <charset val="1"/>
      </rPr>
      <t xml:space="preserve">208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71</t>
    </r>
  </si>
  <si>
    <t xml:space="preserve">부산동성고등학교</t>
  </si>
  <si>
    <t xml:space="preserve">051-802-4631</t>
  </si>
  <si>
    <t xml:space="preserve">http://school.busanedu.net/psdongsung-h</t>
  </si>
  <si>
    <r>
      <rPr>
        <sz val="10"/>
        <rFont val="Noto Sans CJK SC"/>
        <family val="2"/>
      </rPr>
      <t xml:space="preserve">부산광역시 부산진구 동성로 </t>
    </r>
    <r>
      <rPr>
        <sz val="10"/>
        <rFont val="맑은 고딕"/>
        <family val="0"/>
        <charset val="1"/>
      </rPr>
      <t xml:space="preserve">16</t>
    </r>
  </si>
  <si>
    <t xml:space="preserve">부산마케팅고등학교</t>
  </si>
  <si>
    <t xml:space="preserve">051-803-1264</t>
  </si>
  <si>
    <t xml:space="preserve">http://www.marketing.hs.kr</t>
  </si>
  <si>
    <r>
      <rPr>
        <sz val="10"/>
        <rFont val="Noto Sans CJK SC"/>
        <family val="2"/>
      </rPr>
      <t xml:space="preserve">부산광역시 부산진구 봉수로 </t>
    </r>
    <r>
      <rPr>
        <sz val="10"/>
        <rFont val="맑은 고딕"/>
        <family val="0"/>
        <charset val="1"/>
      </rPr>
      <t xml:space="preserve">13</t>
    </r>
  </si>
  <si>
    <t xml:space="preserve">북구</t>
  </si>
  <si>
    <t xml:space="preserve">금곡고등학교</t>
  </si>
  <si>
    <t xml:space="preserve">051-330-2100</t>
  </si>
  <si>
    <t xml:space="preserve">http://www.geumgok.hs.kr</t>
  </si>
  <si>
    <r>
      <rPr>
        <sz val="10"/>
        <rFont val="Noto Sans CJK SC"/>
        <family val="2"/>
      </rPr>
      <t xml:space="preserve">부산광역시 북구 화명신도시로 </t>
    </r>
    <r>
      <rPr>
        <sz val="10"/>
        <rFont val="맑은 고딕"/>
        <family val="0"/>
        <charset val="1"/>
      </rPr>
      <t xml:space="preserve">236</t>
    </r>
  </si>
  <si>
    <t xml:space="preserve">삼정고등학교</t>
  </si>
  <si>
    <t xml:space="preserve">051-361-9802</t>
  </si>
  <si>
    <t xml:space="preserve">http://www.sj.hs.kr</t>
  </si>
  <si>
    <r>
      <rPr>
        <sz val="10"/>
        <rFont val="Noto Sans CJK SC"/>
        <family val="2"/>
      </rPr>
      <t xml:space="preserve">부산광역시 북구 시랑로</t>
    </r>
    <r>
      <rPr>
        <sz val="10"/>
        <rFont val="맑은 고딕"/>
        <family val="0"/>
        <charset val="1"/>
      </rPr>
      <t xml:space="preserve">118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53</t>
    </r>
  </si>
  <si>
    <t xml:space="preserve">성도고등학교</t>
  </si>
  <si>
    <t xml:space="preserve">051-332-0601</t>
  </si>
  <si>
    <t xml:space="preserve">http://www.sungdo.hs.kr</t>
  </si>
  <si>
    <r>
      <rPr>
        <sz val="10"/>
        <rFont val="Noto Sans CJK SC"/>
        <family val="2"/>
      </rPr>
      <t xml:space="preserve">부산광역시 북구 시랑로</t>
    </r>
    <r>
      <rPr>
        <sz val="10"/>
        <rFont val="맑은 고딕"/>
        <family val="0"/>
        <charset val="1"/>
      </rPr>
      <t xml:space="preserve">132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87</t>
    </r>
  </si>
  <si>
    <t xml:space="preserve">사하구</t>
  </si>
  <si>
    <t xml:space="preserve">대동고등학교</t>
  </si>
  <si>
    <t xml:space="preserve">051-292-1697</t>
  </si>
  <si>
    <t xml:space="preserve">http://www.ddhs.hs.kr</t>
  </si>
  <si>
    <r>
      <rPr>
        <sz val="10"/>
        <rFont val="Noto Sans CJK SC"/>
        <family val="2"/>
      </rPr>
      <t xml:space="preserve">부산광역시 사하구 을숙도대로</t>
    </r>
    <r>
      <rPr>
        <sz val="10"/>
        <rFont val="맑은 고딕"/>
        <family val="0"/>
        <charset val="1"/>
      </rPr>
      <t xml:space="preserve">709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27</t>
    </r>
  </si>
  <si>
    <t xml:space="preserve">동아고등학교</t>
  </si>
  <si>
    <t xml:space="preserve">051-290-5000</t>
  </si>
  <si>
    <t xml:space="preserve">http://dong-a.hs.kr</t>
  </si>
  <si>
    <r>
      <rPr>
        <sz val="10"/>
        <rFont val="Noto Sans CJK SC"/>
        <family val="2"/>
      </rPr>
      <t xml:space="preserve">부산광역시 사하구 괴정로</t>
    </r>
    <r>
      <rPr>
        <sz val="10"/>
        <rFont val="맑은 고딕"/>
        <family val="0"/>
        <charset val="1"/>
      </rPr>
      <t xml:space="preserve">244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63</t>
    </r>
  </si>
  <si>
    <t xml:space="preserve">부산일과학고등학교</t>
  </si>
  <si>
    <t xml:space="preserve">051-290-6800</t>
  </si>
  <si>
    <t xml:space="preserve">http://bsis.hs.kr</t>
  </si>
  <si>
    <r>
      <rPr>
        <sz val="10"/>
        <rFont val="Noto Sans CJK SC"/>
        <family val="2"/>
      </rPr>
      <t xml:space="preserve">부산광역시 사하구 제석로 </t>
    </r>
    <r>
      <rPr>
        <sz val="10"/>
        <rFont val="맑은 고딕"/>
        <family val="0"/>
        <charset val="1"/>
      </rPr>
      <t xml:space="preserve">242</t>
    </r>
  </si>
  <si>
    <t xml:space="preserve">부일전자디자인고등학교</t>
  </si>
  <si>
    <t xml:space="preserve">051-208-7401</t>
  </si>
  <si>
    <t xml:space="preserve">http://www.buil.hs.kr</t>
  </si>
  <si>
    <r>
      <rPr>
        <sz val="10"/>
        <rFont val="Noto Sans CJK SC"/>
        <family val="2"/>
      </rPr>
      <t xml:space="preserve">부산광역시 사하구 감천로</t>
    </r>
    <r>
      <rPr>
        <sz val="10"/>
        <rFont val="맑은 고딕"/>
        <family val="0"/>
        <charset val="1"/>
      </rPr>
      <t xml:space="preserve">73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36</t>
    </r>
  </si>
  <si>
    <t xml:space="preserve">연제구</t>
  </si>
  <si>
    <t xml:space="preserve">이사벨고등학교</t>
  </si>
  <si>
    <t xml:space="preserve">051-590-2150</t>
  </si>
  <si>
    <t xml:space="preserve">http://www.isabelle.hs.kr</t>
  </si>
  <si>
    <r>
      <rPr>
        <sz val="10"/>
        <rFont val="Noto Sans CJK SC"/>
        <family val="2"/>
      </rPr>
      <t xml:space="preserve">부산광역시 연제구 중앙대로 </t>
    </r>
    <r>
      <rPr>
        <sz val="10"/>
        <rFont val="맑은 고딕"/>
        <family val="0"/>
        <charset val="1"/>
      </rPr>
      <t xml:space="preserve">1197</t>
    </r>
  </si>
  <si>
    <t xml:space="preserve">영도구</t>
  </si>
  <si>
    <t xml:space="preserve">부산보건고등학교</t>
  </si>
  <si>
    <t xml:space="preserve">051-418-9254</t>
  </si>
  <si>
    <t xml:space="preserve">http://busanhc.com</t>
  </si>
  <si>
    <r>
      <rPr>
        <sz val="10"/>
        <rFont val="Noto Sans CJK SC"/>
        <family val="2"/>
      </rPr>
      <t xml:space="preserve">부산광역시 영도구 절영로 </t>
    </r>
    <r>
      <rPr>
        <sz val="10"/>
        <rFont val="맑은 고딕"/>
        <family val="0"/>
        <charset val="1"/>
      </rPr>
      <t xml:space="preserve">163</t>
    </r>
  </si>
  <si>
    <t xml:space="preserve">항도중학교</t>
  </si>
  <si>
    <t xml:space="preserve">051-809-1910</t>
  </si>
  <si>
    <t xml:space="preserve">http://www.hangdo.ms.kr</t>
  </si>
  <si>
    <r>
      <rPr>
        <sz val="10"/>
        <rFont val="Noto Sans CJK SC"/>
        <family val="2"/>
      </rPr>
      <t xml:space="preserve">부산광역시 부산진구 동성로</t>
    </r>
    <r>
      <rPr>
        <sz val="10"/>
        <rFont val="맑은 고딕"/>
        <family val="0"/>
        <charset val="1"/>
      </rPr>
      <t xml:space="preserve">118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44</t>
    </r>
  </si>
  <si>
    <t xml:space="preserve">동래교육지원청</t>
  </si>
  <si>
    <t xml:space="preserve">금양중학교</t>
  </si>
  <si>
    <t xml:space="preserve">051-580-0600</t>
  </si>
  <si>
    <t xml:space="preserve">http://geumyang.ms.kr</t>
  </si>
  <si>
    <r>
      <rPr>
        <sz val="10"/>
        <rFont val="Noto Sans CJK SC"/>
        <family val="2"/>
      </rPr>
      <t xml:space="preserve">부산광역시 금정구 기찰로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37</t>
    </r>
  </si>
  <si>
    <t xml:space="preserve">동래구</t>
  </si>
  <si>
    <t xml:space="preserve">명서초등학교</t>
  </si>
  <si>
    <t xml:space="preserve">051-524-7837</t>
  </si>
  <si>
    <t xml:space="preserve">http://www.myongseo.es.kr</t>
  </si>
  <si>
    <r>
      <rPr>
        <sz val="10"/>
        <rFont val="Noto Sans CJK SC"/>
        <family val="2"/>
      </rPr>
      <t xml:space="preserve">부산광역시 동래구 명서로 </t>
    </r>
    <r>
      <rPr>
        <sz val="10"/>
        <rFont val="맑은 고딕"/>
        <family val="0"/>
        <charset val="1"/>
      </rPr>
      <t xml:space="preserve">121</t>
    </r>
  </si>
  <si>
    <t xml:space="preserve">사직중학교</t>
  </si>
  <si>
    <t xml:space="preserve">051-501-2561</t>
  </si>
  <si>
    <t xml:space="preserve">http://sajik.ms.kr</t>
  </si>
  <si>
    <r>
      <rPr>
        <sz val="10"/>
        <rFont val="Noto Sans CJK SC"/>
        <family val="2"/>
      </rPr>
      <t xml:space="preserve">부산광역시 동래구 쇠미로</t>
    </r>
    <r>
      <rPr>
        <sz val="10"/>
        <rFont val="맑은 고딕"/>
        <family val="0"/>
        <charset val="1"/>
      </rPr>
      <t xml:space="preserve">51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30</t>
    </r>
  </si>
  <si>
    <t xml:space="preserve">명문초등학교</t>
  </si>
  <si>
    <t xml:space="preserve">051-710-2114</t>
  </si>
  <si>
    <t xml:space="preserve">http://myeongmun.es.kr</t>
  </si>
  <si>
    <r>
      <rPr>
        <sz val="10"/>
        <rFont val="Noto Sans CJK SC"/>
        <family val="2"/>
      </rPr>
      <t xml:space="preserve">부산광역시 강서구 명지국제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195</t>
    </r>
  </si>
  <si>
    <t xml:space="preserve">명진초등학교</t>
  </si>
  <si>
    <t xml:space="preserve">051-330-4700</t>
  </si>
  <si>
    <t xml:space="preserve">http://myungjin.es.kr</t>
  </si>
  <si>
    <r>
      <rPr>
        <sz val="10"/>
        <rFont val="Noto Sans CJK SC"/>
        <family val="2"/>
      </rPr>
      <t xml:space="preserve">부산광역시 북구 화명신도시로 </t>
    </r>
    <r>
      <rPr>
        <sz val="10"/>
        <rFont val="맑은 고딕"/>
        <family val="0"/>
        <charset val="1"/>
      </rPr>
      <t xml:space="preserve">159</t>
    </r>
  </si>
  <si>
    <t xml:space="preserve">학사초등학교</t>
  </si>
  <si>
    <t xml:space="preserve">051-330-4401</t>
  </si>
  <si>
    <t xml:space="preserve">http://school.busanedu.net/haksa-e</t>
  </si>
  <si>
    <r>
      <rPr>
        <sz val="10"/>
        <rFont val="Noto Sans CJK SC"/>
        <family val="2"/>
      </rPr>
      <t xml:space="preserve">부산광역시 북구 용당로</t>
    </r>
    <r>
      <rPr>
        <sz val="10"/>
        <rFont val="맑은 고딕"/>
        <family val="0"/>
        <charset val="1"/>
      </rPr>
      <t xml:space="preserve">15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20</t>
    </r>
  </si>
  <si>
    <t xml:space="preserve">화정초등학교</t>
  </si>
  <si>
    <t xml:space="preserve">051-330-4100</t>
  </si>
  <si>
    <t xml:space="preserve">http://www.bshj.es.kr</t>
  </si>
  <si>
    <r>
      <rPr>
        <sz val="10"/>
        <rFont val="Noto Sans CJK SC"/>
        <family val="2"/>
      </rPr>
      <t xml:space="preserve">부산광역시 북구 의성로 </t>
    </r>
    <r>
      <rPr>
        <sz val="10"/>
        <rFont val="맑은 고딕"/>
        <family val="0"/>
        <charset val="1"/>
      </rPr>
      <t xml:space="preserve">23</t>
    </r>
  </si>
  <si>
    <t xml:space="preserve">사상구</t>
  </si>
  <si>
    <t xml:space="preserve">주감초등학교</t>
  </si>
  <si>
    <t xml:space="preserve">051-320-3900</t>
  </si>
  <si>
    <t xml:space="preserve">http://www.jugam.es.kr</t>
  </si>
  <si>
    <r>
      <rPr>
        <sz val="10"/>
        <rFont val="Noto Sans CJK SC"/>
        <family val="2"/>
      </rPr>
      <t xml:space="preserve">부산광역시 사상구 양지로 </t>
    </r>
    <r>
      <rPr>
        <sz val="10"/>
        <rFont val="맑은 고딕"/>
        <family val="0"/>
        <charset val="1"/>
      </rPr>
      <t xml:space="preserve">48</t>
    </r>
  </si>
  <si>
    <t xml:space="preserve">다대초등학교</t>
  </si>
  <si>
    <t xml:space="preserve">051-263-0881</t>
  </si>
  <si>
    <t xml:space="preserve">http://dadae.es.kr</t>
  </si>
  <si>
    <r>
      <rPr>
        <sz val="10"/>
        <rFont val="Noto Sans CJK SC"/>
        <family val="2"/>
      </rPr>
      <t xml:space="preserve">부산광역시 사하구 다대로 </t>
    </r>
    <r>
      <rPr>
        <sz val="10"/>
        <rFont val="맑은 고딕"/>
        <family val="0"/>
        <charset val="1"/>
      </rPr>
      <t xml:space="preserve">499</t>
    </r>
  </si>
  <si>
    <t xml:space="preserve">서구</t>
  </si>
  <si>
    <t xml:space="preserve">천마초등학교</t>
  </si>
  <si>
    <t xml:space="preserve">051-250-6701</t>
  </si>
  <si>
    <t xml:space="preserve">http://www.chunma.es.kr</t>
  </si>
  <si>
    <r>
      <rPr>
        <sz val="10"/>
        <rFont val="Noto Sans CJK SC"/>
        <family val="2"/>
      </rPr>
      <t xml:space="preserve">부산광역시 서구 천해로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38</t>
    </r>
  </si>
  <si>
    <t xml:space="preserve">토성초등학교</t>
  </si>
  <si>
    <t xml:space="preserve">051-250-0800</t>
  </si>
  <si>
    <t xml:space="preserve">http://toseong.es.kr</t>
  </si>
  <si>
    <r>
      <rPr>
        <sz val="10"/>
        <rFont val="Noto Sans CJK SC"/>
        <family val="2"/>
      </rPr>
      <t xml:space="preserve">부산광역시 서구 구덕로</t>
    </r>
    <r>
      <rPr>
        <sz val="10"/>
        <rFont val="맑은 고딕"/>
        <family val="0"/>
        <charset val="1"/>
      </rPr>
      <t xml:space="preserve">134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45</t>
    </r>
  </si>
  <si>
    <t xml:space="preserve">상리초등학교</t>
  </si>
  <si>
    <t xml:space="preserve">051-719-5800</t>
  </si>
  <si>
    <t xml:space="preserve">http://ses.es.kr</t>
  </si>
  <si>
    <r>
      <rPr>
        <sz val="10"/>
        <rFont val="Noto Sans CJK SC"/>
        <family val="2"/>
      </rPr>
      <t xml:space="preserve">부산광역시 영도구 상리로 </t>
    </r>
    <r>
      <rPr>
        <sz val="10"/>
        <rFont val="맑은 고딕"/>
        <family val="0"/>
        <charset val="1"/>
      </rPr>
      <t xml:space="preserve">38</t>
    </r>
  </si>
  <si>
    <t xml:space="preserve">해운대교육지원청</t>
  </si>
  <si>
    <t xml:space="preserve">달산초등학교</t>
  </si>
  <si>
    <t xml:space="preserve">051-750-9900</t>
  </si>
  <si>
    <t xml:space="preserve">http://bsdalsan.es.kr</t>
  </si>
  <si>
    <r>
      <rPr>
        <sz val="10"/>
        <rFont val="Noto Sans CJK SC"/>
        <family val="2"/>
      </rPr>
      <t xml:space="preserve">부산광역시 기장군 정관읍 정관로 </t>
    </r>
    <r>
      <rPr>
        <sz val="10"/>
        <rFont val="맑은 고딕"/>
        <family val="0"/>
        <charset val="1"/>
      </rPr>
      <t xml:space="preserve">674</t>
    </r>
  </si>
  <si>
    <t xml:space="preserve">대청초등학교</t>
  </si>
  <si>
    <t xml:space="preserve">051-723-0923</t>
  </si>
  <si>
    <t xml:space="preserve">http://www.daechung.es.kr</t>
  </si>
  <si>
    <r>
      <rPr>
        <sz val="10"/>
        <rFont val="Noto Sans CJK SC"/>
        <family val="2"/>
      </rPr>
      <t xml:space="preserve">부산광역시 기장군 기장읍 차성서로 </t>
    </r>
    <r>
      <rPr>
        <sz val="10"/>
        <rFont val="맑은 고딕"/>
        <family val="0"/>
        <charset val="1"/>
      </rPr>
      <t xml:space="preserve">31</t>
    </r>
  </si>
  <si>
    <t xml:space="preserve">신정초등학교</t>
  </si>
  <si>
    <t xml:space="preserve">051-745-3500</t>
  </si>
  <si>
    <t xml:space="preserve">http://sinjeong.kr</t>
  </si>
  <si>
    <r>
      <rPr>
        <sz val="10"/>
        <rFont val="Noto Sans CJK SC"/>
        <family val="2"/>
      </rPr>
      <t xml:space="preserve">부산광역시 기장군 정관읍 정관로 </t>
    </r>
    <r>
      <rPr>
        <sz val="10"/>
        <rFont val="맑은 고딕"/>
        <family val="0"/>
        <charset val="1"/>
      </rPr>
      <t xml:space="preserve">460</t>
    </r>
  </si>
  <si>
    <t xml:space="preserve">좌천초등학교</t>
  </si>
  <si>
    <t xml:space="preserve">051-720-4101</t>
  </si>
  <si>
    <t xml:space="preserve">http://www.jwacheon.es.kr</t>
  </si>
  <si>
    <r>
      <rPr>
        <sz val="10"/>
        <rFont val="Noto Sans CJK SC"/>
        <family val="2"/>
      </rPr>
      <t xml:space="preserve">부산광역시 기장군 장안읍 좌천로 </t>
    </r>
    <r>
      <rPr>
        <sz val="10"/>
        <rFont val="맑은 고딕"/>
        <family val="0"/>
        <charset val="1"/>
      </rPr>
      <t xml:space="preserve">13-66</t>
    </r>
  </si>
  <si>
    <t xml:space="preserve">해빛초등학교</t>
  </si>
  <si>
    <t xml:space="preserve">051-790-8300</t>
  </si>
  <si>
    <t xml:space="preserve">http://haebit.es.kr</t>
  </si>
  <si>
    <r>
      <rPr>
        <sz val="10"/>
        <rFont val="Noto Sans CJK SC"/>
        <family val="2"/>
      </rPr>
      <t xml:space="preserve">부산광역시 기장군 일광읍 해빛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9</t>
    </r>
  </si>
  <si>
    <t xml:space="preserve">수영구</t>
  </si>
  <si>
    <t xml:space="preserve">민락초등학교</t>
  </si>
  <si>
    <t xml:space="preserve">051-752-8694</t>
  </si>
  <si>
    <t xml:space="preserve">http://minlak.es.kr</t>
  </si>
  <si>
    <r>
      <rPr>
        <sz val="10"/>
        <rFont val="Noto Sans CJK SC"/>
        <family val="2"/>
      </rPr>
      <t xml:space="preserve">부산광역시 수영구 광남로</t>
    </r>
    <r>
      <rPr>
        <sz val="10"/>
        <rFont val="맑은 고딕"/>
        <family val="0"/>
        <charset val="1"/>
      </rPr>
      <t xml:space="preserve">257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12</t>
    </r>
  </si>
  <si>
    <t xml:space="preserve">배산초등학교</t>
  </si>
  <si>
    <t xml:space="preserve">051-754-5930</t>
  </si>
  <si>
    <t xml:space="preserve">http://www.baesan.es.kr</t>
  </si>
  <si>
    <r>
      <rPr>
        <sz val="10"/>
        <rFont val="Noto Sans CJK SC"/>
        <family val="2"/>
      </rPr>
      <t xml:space="preserve">부산광역시 수영구 망미배산로</t>
    </r>
    <r>
      <rPr>
        <sz val="10"/>
        <rFont val="맑은 고딕"/>
        <family val="0"/>
        <charset val="1"/>
      </rPr>
      <t xml:space="preserve">48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85-15</t>
    </r>
  </si>
  <si>
    <t xml:space="preserve">동아중학교</t>
  </si>
  <si>
    <t xml:space="preserve">051-792-1000</t>
  </si>
  <si>
    <t xml:space="preserve">http://school.busanedu.net/dong-a-m</t>
  </si>
  <si>
    <r>
      <rPr>
        <sz val="10"/>
        <rFont val="Noto Sans CJK SC"/>
        <family val="2"/>
      </rPr>
      <t xml:space="preserve">부산광역시 수영구 호암로 </t>
    </r>
    <r>
      <rPr>
        <sz val="10"/>
        <rFont val="맑은 고딕"/>
        <family val="0"/>
        <charset val="1"/>
      </rPr>
      <t xml:space="preserve">55</t>
    </r>
  </si>
  <si>
    <t xml:space="preserve">해운대구</t>
  </si>
  <si>
    <t xml:space="preserve">삼어초등학교</t>
  </si>
  <si>
    <t xml:space="preserve">051-520-6500</t>
  </si>
  <si>
    <t xml:space="preserve">http://sameo.es.kr</t>
  </si>
  <si>
    <r>
      <rPr>
        <sz val="10"/>
        <rFont val="Noto Sans CJK SC"/>
        <family val="2"/>
      </rPr>
      <t xml:space="preserve">부산광역시 해운대구 삼어로</t>
    </r>
    <r>
      <rPr>
        <sz val="10"/>
        <rFont val="맑은 고딕"/>
        <family val="0"/>
        <charset val="1"/>
      </rPr>
      <t xml:space="preserve">91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73</t>
    </r>
  </si>
  <si>
    <t xml:space="preserve">좌산초등학교</t>
  </si>
  <si>
    <t xml:space="preserve">051-709-1700</t>
  </si>
  <si>
    <t xml:space="preserve">http://www.jwasan.es.kr</t>
  </si>
  <si>
    <r>
      <rPr>
        <sz val="10"/>
        <rFont val="Noto Sans CJK SC"/>
        <family val="2"/>
      </rPr>
      <t xml:space="preserve">부산광역시 해운대구 좌동순환로</t>
    </r>
    <r>
      <rPr>
        <sz val="10"/>
        <rFont val="맑은 고딕"/>
        <family val="0"/>
        <charset val="1"/>
      </rPr>
      <t xml:space="preserve">311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7</t>
    </r>
  </si>
  <si>
    <t xml:space="preserve">대구고등학교</t>
  </si>
  <si>
    <r>
      <rPr>
        <sz val="10"/>
        <rFont val="Noto Sans CJK SC"/>
        <family val="2"/>
      </rPr>
      <t xml:space="preserve">유형</t>
    </r>
    <r>
      <rPr>
        <sz val="10"/>
        <rFont val="맑은 고딕"/>
        <family val="0"/>
        <charset val="1"/>
      </rPr>
      <t xml:space="preserve">3(AI</t>
    </r>
    <r>
      <rPr>
        <sz val="10"/>
        <rFont val="Noto Sans CJK SC"/>
        <family val="2"/>
      </rPr>
      <t xml:space="preserve">융합교육 중점고</t>
    </r>
    <r>
      <rPr>
        <sz val="10"/>
        <rFont val="맑은 고딕"/>
        <family val="0"/>
        <charset val="1"/>
      </rPr>
      <t xml:space="preserve">)</t>
    </r>
  </si>
  <si>
    <t xml:space="preserve">053-231-4145</t>
  </si>
  <si>
    <t xml:space="preserve">http://daegu.dge.hs.kr</t>
  </si>
  <si>
    <r>
      <rPr>
        <sz val="10"/>
        <rFont val="Noto Sans CJK SC"/>
        <family val="2"/>
      </rPr>
      <t xml:space="preserve">대구광역시 남구 중앙대로 </t>
    </r>
    <r>
      <rPr>
        <sz val="10"/>
        <rFont val="맑은 고딕"/>
        <family val="0"/>
        <charset val="1"/>
      </rPr>
      <t xml:space="preserve">171</t>
    </r>
  </si>
  <si>
    <t xml:space="preserve">달서구</t>
  </si>
  <si>
    <t xml:space="preserve">대건고등학교</t>
  </si>
  <si>
    <t xml:space="preserve">053-235-4600</t>
  </si>
  <si>
    <t xml:space="preserve">http://daegun.dge.hs.kr</t>
  </si>
  <si>
    <r>
      <rPr>
        <sz val="10"/>
        <rFont val="Noto Sans CJK SC"/>
        <family val="2"/>
      </rPr>
      <t xml:space="preserve">대구광역시 달서구 월곡로</t>
    </r>
    <r>
      <rPr>
        <sz val="10"/>
        <rFont val="맑은 고딕"/>
        <family val="0"/>
        <charset val="1"/>
      </rPr>
      <t xml:space="preserve">94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46</t>
    </r>
  </si>
  <si>
    <t xml:space="preserve">대구상원고등학교</t>
  </si>
  <si>
    <t xml:space="preserve">053-231-6062</t>
  </si>
  <si>
    <t xml:space="preserve">http://daesang.dge.hs.kr</t>
  </si>
  <si>
    <r>
      <rPr>
        <sz val="10"/>
        <rFont val="Noto Sans CJK SC"/>
        <family val="2"/>
      </rPr>
      <t xml:space="preserve">대구광역시 달서구 월배로 </t>
    </r>
    <r>
      <rPr>
        <sz val="10"/>
        <rFont val="맑은 고딕"/>
        <family val="0"/>
        <charset val="1"/>
      </rPr>
      <t xml:space="preserve">241</t>
    </r>
  </si>
  <si>
    <t xml:space="preserve">와룡고등학교</t>
  </si>
  <si>
    <t xml:space="preserve">053-231-5030</t>
  </si>
  <si>
    <t xml:space="preserve">http://waryong.dge.hs.kr</t>
  </si>
  <si>
    <r>
      <rPr>
        <sz val="10"/>
        <rFont val="Noto Sans CJK SC"/>
        <family val="2"/>
      </rPr>
      <t xml:space="preserve">대구광역시 달서구 선원로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북길 </t>
    </r>
    <r>
      <rPr>
        <sz val="10"/>
        <rFont val="맑은 고딕"/>
        <family val="0"/>
        <charset val="1"/>
      </rPr>
      <t xml:space="preserve">20</t>
    </r>
  </si>
  <si>
    <t xml:space="preserve">달성군</t>
  </si>
  <si>
    <t xml:space="preserve">화원고등학교</t>
  </si>
  <si>
    <t xml:space="preserve">053-231-5462</t>
  </si>
  <si>
    <t xml:space="preserve">http://hwawon.dge.hs.kr</t>
  </si>
  <si>
    <r>
      <rPr>
        <sz val="10"/>
        <rFont val="Noto Sans CJK SC"/>
        <family val="2"/>
      </rPr>
      <t xml:space="preserve">대구광역시 달성군 화원읍 비슬로 </t>
    </r>
    <r>
      <rPr>
        <sz val="10"/>
        <rFont val="맑은 고딕"/>
        <family val="0"/>
        <charset val="1"/>
      </rPr>
      <t xml:space="preserve">2458</t>
    </r>
  </si>
  <si>
    <t xml:space="preserve">매천고등학교</t>
  </si>
  <si>
    <t xml:space="preserve">053-231-6700</t>
  </si>
  <si>
    <t xml:space="preserve">http://maecheon.dge.hs.kr</t>
  </si>
  <si>
    <r>
      <rPr>
        <sz val="10"/>
        <rFont val="Noto Sans CJK SC"/>
        <family val="2"/>
      </rPr>
      <t xml:space="preserve">대구광역시 북구 매전로 </t>
    </r>
    <r>
      <rPr>
        <sz val="10"/>
        <rFont val="맑은 고딕"/>
        <family val="0"/>
        <charset val="1"/>
      </rPr>
      <t xml:space="preserve">70</t>
    </r>
  </si>
  <si>
    <t xml:space="preserve">수성구</t>
  </si>
  <si>
    <t xml:space="preserve">대구중앙고등학교</t>
  </si>
  <si>
    <t xml:space="preserve">053-231-1900</t>
  </si>
  <si>
    <t xml:space="preserve">http://ja.hs.kr</t>
  </si>
  <si>
    <r>
      <rPr>
        <sz val="10"/>
        <rFont val="Noto Sans CJK SC"/>
        <family val="2"/>
      </rPr>
      <t xml:space="preserve">대구광역시 수성구 신천동로 </t>
    </r>
    <r>
      <rPr>
        <sz val="10"/>
        <rFont val="맑은 고딕"/>
        <family val="0"/>
        <charset val="1"/>
      </rPr>
      <t xml:space="preserve">496</t>
    </r>
  </si>
  <si>
    <t xml:space="preserve">군위교육지원청</t>
  </si>
  <si>
    <t xml:space="preserve">군위군</t>
  </si>
  <si>
    <t xml:space="preserve">대구군위초등학교</t>
  </si>
  <si>
    <r>
      <rPr>
        <sz val="10"/>
        <rFont val="Noto Sans CJK SC"/>
        <family val="2"/>
      </rPr>
      <t xml:space="preserve">유형</t>
    </r>
    <r>
      <rPr>
        <sz val="10"/>
        <rFont val="맑은 고딕"/>
        <family val="0"/>
        <charset val="1"/>
      </rPr>
      <t xml:space="preserve">1(AI</t>
    </r>
    <r>
      <rPr>
        <sz val="10"/>
        <rFont val="Noto Sans CJK SC"/>
        <family val="2"/>
      </rPr>
      <t xml:space="preserve">교육활동 모델교</t>
    </r>
    <r>
      <rPr>
        <sz val="10"/>
        <rFont val="맑은 고딕"/>
        <family val="0"/>
        <charset val="1"/>
      </rPr>
      <t xml:space="preserve">)</t>
    </r>
  </si>
  <si>
    <t xml:space="preserve">054-380-4333</t>
  </si>
  <si>
    <t xml:space="preserve">http://gunwi.dge.es.kr</t>
  </si>
  <si>
    <r>
      <rPr>
        <sz val="10"/>
        <rFont val="Noto Sans CJK SC"/>
        <family val="2"/>
      </rPr>
      <t xml:space="preserve">대구광역시 군위군 군위읍 동서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28</t>
    </r>
  </si>
  <si>
    <t xml:space="preserve">대구남명초등학교</t>
  </si>
  <si>
    <t xml:space="preserve">053-234-1940</t>
  </si>
  <si>
    <t xml:space="preserve">http://nammyeong.dge.es.kr</t>
  </si>
  <si>
    <r>
      <rPr>
        <sz val="10"/>
        <rFont val="Noto Sans CJK SC"/>
        <family val="2"/>
      </rPr>
      <t xml:space="preserve">대구광역시 남구 큰골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41</t>
    </r>
  </si>
  <si>
    <t xml:space="preserve">경일여자중학교</t>
  </si>
  <si>
    <r>
      <rPr>
        <sz val="10"/>
        <rFont val="Noto Sans CJK SC"/>
        <family val="2"/>
      </rPr>
      <t xml:space="preserve">유형</t>
    </r>
    <r>
      <rPr>
        <sz val="10"/>
        <rFont val="맑은 고딕"/>
        <family val="0"/>
        <charset val="1"/>
      </rPr>
      <t xml:space="preserve">2(SW-AI</t>
    </r>
    <r>
      <rPr>
        <sz val="10"/>
        <rFont val="Noto Sans CJK SC"/>
        <family val="2"/>
      </rPr>
      <t xml:space="preserve">교육 중점중</t>
    </r>
    <r>
      <rPr>
        <sz val="10"/>
        <rFont val="맑은 고딕"/>
        <family val="0"/>
        <charset val="1"/>
      </rPr>
      <t xml:space="preserve">)</t>
    </r>
  </si>
  <si>
    <t xml:space="preserve">053-234-9194</t>
  </si>
  <si>
    <t xml:space="preserve">http://gi.dge.ms.kr</t>
  </si>
  <si>
    <r>
      <rPr>
        <sz val="10"/>
        <rFont val="Noto Sans CJK SC"/>
        <family val="2"/>
      </rPr>
      <t xml:space="preserve">대구광역시 남구 효성로 </t>
    </r>
    <r>
      <rPr>
        <sz val="10"/>
        <rFont val="맑은 고딕"/>
        <family val="0"/>
        <charset val="1"/>
      </rPr>
      <t xml:space="preserve">37</t>
    </r>
  </si>
  <si>
    <t xml:space="preserve">협성경복중학교</t>
  </si>
  <si>
    <t xml:space="preserve">053-234-8444</t>
  </si>
  <si>
    <t xml:space="preserve">http://www.hyupsungkyungbok.dge.ms.kr</t>
  </si>
  <si>
    <r>
      <rPr>
        <sz val="10"/>
        <rFont val="Noto Sans CJK SC"/>
        <family val="2"/>
      </rPr>
      <t xml:space="preserve">대구광역시 남구 효성로 </t>
    </r>
    <r>
      <rPr>
        <sz val="10"/>
        <rFont val="맑은 고딕"/>
        <family val="0"/>
        <charset val="1"/>
      </rPr>
      <t xml:space="preserve">33</t>
    </r>
  </si>
  <si>
    <t xml:space="preserve">대구도원초등학교</t>
  </si>
  <si>
    <t xml:space="preserve">053-234-3540</t>
  </si>
  <si>
    <t xml:space="preserve">http://dgdowon.dge.es.kr</t>
  </si>
  <si>
    <r>
      <rPr>
        <sz val="10"/>
        <rFont val="Noto Sans CJK SC"/>
        <family val="2"/>
      </rPr>
      <t xml:space="preserve">대구광역시 달서구 도원남로 </t>
    </r>
    <r>
      <rPr>
        <sz val="10"/>
        <rFont val="맑은 고딕"/>
        <family val="0"/>
        <charset val="1"/>
      </rPr>
      <t xml:space="preserve">100-30</t>
    </r>
  </si>
  <si>
    <t xml:space="preserve">대구본리초등학교</t>
  </si>
  <si>
    <t xml:space="preserve">053-234-1203</t>
  </si>
  <si>
    <t xml:space="preserve">http://bonri.dge.es.kr</t>
  </si>
  <si>
    <r>
      <rPr>
        <sz val="10"/>
        <rFont val="Noto Sans CJK SC"/>
        <family val="2"/>
      </rPr>
      <t xml:space="preserve">대구광역시 달서구 장기로 </t>
    </r>
    <r>
      <rPr>
        <sz val="10"/>
        <rFont val="맑은 고딕"/>
        <family val="0"/>
        <charset val="1"/>
      </rPr>
      <t xml:space="preserve">198</t>
    </r>
  </si>
  <si>
    <t xml:space="preserve">대구월서초등학교</t>
  </si>
  <si>
    <t xml:space="preserve">053-234-4706</t>
  </si>
  <si>
    <t xml:space="preserve">http://wolseo.dge.es.kr</t>
  </si>
  <si>
    <r>
      <rPr>
        <sz val="10"/>
        <rFont val="Noto Sans CJK SC"/>
        <family val="2"/>
      </rPr>
      <t xml:space="preserve">대구광역시 달서구 월배로</t>
    </r>
    <r>
      <rPr>
        <sz val="10"/>
        <rFont val="맑은 고딕"/>
        <family val="0"/>
        <charset val="1"/>
      </rPr>
      <t xml:space="preserve">39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46</t>
    </r>
  </si>
  <si>
    <t xml:space="preserve">대구월암초등학교</t>
  </si>
  <si>
    <t xml:space="preserve">053-234-5200</t>
  </si>
  <si>
    <t xml:space="preserve">http://wolam.dge.es.kr</t>
  </si>
  <si>
    <r>
      <rPr>
        <sz val="10"/>
        <rFont val="Noto Sans CJK SC"/>
        <family val="2"/>
      </rPr>
      <t xml:space="preserve">대구광역시 달서구 조암로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55</t>
    </r>
  </si>
  <si>
    <t xml:space="preserve">경암중학교</t>
  </si>
  <si>
    <t xml:space="preserve">053-234-9100</t>
  </si>
  <si>
    <t xml:space="preserve">http://ka.dge.ms.kr</t>
  </si>
  <si>
    <r>
      <rPr>
        <sz val="10"/>
        <rFont val="Noto Sans CJK SC"/>
        <family val="2"/>
      </rPr>
      <t xml:space="preserve">대구광역시 달서구 당산로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20</t>
    </r>
  </si>
  <si>
    <t xml:space="preserve">대건중학교</t>
  </si>
  <si>
    <t xml:space="preserve">053-234-8808</t>
  </si>
  <si>
    <t xml:space="preserve">http://daegun.dge.ms.kr</t>
  </si>
  <si>
    <t xml:space="preserve">대곡중학교</t>
  </si>
  <si>
    <t xml:space="preserve">053-234-6805</t>
  </si>
  <si>
    <t xml:space="preserve">http://www.daegok.dge.ms.kr</t>
  </si>
  <si>
    <r>
      <rPr>
        <sz val="10"/>
        <rFont val="Noto Sans CJK SC"/>
        <family val="2"/>
      </rPr>
      <t xml:space="preserve">대구광역시 달서구 도원남로 </t>
    </r>
    <r>
      <rPr>
        <sz val="10"/>
        <rFont val="맑은 고딕"/>
        <family val="0"/>
        <charset val="1"/>
      </rPr>
      <t xml:space="preserve">5</t>
    </r>
  </si>
  <si>
    <t xml:space="preserve">대서중학교</t>
  </si>
  <si>
    <t xml:space="preserve">053-234-6368</t>
  </si>
  <si>
    <t xml:space="preserve">http://daeseo.dge.ms.kr</t>
  </si>
  <si>
    <r>
      <rPr>
        <sz val="10"/>
        <rFont val="Noto Sans CJK SC"/>
        <family val="2"/>
      </rPr>
      <t xml:space="preserve">대구광역시 달서구 월배로 </t>
    </r>
    <r>
      <rPr>
        <sz val="10"/>
        <rFont val="맑은 고딕"/>
        <family val="0"/>
        <charset val="1"/>
      </rPr>
      <t xml:space="preserve">303</t>
    </r>
  </si>
  <si>
    <t xml:space="preserve">대진중학교</t>
  </si>
  <si>
    <t xml:space="preserve">053-234-8047</t>
  </si>
  <si>
    <t xml:space="preserve">http://daejin.dge.ms.kr</t>
  </si>
  <si>
    <r>
      <rPr>
        <sz val="10"/>
        <rFont val="Noto Sans CJK SC"/>
        <family val="2"/>
      </rPr>
      <t xml:space="preserve">대구광역시 달서구 화암로</t>
    </r>
    <r>
      <rPr>
        <sz val="10"/>
        <rFont val="맑은 고딕"/>
        <family val="0"/>
        <charset val="1"/>
      </rPr>
      <t xml:space="preserve">73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7</t>
    </r>
  </si>
  <si>
    <t xml:space="preserve">상원중학교</t>
  </si>
  <si>
    <t xml:space="preserve">053-234-7761</t>
  </si>
  <si>
    <t xml:space="preserve">http://sangwon.dge.ms.kr</t>
  </si>
  <si>
    <r>
      <rPr>
        <sz val="10"/>
        <rFont val="Noto Sans CJK SC"/>
        <family val="2"/>
      </rPr>
      <t xml:space="preserve">대구광역시 달서구 상인로 </t>
    </r>
    <r>
      <rPr>
        <sz val="10"/>
        <rFont val="맑은 고딕"/>
        <family val="0"/>
        <charset val="1"/>
      </rPr>
      <t xml:space="preserve">117</t>
    </r>
  </si>
  <si>
    <t xml:space="preserve">성곡중학교</t>
  </si>
  <si>
    <t xml:space="preserve">053-234-8000</t>
  </si>
  <si>
    <t xml:space="preserve">http://seonggok.dge.ms.kr</t>
  </si>
  <si>
    <r>
      <rPr>
        <sz val="10"/>
        <rFont val="Noto Sans CJK SC"/>
        <family val="2"/>
      </rPr>
      <t xml:space="preserve">대구광역시 달서구 새방로 </t>
    </r>
    <r>
      <rPr>
        <sz val="10"/>
        <rFont val="맑은 고딕"/>
        <family val="0"/>
        <charset val="1"/>
      </rPr>
      <t xml:space="preserve">32</t>
    </r>
  </si>
  <si>
    <t xml:space="preserve">송현여자중학교</t>
  </si>
  <si>
    <t xml:space="preserve">053-234-9300</t>
  </si>
  <si>
    <t xml:space="preserve">http://songhyun.dge.ms.kr</t>
  </si>
  <si>
    <r>
      <rPr>
        <sz val="10"/>
        <rFont val="Noto Sans CJK SC"/>
        <family val="2"/>
      </rPr>
      <t xml:space="preserve">대구광역시 달서구 송현로 </t>
    </r>
    <r>
      <rPr>
        <sz val="10"/>
        <rFont val="맑은 고딕"/>
        <family val="0"/>
        <charset val="1"/>
      </rPr>
      <t xml:space="preserve">156</t>
    </r>
  </si>
  <si>
    <t xml:space="preserve">월배중학교</t>
  </si>
  <si>
    <t xml:space="preserve">053-234-7591</t>
  </si>
  <si>
    <t xml:space="preserve">http://wolbae.dge.ms.kr</t>
  </si>
  <si>
    <r>
      <rPr>
        <sz val="10"/>
        <rFont val="Noto Sans CJK SC"/>
        <family val="2"/>
      </rPr>
      <t xml:space="preserve">대구광역시 달서구 월배로</t>
    </r>
    <r>
      <rPr>
        <sz val="10"/>
        <rFont val="맑은 고딕"/>
        <family val="0"/>
        <charset val="1"/>
      </rPr>
      <t xml:space="preserve">28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80</t>
    </r>
  </si>
  <si>
    <t xml:space="preserve">월암중학교</t>
  </si>
  <si>
    <t xml:space="preserve">053-234-8280</t>
  </si>
  <si>
    <t xml:space="preserve">http://wolam.dge.ms.kr</t>
  </si>
  <si>
    <r>
      <rPr>
        <sz val="10"/>
        <rFont val="Noto Sans CJK SC"/>
        <family val="2"/>
      </rPr>
      <t xml:space="preserve">대구광역시 달서구 조암로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33</t>
    </r>
  </si>
  <si>
    <t xml:space="preserve">달성교육지원청</t>
  </si>
  <si>
    <t xml:space="preserve">대구다사초등학교</t>
  </si>
  <si>
    <t xml:space="preserve">053-235-0805</t>
  </si>
  <si>
    <t xml:space="preserve">http://www.dasa.dge.es.kr</t>
  </si>
  <si>
    <r>
      <rPr>
        <sz val="10"/>
        <rFont val="Noto Sans CJK SC"/>
        <family val="2"/>
      </rPr>
      <t xml:space="preserve">대구광역시 달성군 다사읍 다사로 </t>
    </r>
    <r>
      <rPr>
        <sz val="10"/>
        <rFont val="맑은 고딕"/>
        <family val="0"/>
        <charset val="1"/>
      </rPr>
      <t xml:space="preserve">86</t>
    </r>
  </si>
  <si>
    <t xml:space="preserve">대구동곡초등학교</t>
  </si>
  <si>
    <t xml:space="preserve">053-235-0777</t>
  </si>
  <si>
    <t xml:space="preserve">http://donggok.dge.es.kr</t>
  </si>
  <si>
    <r>
      <rPr>
        <sz val="10"/>
        <rFont val="Noto Sans CJK SC"/>
        <family val="2"/>
      </rPr>
      <t xml:space="preserve">대구광역시 달성군 하빈면 달구벌대로</t>
    </r>
    <r>
      <rPr>
        <sz val="10"/>
        <rFont val="맑은 고딕"/>
        <family val="0"/>
        <charset val="1"/>
      </rPr>
      <t xml:space="preserve">55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104-4</t>
    </r>
  </si>
  <si>
    <t xml:space="preserve">대구북동초등학교</t>
  </si>
  <si>
    <t xml:space="preserve">053-235-0493</t>
  </si>
  <si>
    <t xml:space="preserve">http://bukdong.dge.es.kr</t>
  </si>
  <si>
    <r>
      <rPr>
        <sz val="10"/>
        <rFont val="Noto Sans CJK SC"/>
        <family val="2"/>
      </rPr>
      <t xml:space="preserve">대구광역시 달성군 논공읍 논공로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18</t>
    </r>
  </si>
  <si>
    <t xml:space="preserve">대구용계초등학교</t>
  </si>
  <si>
    <t xml:space="preserve">053-235-1055</t>
  </si>
  <si>
    <t xml:space="preserve">http://yonggye.dge.es.kr</t>
  </si>
  <si>
    <r>
      <rPr>
        <sz val="10"/>
        <rFont val="Noto Sans CJK SC"/>
        <family val="2"/>
      </rPr>
      <t xml:space="preserve">대구광역시 달성군 가창면 가창로</t>
    </r>
    <r>
      <rPr>
        <sz val="10"/>
        <rFont val="맑은 고딕"/>
        <family val="0"/>
        <charset val="1"/>
      </rPr>
      <t xml:space="preserve">221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</t>
    </r>
  </si>
  <si>
    <t xml:space="preserve">대구유가초등학교</t>
  </si>
  <si>
    <t xml:space="preserve">053-235-2578</t>
  </si>
  <si>
    <t xml:space="preserve">http://yuga.dge.es.kr</t>
  </si>
  <si>
    <r>
      <rPr>
        <sz val="10"/>
        <rFont val="Noto Sans CJK SC"/>
        <family val="2"/>
      </rPr>
      <t xml:space="preserve">대구광역시 달성군 유가읍 테크노대로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34</t>
    </r>
  </si>
  <si>
    <t xml:space="preserve">다사중학교</t>
  </si>
  <si>
    <t xml:space="preserve">053-235-3200</t>
  </si>
  <si>
    <t xml:space="preserve">http://dasa.dge.ms.kr</t>
  </si>
  <si>
    <r>
      <rPr>
        <sz val="10"/>
        <rFont val="Noto Sans CJK SC"/>
        <family val="2"/>
      </rPr>
      <t xml:space="preserve">대구광역시 달성군 다사읍 매곡로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8-5</t>
    </r>
  </si>
  <si>
    <t xml:space="preserve">달서중학교</t>
  </si>
  <si>
    <t xml:space="preserve">053-235-3900</t>
  </si>
  <si>
    <t xml:space="preserve">http://dalseo.dge.ms.kr</t>
  </si>
  <si>
    <r>
      <rPr>
        <sz val="10"/>
        <rFont val="Noto Sans CJK SC"/>
        <family val="2"/>
      </rPr>
      <t xml:space="preserve">대구광역시 달성군 하빈면 하빈로 </t>
    </r>
    <r>
      <rPr>
        <sz val="10"/>
        <rFont val="맑은 고딕"/>
        <family val="0"/>
        <charset val="1"/>
      </rPr>
      <t xml:space="preserve">118</t>
    </r>
  </si>
  <si>
    <t xml:space="preserve">현풍중학교</t>
  </si>
  <si>
    <t xml:space="preserve">053-235-3963</t>
  </si>
  <si>
    <t xml:space="preserve">http://hyeonpung.dge.ms.kr</t>
  </si>
  <si>
    <r>
      <rPr>
        <sz val="10"/>
        <rFont val="Noto Sans CJK SC"/>
        <family val="2"/>
      </rPr>
      <t xml:space="preserve">대구광역시 달성군 현풍읍 비슬로 </t>
    </r>
    <r>
      <rPr>
        <sz val="10"/>
        <rFont val="맑은 고딕"/>
        <family val="0"/>
        <charset val="1"/>
      </rPr>
      <t xml:space="preserve">675</t>
    </r>
  </si>
  <si>
    <t xml:space="preserve">대구동신초등학교</t>
  </si>
  <si>
    <t xml:space="preserve">053-232-1703</t>
  </si>
  <si>
    <t xml:space="preserve">http://dongshin.dge.es.kr</t>
  </si>
  <si>
    <r>
      <rPr>
        <sz val="10"/>
        <rFont val="Noto Sans CJK SC"/>
        <family val="2"/>
      </rPr>
      <t xml:space="preserve">대구광역시 동구 송라로 </t>
    </r>
    <r>
      <rPr>
        <sz val="10"/>
        <rFont val="맑은 고딕"/>
        <family val="0"/>
        <charset val="1"/>
      </rPr>
      <t xml:space="preserve">123</t>
    </r>
  </si>
  <si>
    <t xml:space="preserve">대구팔공초등학교</t>
  </si>
  <si>
    <t xml:space="preserve">053-233-5270</t>
  </si>
  <si>
    <t xml:space="preserve">http://www.palgong.es.kr</t>
  </si>
  <si>
    <r>
      <rPr>
        <sz val="10"/>
        <rFont val="Noto Sans CJK SC"/>
        <family val="2"/>
      </rPr>
      <t xml:space="preserve">대구광역시 동구 연경지묘로 </t>
    </r>
    <r>
      <rPr>
        <sz val="10"/>
        <rFont val="맑은 고딕"/>
        <family val="0"/>
        <charset val="1"/>
      </rPr>
      <t xml:space="preserve">150</t>
    </r>
  </si>
  <si>
    <t xml:space="preserve">동촌중학교</t>
  </si>
  <si>
    <t xml:space="preserve">053-232-6164</t>
  </si>
  <si>
    <t xml:space="preserve">http://dongchon.dge.ms.kr</t>
  </si>
  <si>
    <r>
      <rPr>
        <sz val="10"/>
        <rFont val="Noto Sans CJK SC"/>
        <family val="2"/>
      </rPr>
      <t xml:space="preserve">대구광역시 동구 동촌로 </t>
    </r>
    <r>
      <rPr>
        <sz val="10"/>
        <rFont val="맑은 고딕"/>
        <family val="0"/>
        <charset val="1"/>
      </rPr>
      <t xml:space="preserve">176</t>
    </r>
  </si>
  <si>
    <t xml:space="preserve">대구경동초등학교</t>
  </si>
  <si>
    <t xml:space="preserve">053-232-3000</t>
  </si>
  <si>
    <t xml:space="preserve">http://gyeongdong.dge.es.kr</t>
  </si>
  <si>
    <r>
      <rPr>
        <sz val="10"/>
        <rFont val="Noto Sans CJK SC"/>
        <family val="2"/>
      </rPr>
      <t xml:space="preserve">대구광역시 수성구 청호로</t>
    </r>
    <r>
      <rPr>
        <sz val="10"/>
        <rFont val="맑은 고딕"/>
        <family val="0"/>
        <charset val="1"/>
      </rPr>
      <t xml:space="preserve">76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12</t>
    </r>
  </si>
  <si>
    <t xml:space="preserve">대구들안길초등학교</t>
  </si>
  <si>
    <t xml:space="preserve">053-232-5582</t>
  </si>
  <si>
    <t xml:space="preserve">http://deulangil.dge.es.kr</t>
  </si>
  <si>
    <r>
      <rPr>
        <sz val="10"/>
        <rFont val="Noto Sans CJK SC"/>
        <family val="2"/>
      </rPr>
      <t xml:space="preserve">대구광역시 수성구 들안로</t>
    </r>
    <r>
      <rPr>
        <sz val="10"/>
        <rFont val="맑은 고딕"/>
        <family val="0"/>
        <charset val="1"/>
      </rPr>
      <t xml:space="preserve">16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58</t>
    </r>
  </si>
  <si>
    <t xml:space="preserve">대륜중학교</t>
  </si>
  <si>
    <t xml:space="preserve">053-232-8380</t>
  </si>
  <si>
    <t xml:space="preserve">http://www.daeryun.dge.ms.kr</t>
  </si>
  <si>
    <r>
      <rPr>
        <sz val="10"/>
        <rFont val="Noto Sans CJK SC"/>
        <family val="2"/>
      </rPr>
      <t xml:space="preserve">대구광역시 수성구 달구벌대로 </t>
    </r>
    <r>
      <rPr>
        <sz val="10"/>
        <rFont val="맑은 고딕"/>
        <family val="0"/>
        <charset val="1"/>
      </rPr>
      <t xml:space="preserve">2700</t>
    </r>
  </si>
  <si>
    <t xml:space="preserve">덕원중학교</t>
  </si>
  <si>
    <t xml:space="preserve">053-232-8560</t>
  </si>
  <si>
    <t xml:space="preserve">http://dukwon.dge.ms.kr</t>
  </si>
  <si>
    <r>
      <rPr>
        <sz val="10"/>
        <rFont val="Noto Sans CJK SC"/>
        <family val="2"/>
      </rPr>
      <t xml:space="preserve">대구광역시 수성구 욱수길 </t>
    </r>
    <r>
      <rPr>
        <sz val="10"/>
        <rFont val="맑은 고딕"/>
        <family val="0"/>
        <charset val="1"/>
      </rPr>
      <t xml:space="preserve">37</t>
    </r>
  </si>
  <si>
    <t xml:space="preserve">덕화중학교</t>
  </si>
  <si>
    <t xml:space="preserve">053-232-7786</t>
  </si>
  <si>
    <t xml:space="preserve">http://dukhwa.dge.ms.kr</t>
  </si>
  <si>
    <r>
      <rPr>
        <sz val="10"/>
        <rFont val="Noto Sans CJK SC"/>
        <family val="2"/>
      </rPr>
      <t xml:space="preserve">대구광역시 수성구 들안로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36</t>
    </r>
  </si>
  <si>
    <t xml:space="preserve">신명여자중학교</t>
  </si>
  <si>
    <t xml:space="preserve">053-232-9290</t>
  </si>
  <si>
    <t xml:space="preserve">http://www.shinmyung.dge.ms.kr</t>
  </si>
  <si>
    <r>
      <rPr>
        <sz val="10"/>
        <rFont val="Noto Sans CJK SC"/>
        <family val="2"/>
      </rPr>
      <t xml:space="preserve">대구광역시 수성구 신천동로 </t>
    </r>
    <r>
      <rPr>
        <sz val="10"/>
        <rFont val="맑은 고딕"/>
        <family val="0"/>
        <charset val="1"/>
      </rPr>
      <t xml:space="preserve">364</t>
    </r>
  </si>
  <si>
    <t xml:space="preserve">대구제일중학교</t>
  </si>
  <si>
    <t xml:space="preserve">053-232-7777</t>
  </si>
  <si>
    <t xml:space="preserve">http://dgjeil.dge.ms.kr</t>
  </si>
  <si>
    <r>
      <rPr>
        <sz val="10"/>
        <rFont val="Noto Sans CJK SC"/>
        <family val="2"/>
      </rPr>
      <t xml:space="preserve">대구광역시 중구 명륜로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16</t>
    </r>
  </si>
  <si>
    <t xml:space="preserve">대구강북초등학교</t>
  </si>
  <si>
    <t xml:space="preserve">053-233-3655</t>
  </si>
  <si>
    <t xml:space="preserve">http://gangbuk.dge.es.kr</t>
  </si>
  <si>
    <r>
      <rPr>
        <sz val="10"/>
        <rFont val="Noto Sans CJK SC"/>
        <family val="2"/>
      </rPr>
      <t xml:space="preserve">대구광역시 북구 구암서로 </t>
    </r>
    <r>
      <rPr>
        <sz val="10"/>
        <rFont val="맑은 고딕"/>
        <family val="0"/>
        <charset val="1"/>
      </rPr>
      <t xml:space="preserve">50</t>
    </r>
  </si>
  <si>
    <t xml:space="preserve">대구대산초등학교</t>
  </si>
  <si>
    <t xml:space="preserve">053-233-2300</t>
  </si>
  <si>
    <t xml:space="preserve">http://daesan.dge.es.kr</t>
  </si>
  <si>
    <r>
      <rPr>
        <sz val="10"/>
        <rFont val="Noto Sans CJK SC"/>
        <family val="2"/>
      </rPr>
      <t xml:space="preserve">대구광역시 북구 신천동로 </t>
    </r>
    <r>
      <rPr>
        <sz val="10"/>
        <rFont val="맑은 고딕"/>
        <family val="0"/>
        <charset val="1"/>
      </rPr>
      <t xml:space="preserve">900</t>
    </r>
  </si>
  <si>
    <t xml:space="preserve">대구학정초등학교</t>
  </si>
  <si>
    <t xml:space="preserve">053-233-4546</t>
  </si>
  <si>
    <t xml:space="preserve">http://hakjung.dge.es.kr</t>
  </si>
  <si>
    <r>
      <rPr>
        <sz val="10"/>
        <rFont val="Noto Sans CJK SC"/>
        <family val="2"/>
      </rPr>
      <t xml:space="preserve">대구광역시 북구 학남로 </t>
    </r>
    <r>
      <rPr>
        <sz val="10"/>
        <rFont val="맑은 고딕"/>
        <family val="0"/>
        <charset val="1"/>
      </rPr>
      <t xml:space="preserve">32</t>
    </r>
  </si>
  <si>
    <t xml:space="preserve">경명여자중학교</t>
  </si>
  <si>
    <t xml:space="preserve">053-233-8453</t>
  </si>
  <si>
    <t xml:space="preserve">http://kmschool.dge.ms.kr</t>
  </si>
  <si>
    <r>
      <rPr>
        <sz val="10"/>
        <rFont val="Noto Sans CJK SC"/>
        <family val="2"/>
      </rPr>
      <t xml:space="preserve">대구광역시 북구 칠성로</t>
    </r>
    <r>
      <rPr>
        <sz val="10"/>
        <rFont val="맑은 고딕"/>
        <family val="0"/>
        <charset val="1"/>
      </rPr>
      <t xml:space="preserve">17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18</t>
    </r>
  </si>
  <si>
    <t xml:space="preserve">관음중학교</t>
  </si>
  <si>
    <t xml:space="preserve">053-233-7151</t>
  </si>
  <si>
    <t xml:space="preserve">http://gwaneum.dge.ms.kr</t>
  </si>
  <si>
    <r>
      <rPr>
        <sz val="10"/>
        <rFont val="Noto Sans CJK SC"/>
        <family val="2"/>
      </rPr>
      <t xml:space="preserve">대구광역시 북구 관음동로 </t>
    </r>
    <r>
      <rPr>
        <sz val="10"/>
        <rFont val="맑은 고딕"/>
        <family val="0"/>
        <charset val="1"/>
      </rPr>
      <t xml:space="preserve">87</t>
    </r>
  </si>
  <si>
    <t xml:space="preserve">동평중학교</t>
  </si>
  <si>
    <t xml:space="preserve">053-233-7400</t>
  </si>
  <si>
    <t xml:space="preserve">http://dong-pyeong.dge.ms.kr</t>
  </si>
  <si>
    <r>
      <rPr>
        <sz val="10"/>
        <rFont val="Noto Sans CJK SC"/>
        <family val="2"/>
      </rPr>
      <t xml:space="preserve">대구광역시 북구 대천로 </t>
    </r>
    <r>
      <rPr>
        <sz val="10"/>
        <rFont val="맑은 고딕"/>
        <family val="0"/>
        <charset val="1"/>
      </rPr>
      <t xml:space="preserve">123</t>
    </r>
  </si>
  <si>
    <t xml:space="preserve">매천중학교</t>
  </si>
  <si>
    <t xml:space="preserve">053-233-8241</t>
  </si>
  <si>
    <t xml:space="preserve">http://maecheon.dge.ms.kr</t>
  </si>
  <si>
    <r>
      <rPr>
        <sz val="10"/>
        <rFont val="Noto Sans CJK SC"/>
        <family val="2"/>
      </rPr>
      <t xml:space="preserve">대구광역시 북구 매전로 </t>
    </r>
    <r>
      <rPr>
        <sz val="10"/>
        <rFont val="맑은 고딕"/>
        <family val="0"/>
        <charset val="1"/>
      </rPr>
      <t xml:space="preserve">56</t>
    </r>
  </si>
  <si>
    <t xml:space="preserve">복현중학교</t>
  </si>
  <si>
    <t xml:space="preserve">053-233-6670</t>
  </si>
  <si>
    <t xml:space="preserve">http://www.bokhyun.dge.ms.kr</t>
  </si>
  <si>
    <r>
      <rPr>
        <sz val="10"/>
        <rFont val="Noto Sans CJK SC"/>
        <family val="2"/>
      </rPr>
      <t xml:space="preserve">대구광역시 북구 동북로</t>
    </r>
    <r>
      <rPr>
        <sz val="10"/>
        <rFont val="맑은 고딕"/>
        <family val="0"/>
        <charset val="1"/>
      </rPr>
      <t xml:space="preserve">65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28</t>
    </r>
  </si>
  <si>
    <t xml:space="preserve">사수중학교</t>
  </si>
  <si>
    <t xml:space="preserve">053-233-8770</t>
  </si>
  <si>
    <t xml:space="preserve">http://www.sasu.dge.ms.kr</t>
  </si>
  <si>
    <r>
      <rPr>
        <sz val="10"/>
        <rFont val="Noto Sans CJK SC"/>
        <family val="2"/>
      </rPr>
      <t xml:space="preserve">대구광역시 북구 내곡로 </t>
    </r>
    <r>
      <rPr>
        <sz val="10"/>
        <rFont val="맑은 고딕"/>
        <family val="0"/>
        <charset val="1"/>
      </rPr>
      <t xml:space="preserve">140</t>
    </r>
  </si>
  <si>
    <t xml:space="preserve">성광중학교</t>
  </si>
  <si>
    <t xml:space="preserve">053-233-8355</t>
  </si>
  <si>
    <t xml:space="preserve">http://seonggwang.dge.ms.kr</t>
  </si>
  <si>
    <r>
      <rPr>
        <sz val="10"/>
        <rFont val="Noto Sans CJK SC"/>
        <family val="2"/>
      </rPr>
      <t xml:space="preserve">대구광역시 북구 검단로 </t>
    </r>
    <r>
      <rPr>
        <sz val="10"/>
        <rFont val="맑은 고딕"/>
        <family val="0"/>
        <charset val="1"/>
      </rPr>
      <t xml:space="preserve">150</t>
    </r>
  </si>
  <si>
    <t xml:space="preserve">운암중학교</t>
  </si>
  <si>
    <t xml:space="preserve">053-233-6983</t>
  </si>
  <si>
    <t xml:space="preserve">http://woonam.dge.ms.kr</t>
  </si>
  <si>
    <r>
      <rPr>
        <sz val="10"/>
        <rFont val="Noto Sans CJK SC"/>
        <family val="2"/>
      </rPr>
      <t xml:space="preserve">대구광역시 북구 구암로</t>
    </r>
    <r>
      <rPr>
        <sz val="10"/>
        <rFont val="맑은 고딕"/>
        <family val="0"/>
        <charset val="1"/>
      </rPr>
      <t xml:space="preserve">49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9</t>
    </r>
  </si>
  <si>
    <t xml:space="preserve">침산중학교</t>
  </si>
  <si>
    <t xml:space="preserve">053-233-6600</t>
  </si>
  <si>
    <t xml:space="preserve">http://chimsan.dge.ms.kr</t>
  </si>
  <si>
    <r>
      <rPr>
        <sz val="10"/>
        <rFont val="Noto Sans CJK SC"/>
        <family val="2"/>
      </rPr>
      <t xml:space="preserve">대구광역시 북구 침산남로 </t>
    </r>
    <r>
      <rPr>
        <sz val="10"/>
        <rFont val="맑은 고딕"/>
        <family val="0"/>
        <charset val="1"/>
      </rPr>
      <t xml:space="preserve">121</t>
    </r>
  </si>
  <si>
    <t xml:space="preserve">대구비산초등학교</t>
  </si>
  <si>
    <t xml:space="preserve">053-233-1344</t>
  </si>
  <si>
    <t xml:space="preserve">http://beesan.dge.es.kr</t>
  </si>
  <si>
    <r>
      <rPr>
        <sz val="10"/>
        <rFont val="Noto Sans CJK SC"/>
        <family val="2"/>
      </rPr>
      <t xml:space="preserve">대구광역시 서구 통학로 </t>
    </r>
    <r>
      <rPr>
        <sz val="10"/>
        <rFont val="맑은 고딕"/>
        <family val="0"/>
        <charset val="1"/>
      </rPr>
      <t xml:space="preserve">202</t>
    </r>
  </si>
  <si>
    <t xml:space="preserve">대구서평초등학교</t>
  </si>
  <si>
    <t xml:space="preserve">053-233-2350</t>
  </si>
  <si>
    <t xml:space="preserve">http://seopyeong.dge.es.kr</t>
  </si>
  <si>
    <r>
      <rPr>
        <sz val="10"/>
        <rFont val="Noto Sans CJK SC"/>
        <family val="2"/>
      </rPr>
      <t xml:space="preserve">대구광역시 서구 서대구로</t>
    </r>
    <r>
      <rPr>
        <sz val="10"/>
        <rFont val="맑은 고딕"/>
        <family val="0"/>
        <charset val="1"/>
      </rPr>
      <t xml:space="preserve">45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60</t>
    </r>
  </si>
  <si>
    <t xml:space="preserve">서대구초등학교</t>
  </si>
  <si>
    <t xml:space="preserve">053-233-1666</t>
  </si>
  <si>
    <t xml:space="preserve">http://sdg.dge.es.kr</t>
  </si>
  <si>
    <r>
      <rPr>
        <sz val="10"/>
        <rFont val="Noto Sans CJK SC"/>
        <family val="2"/>
      </rPr>
      <t xml:space="preserve">대구광역시 서구 서대구로</t>
    </r>
    <r>
      <rPr>
        <sz val="10"/>
        <rFont val="맑은 고딕"/>
        <family val="0"/>
        <charset val="1"/>
      </rPr>
      <t xml:space="preserve">63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28-13</t>
    </r>
  </si>
  <si>
    <t xml:space="preserve">경운중학교</t>
  </si>
  <si>
    <t xml:space="preserve">053-233-6000</t>
  </si>
  <si>
    <t xml:space="preserve">http://gyungun.dge.ms.kr</t>
  </si>
  <si>
    <r>
      <rPr>
        <sz val="10"/>
        <rFont val="Noto Sans CJK SC"/>
        <family val="2"/>
      </rPr>
      <t xml:space="preserve">대구광역시 서구 서대구로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32</t>
    </r>
  </si>
  <si>
    <t xml:space="preserve">대구청라중학교</t>
  </si>
  <si>
    <t xml:space="preserve">053-233-8510</t>
  </si>
  <si>
    <t xml:space="preserve">http://cn.dge.ms.kr</t>
  </si>
  <si>
    <r>
      <rPr>
        <sz val="10"/>
        <rFont val="Noto Sans CJK SC"/>
        <family val="2"/>
      </rPr>
      <t xml:space="preserve">대구광역시 서구 국채보상로 </t>
    </r>
    <r>
      <rPr>
        <sz val="10"/>
        <rFont val="맑은 고딕"/>
        <family val="0"/>
        <charset val="1"/>
      </rPr>
      <t xml:space="preserve">384</t>
    </r>
  </si>
  <si>
    <t xml:space="preserve">강화교육지원청</t>
  </si>
  <si>
    <t xml:space="preserve">강화군</t>
  </si>
  <si>
    <t xml:space="preserve">갑룡초등학교</t>
  </si>
  <si>
    <t xml:space="preserve">032-934-2248</t>
  </si>
  <si>
    <t xml:space="preserve">http://gabryong.icees.kr</t>
  </si>
  <si>
    <r>
      <rPr>
        <sz val="10"/>
        <rFont val="Noto Sans CJK SC"/>
        <family val="2"/>
      </rPr>
      <t xml:space="preserve">인천광역시 강화군 강화읍 갑룡길 </t>
    </r>
    <r>
      <rPr>
        <sz val="10"/>
        <rFont val="맑은 고딕"/>
        <family val="0"/>
        <charset val="1"/>
      </rPr>
      <t xml:space="preserve">88</t>
    </r>
  </si>
  <si>
    <t xml:space="preserve">강화초등학교</t>
  </si>
  <si>
    <t xml:space="preserve">032-627-6079</t>
  </si>
  <si>
    <t xml:space="preserve">http://ganghwa.icees.kr</t>
  </si>
  <si>
    <r>
      <rPr>
        <sz val="10"/>
        <rFont val="Noto Sans CJK SC"/>
        <family val="2"/>
      </rPr>
      <t xml:space="preserve">인천광역시 강화군 강화읍 북문길 </t>
    </r>
    <r>
      <rPr>
        <sz val="10"/>
        <rFont val="맑은 고딕"/>
        <family val="0"/>
        <charset val="1"/>
      </rPr>
      <t xml:space="preserve">36</t>
    </r>
  </si>
  <si>
    <t xml:space="preserve">합일초등학교</t>
  </si>
  <si>
    <t xml:space="preserve">032-934-2029</t>
  </si>
  <si>
    <t xml:space="preserve">http://habil.icees.kr</t>
  </si>
  <si>
    <r>
      <rPr>
        <sz val="10"/>
        <rFont val="Noto Sans CJK SC"/>
        <family val="2"/>
      </rPr>
      <t xml:space="preserve">인천광역시 강화군 강화읍 합일길 </t>
    </r>
    <r>
      <rPr>
        <sz val="10"/>
        <rFont val="맑은 고딕"/>
        <family val="0"/>
        <charset val="1"/>
      </rPr>
      <t xml:space="preserve">3</t>
    </r>
  </si>
  <si>
    <t xml:space="preserve">승영중학교</t>
  </si>
  <si>
    <t xml:space="preserve">032-932-3102</t>
  </si>
  <si>
    <t xml:space="preserve">http://seungyoung.icems.kr</t>
  </si>
  <si>
    <r>
      <rPr>
        <sz val="10"/>
        <rFont val="Noto Sans CJK SC"/>
        <family val="2"/>
      </rPr>
      <t xml:space="preserve">인천광역시 강화군 삼산면 삼산북로 </t>
    </r>
    <r>
      <rPr>
        <sz val="10"/>
        <rFont val="맑은 고딕"/>
        <family val="0"/>
        <charset val="1"/>
      </rPr>
      <t xml:space="preserve">473</t>
    </r>
  </si>
  <si>
    <t xml:space="preserve">강화고등학교</t>
  </si>
  <si>
    <t xml:space="preserve">032-724-2300</t>
  </si>
  <si>
    <t xml:space="preserve">http://ganghwahs.icehs.kr</t>
  </si>
  <si>
    <r>
      <rPr>
        <sz val="10"/>
        <rFont val="Noto Sans CJK SC"/>
        <family val="2"/>
      </rPr>
      <t xml:space="preserve">인천광역시 강화군 강화읍 고비고개로 </t>
    </r>
    <r>
      <rPr>
        <sz val="10"/>
        <rFont val="맑은 고딕"/>
        <family val="0"/>
        <charset val="1"/>
      </rPr>
      <t xml:space="preserve">20</t>
    </r>
  </si>
  <si>
    <t xml:space="preserve">검단구</t>
  </si>
  <si>
    <t xml:space="preserve">검단고등학교</t>
  </si>
  <si>
    <t xml:space="preserve">032-567-7831</t>
  </si>
  <si>
    <t xml:space="preserve">http://geomdan.icehs.kr</t>
  </si>
  <si>
    <r>
      <rPr>
        <sz val="10"/>
        <rFont val="Noto Sans CJK SC"/>
        <family val="2"/>
      </rPr>
      <t xml:space="preserve">인천광역시 검단구 검단로</t>
    </r>
    <r>
      <rPr>
        <sz val="10"/>
        <rFont val="맑은 고딕"/>
        <family val="0"/>
        <charset val="1"/>
      </rPr>
      <t xml:space="preserve">540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7</t>
    </r>
  </si>
  <si>
    <t xml:space="preserve">인천이음고등학교</t>
  </si>
  <si>
    <t xml:space="preserve">032-870-1800</t>
  </si>
  <si>
    <t xml:space="preserve">http://ieum.icehs.kr</t>
  </si>
  <si>
    <r>
      <rPr>
        <sz val="10"/>
        <rFont val="Noto Sans CJK SC"/>
        <family val="2"/>
      </rPr>
      <t xml:space="preserve">인천광역시 검단구 이음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469</t>
    </r>
  </si>
  <si>
    <t xml:space="preserve">계양구</t>
  </si>
  <si>
    <t xml:space="preserve">인천효성고등학교</t>
  </si>
  <si>
    <t xml:space="preserve">032-556-8181</t>
  </si>
  <si>
    <t xml:space="preserve">http://in-hyoseong.icehs.kr</t>
  </si>
  <si>
    <r>
      <rPr>
        <sz val="10"/>
        <rFont val="Noto Sans CJK SC"/>
        <family val="2"/>
      </rPr>
      <t xml:space="preserve">인천광역시 계양구 새벌로</t>
    </r>
    <r>
      <rPr>
        <sz val="10"/>
        <rFont val="맑은 고딕"/>
        <family val="0"/>
        <charset val="1"/>
      </rPr>
      <t xml:space="preserve">171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21</t>
    </r>
  </si>
  <si>
    <t xml:space="preserve">작전고등학교</t>
  </si>
  <si>
    <t xml:space="preserve">032-555-1595</t>
  </si>
  <si>
    <t xml:space="preserve">http://jakj.icehs.kr</t>
  </si>
  <si>
    <r>
      <rPr>
        <sz val="10"/>
        <rFont val="Noto Sans CJK SC"/>
        <family val="2"/>
      </rPr>
      <t xml:space="preserve">인천광역시 계양구 봉오대로</t>
    </r>
    <r>
      <rPr>
        <sz val="10"/>
        <rFont val="맑은 고딕"/>
        <family val="0"/>
        <charset val="1"/>
      </rPr>
      <t xml:space="preserve">729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27</t>
    </r>
  </si>
  <si>
    <t xml:space="preserve">남동구</t>
  </si>
  <si>
    <t xml:space="preserve">인천고잔고등학교</t>
  </si>
  <si>
    <t xml:space="preserve">032-430-2400</t>
  </si>
  <si>
    <t xml:space="preserve">http://gojan.icehs.kr</t>
  </si>
  <si>
    <r>
      <rPr>
        <sz val="10"/>
        <rFont val="Noto Sans CJK SC"/>
        <family val="2"/>
      </rPr>
      <t xml:space="preserve">인천광역시 남동구 에코중앙로 </t>
    </r>
    <r>
      <rPr>
        <sz val="10"/>
        <rFont val="맑은 고딕"/>
        <family val="0"/>
        <charset val="1"/>
      </rPr>
      <t xml:space="preserve">117</t>
    </r>
  </si>
  <si>
    <t xml:space="preserve">인천남고등학교</t>
  </si>
  <si>
    <t xml:space="preserve">032-722-1500</t>
  </si>
  <si>
    <t xml:space="preserve">http://inam.icehs.kr</t>
  </si>
  <si>
    <r>
      <rPr>
        <sz val="10"/>
        <rFont val="Noto Sans CJK SC"/>
        <family val="2"/>
      </rPr>
      <t xml:space="preserve">인천광역시 남동구 석정로</t>
    </r>
    <r>
      <rPr>
        <sz val="10"/>
        <rFont val="맑은 고딕"/>
        <family val="0"/>
        <charset val="1"/>
      </rPr>
      <t xml:space="preserve">551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41</t>
    </r>
  </si>
  <si>
    <t xml:space="preserve">인천남동고등학교</t>
  </si>
  <si>
    <t xml:space="preserve">032-421-2982</t>
  </si>
  <si>
    <t xml:space="preserve">http://namdong.icehs.kr</t>
  </si>
  <si>
    <r>
      <rPr>
        <sz val="10"/>
        <rFont val="Noto Sans CJK SC"/>
        <family val="2"/>
      </rPr>
      <t xml:space="preserve">인천광역시 남동구 은봉로 </t>
    </r>
    <r>
      <rPr>
        <sz val="10"/>
        <rFont val="맑은 고딕"/>
        <family val="0"/>
        <charset val="1"/>
      </rPr>
      <t xml:space="preserve">283</t>
    </r>
  </si>
  <si>
    <t xml:space="preserve">인천만수고등학교</t>
  </si>
  <si>
    <t xml:space="preserve">032-473-0372</t>
  </si>
  <si>
    <t xml:space="preserve">http://ims.icehs.kr</t>
  </si>
  <si>
    <r>
      <rPr>
        <sz val="10"/>
        <rFont val="Noto Sans CJK SC"/>
        <family val="2"/>
      </rPr>
      <t xml:space="preserve">인천광역시 남동구 장승로 </t>
    </r>
    <r>
      <rPr>
        <sz val="10"/>
        <rFont val="맑은 고딕"/>
        <family val="0"/>
        <charset val="1"/>
      </rPr>
      <t xml:space="preserve">91</t>
    </r>
  </si>
  <si>
    <t xml:space="preserve">인천송천고등학교</t>
  </si>
  <si>
    <t xml:space="preserve">032-627-2727</t>
  </si>
  <si>
    <t xml:space="preserve">http://songcheon.icehs.kr</t>
  </si>
  <si>
    <r>
      <rPr>
        <sz val="10"/>
        <rFont val="Noto Sans CJK SC"/>
        <family val="2"/>
      </rPr>
      <t xml:space="preserve">인천광역시 남동구 앵고개로</t>
    </r>
    <r>
      <rPr>
        <sz val="10"/>
        <rFont val="맑은 고딕"/>
        <family val="0"/>
        <charset val="1"/>
      </rPr>
      <t xml:space="preserve">815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59</t>
    </r>
  </si>
  <si>
    <t xml:space="preserve">미추홀구</t>
  </si>
  <si>
    <t xml:space="preserve">학익고등학교</t>
  </si>
  <si>
    <t xml:space="preserve">032-868-4143</t>
  </si>
  <si>
    <t xml:space="preserve">http://hakik.icehs.kr</t>
  </si>
  <si>
    <r>
      <rPr>
        <sz val="10"/>
        <rFont val="Noto Sans CJK SC"/>
        <family val="2"/>
      </rPr>
      <t xml:space="preserve">인천광역시 미추홀구 한나루로 </t>
    </r>
    <r>
      <rPr>
        <sz val="10"/>
        <rFont val="맑은 고딕"/>
        <family val="0"/>
        <charset val="1"/>
      </rPr>
      <t xml:space="preserve">358, 23-22</t>
    </r>
  </si>
  <si>
    <t xml:space="preserve">학익여자고등학교</t>
  </si>
  <si>
    <t xml:space="preserve">032-712-5600</t>
  </si>
  <si>
    <t xml:space="preserve">http://hakikgh.icehs.kr</t>
  </si>
  <si>
    <r>
      <rPr>
        <sz val="10"/>
        <rFont val="Noto Sans CJK SC"/>
        <family val="2"/>
      </rPr>
      <t xml:space="preserve">인천광역시 미추홀구 주승로</t>
    </r>
    <r>
      <rPr>
        <sz val="10"/>
        <rFont val="맑은 고딕"/>
        <family val="0"/>
        <charset val="1"/>
      </rPr>
      <t xml:space="preserve">52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8</t>
    </r>
  </si>
  <si>
    <t xml:space="preserve">부평구</t>
  </si>
  <si>
    <t xml:space="preserve">명신여자고등학교</t>
  </si>
  <si>
    <t xml:space="preserve">032-502-3088</t>
  </si>
  <si>
    <t xml:space="preserve">http://msrose.icehs.kr</t>
  </si>
  <si>
    <r>
      <rPr>
        <sz val="10"/>
        <rFont val="Noto Sans CJK SC"/>
        <family val="2"/>
      </rPr>
      <t xml:space="preserve">인천광역시 부평구 원적로 </t>
    </r>
    <r>
      <rPr>
        <sz val="10"/>
        <rFont val="맑은 고딕"/>
        <family val="0"/>
        <charset val="1"/>
      </rPr>
      <t xml:space="preserve">260</t>
    </r>
  </si>
  <si>
    <t xml:space="preserve">부광여자고등학교</t>
  </si>
  <si>
    <t xml:space="preserve">032-526-3214</t>
  </si>
  <si>
    <t xml:space="preserve">http://bgg.icehs.kr</t>
  </si>
  <si>
    <r>
      <rPr>
        <sz val="10"/>
        <rFont val="Noto Sans CJK SC"/>
        <family val="2"/>
      </rPr>
      <t xml:space="preserve">인천광역시 부평구 충선로 </t>
    </r>
    <r>
      <rPr>
        <sz val="10"/>
        <rFont val="맑은 고딕"/>
        <family val="0"/>
        <charset val="1"/>
      </rPr>
      <t xml:space="preserve">143</t>
    </r>
  </si>
  <si>
    <t xml:space="preserve">부평고등학교</t>
  </si>
  <si>
    <t xml:space="preserve">032-526-3204</t>
  </si>
  <si>
    <t xml:space="preserve">http://bupyeong.icehs.kr</t>
  </si>
  <si>
    <r>
      <rPr>
        <sz val="10"/>
        <rFont val="Noto Sans CJK SC"/>
        <family val="2"/>
      </rPr>
      <t xml:space="preserve">인천광역시 부평구 부흥북로 </t>
    </r>
    <r>
      <rPr>
        <sz val="10"/>
        <rFont val="맑은 고딕"/>
        <family val="0"/>
        <charset val="1"/>
      </rPr>
      <t xml:space="preserve">43</t>
    </r>
  </si>
  <si>
    <t xml:space="preserve">삼산고등학교</t>
  </si>
  <si>
    <t xml:space="preserve">032-512-9514</t>
  </si>
  <si>
    <t xml:space="preserve">http://samsan.icehs.kr</t>
  </si>
  <si>
    <r>
      <rPr>
        <sz val="10"/>
        <rFont val="Noto Sans CJK SC"/>
        <family val="2"/>
      </rPr>
      <t xml:space="preserve">인천광역시 부평구 영성중로 </t>
    </r>
    <r>
      <rPr>
        <sz val="10"/>
        <rFont val="맑은 고딕"/>
        <family val="0"/>
        <charset val="1"/>
      </rPr>
      <t xml:space="preserve">54</t>
    </r>
  </si>
  <si>
    <t xml:space="preserve">인천부흥고등학교</t>
  </si>
  <si>
    <t xml:space="preserve">032-505-9052</t>
  </si>
  <si>
    <t xml:space="preserve">http://buheung.icehs.kr</t>
  </si>
  <si>
    <r>
      <rPr>
        <sz val="10"/>
        <rFont val="Noto Sans CJK SC"/>
        <family val="2"/>
      </rPr>
      <t xml:space="preserve">인천광역시 부평구 수변로</t>
    </r>
    <r>
      <rPr>
        <sz val="10"/>
        <rFont val="맑은 고딕"/>
        <family val="0"/>
        <charset val="1"/>
      </rPr>
      <t xml:space="preserve">57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61</t>
    </r>
  </si>
  <si>
    <t xml:space="preserve">인천상정고등학교</t>
  </si>
  <si>
    <t xml:space="preserve">032-714-8666</t>
  </si>
  <si>
    <t xml:space="preserve">http://incheonsangjeong.icehs.kr</t>
  </si>
  <si>
    <r>
      <rPr>
        <sz val="10"/>
        <rFont val="Noto Sans CJK SC"/>
        <family val="2"/>
      </rPr>
      <t xml:space="preserve">인천광역시 부평구 경원대로 </t>
    </r>
    <r>
      <rPr>
        <sz val="10"/>
        <rFont val="맑은 고딕"/>
        <family val="0"/>
        <charset val="1"/>
      </rPr>
      <t xml:space="preserve">1109</t>
    </r>
  </si>
  <si>
    <t xml:space="preserve">인천진산과학고등학교</t>
  </si>
  <si>
    <t xml:space="preserve">032-508-8260</t>
  </si>
  <si>
    <t xml:space="preserve">http://ijss.icehs.kr</t>
  </si>
  <si>
    <r>
      <rPr>
        <sz val="10"/>
        <rFont val="Noto Sans CJK SC"/>
        <family val="2"/>
      </rPr>
      <t xml:space="preserve">인천광역시 부평구 굴포로 </t>
    </r>
    <r>
      <rPr>
        <sz val="10"/>
        <rFont val="맑은 고딕"/>
        <family val="0"/>
        <charset val="1"/>
      </rPr>
      <t xml:space="preserve">194-9</t>
    </r>
  </si>
  <si>
    <t xml:space="preserve">서해구</t>
  </si>
  <si>
    <t xml:space="preserve">가림고등학교</t>
  </si>
  <si>
    <t xml:space="preserve">032-584-1755</t>
  </si>
  <si>
    <t xml:space="preserve">http://garim.icehs.kr</t>
  </si>
  <si>
    <r>
      <rPr>
        <sz val="10"/>
        <rFont val="Noto Sans CJK SC"/>
        <family val="2"/>
      </rPr>
      <t xml:space="preserve">인천광역시 서해구 원적로 </t>
    </r>
    <r>
      <rPr>
        <sz val="10"/>
        <rFont val="맑은 고딕"/>
        <family val="0"/>
        <charset val="1"/>
      </rPr>
      <t xml:space="preserve">58</t>
    </r>
  </si>
  <si>
    <t xml:space="preserve">가좌고등학교</t>
  </si>
  <si>
    <t xml:space="preserve">032-720-0690</t>
  </si>
  <si>
    <t xml:space="preserve">http://gajwa.icehs.kr</t>
  </si>
  <si>
    <r>
      <rPr>
        <sz val="10"/>
        <rFont val="Noto Sans CJK SC"/>
        <family val="2"/>
      </rPr>
      <t xml:space="preserve">인천광역시 서해구 장고개로</t>
    </r>
    <r>
      <rPr>
        <sz val="10"/>
        <rFont val="맑은 고딕"/>
        <family val="0"/>
        <charset val="1"/>
      </rPr>
      <t xml:space="preserve">287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24</t>
    </r>
  </si>
  <si>
    <t xml:space="preserve">서인천고등학교</t>
  </si>
  <si>
    <t xml:space="preserve">032-562-0012</t>
  </si>
  <si>
    <t xml:space="preserve">http://sic.icehs.kr</t>
  </si>
  <si>
    <r>
      <rPr>
        <sz val="10"/>
        <rFont val="Noto Sans CJK SC"/>
        <family val="2"/>
      </rPr>
      <t xml:space="preserve">인천광역시 서해구 서곶로 </t>
    </r>
    <r>
      <rPr>
        <sz val="10"/>
        <rFont val="맑은 고딕"/>
        <family val="0"/>
        <charset val="1"/>
      </rPr>
      <t xml:space="preserve">587</t>
    </r>
  </si>
  <si>
    <t xml:space="preserve">인천신현고등학교</t>
  </si>
  <si>
    <t xml:space="preserve">032-571-0628</t>
  </si>
  <si>
    <t xml:space="preserve">http://ish.icehs.kr/main.do</t>
  </si>
  <si>
    <r>
      <rPr>
        <sz val="10"/>
        <rFont val="Noto Sans CJK SC"/>
        <family val="2"/>
      </rPr>
      <t xml:space="preserve">인천광역시 서해구 염곡로 </t>
    </r>
    <r>
      <rPr>
        <sz val="10"/>
        <rFont val="맑은 고딕"/>
        <family val="0"/>
        <charset val="1"/>
      </rPr>
      <t xml:space="preserve">399</t>
    </r>
  </si>
  <si>
    <t xml:space="preserve">인천청라고등학교</t>
  </si>
  <si>
    <t xml:space="preserve">032-568-9691</t>
  </si>
  <si>
    <t xml:space="preserve">http://cheongra.icehs.kr</t>
  </si>
  <si>
    <r>
      <rPr>
        <sz val="10"/>
        <rFont val="Noto Sans CJK SC"/>
        <family val="2"/>
      </rPr>
      <t xml:space="preserve">인천광역시 서해구 담지로</t>
    </r>
    <r>
      <rPr>
        <sz val="10"/>
        <rFont val="맑은 고딕"/>
        <family val="0"/>
        <charset val="1"/>
      </rPr>
      <t xml:space="preserve">86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16-14</t>
    </r>
  </si>
  <si>
    <t xml:space="preserve">인천초은고등학교</t>
  </si>
  <si>
    <t xml:space="preserve">032-562-3002</t>
  </si>
  <si>
    <t xml:space="preserve">http://choeun.icehs.kr</t>
  </si>
  <si>
    <r>
      <rPr>
        <sz val="10"/>
        <rFont val="Noto Sans CJK SC"/>
        <family val="2"/>
      </rPr>
      <t xml:space="preserve">인천광역시 서해구 청라에메랄드로 </t>
    </r>
    <r>
      <rPr>
        <sz val="10"/>
        <rFont val="맑은 고딕"/>
        <family val="0"/>
        <charset val="1"/>
      </rPr>
      <t xml:space="preserve">42</t>
    </r>
  </si>
  <si>
    <t xml:space="preserve">연수구</t>
  </si>
  <si>
    <t xml:space="preserve">송도고등학교</t>
  </si>
  <si>
    <t xml:space="preserve">032-627-4080</t>
  </si>
  <si>
    <t xml:space="preserve">http://songdo.icehs.kr</t>
  </si>
  <si>
    <r>
      <rPr>
        <sz val="10"/>
        <rFont val="Noto Sans CJK SC"/>
        <family val="2"/>
      </rPr>
      <t xml:space="preserve">인천광역시 연수구 독배로 </t>
    </r>
    <r>
      <rPr>
        <sz val="10"/>
        <rFont val="맑은 고딕"/>
        <family val="0"/>
        <charset val="1"/>
      </rPr>
      <t xml:space="preserve">91</t>
    </r>
  </si>
  <si>
    <t xml:space="preserve">인천여자고등학교</t>
  </si>
  <si>
    <t xml:space="preserve">032-810-6300</t>
  </si>
  <si>
    <t xml:space="preserve">http://incheon-gh.icehs.kr</t>
  </si>
  <si>
    <r>
      <rPr>
        <sz val="10"/>
        <rFont val="Noto Sans CJK SC"/>
        <family val="2"/>
      </rPr>
      <t xml:space="preserve">인천광역시 연수구 비류대로</t>
    </r>
    <r>
      <rPr>
        <sz val="10"/>
        <rFont val="맑은 고딕"/>
        <family val="0"/>
        <charset val="1"/>
      </rPr>
      <t xml:space="preserve">506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14</t>
    </r>
  </si>
  <si>
    <t xml:space="preserve">인천연송고등학교</t>
  </si>
  <si>
    <t xml:space="preserve">032-712-2000</t>
  </si>
  <si>
    <t xml:space="preserve">http://iys.icehs.kr</t>
  </si>
  <si>
    <r>
      <rPr>
        <sz val="10"/>
        <rFont val="Noto Sans CJK SC"/>
        <family val="2"/>
      </rPr>
      <t xml:space="preserve">인천광역시 연수구 컨벤시아대로</t>
    </r>
    <r>
      <rPr>
        <sz val="10"/>
        <rFont val="맑은 고딕"/>
        <family val="0"/>
        <charset val="1"/>
      </rPr>
      <t xml:space="preserve">42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72</t>
    </r>
  </si>
  <si>
    <t xml:space="preserve">인천과학예술영재학교</t>
  </si>
  <si>
    <t xml:space="preserve">032-890-6700</t>
  </si>
  <si>
    <t xml:space="preserve">http://iasa.icehs.kr</t>
  </si>
  <si>
    <r>
      <rPr>
        <sz val="10"/>
        <rFont val="Noto Sans CJK SC"/>
        <family val="2"/>
      </rPr>
      <t xml:space="preserve">인천광역시 연수구 아카데미로 </t>
    </r>
    <r>
      <rPr>
        <sz val="10"/>
        <rFont val="맑은 고딕"/>
        <family val="0"/>
        <charset val="1"/>
      </rPr>
      <t xml:space="preserve">192</t>
    </r>
  </si>
  <si>
    <t xml:space="preserve">영종구</t>
  </si>
  <si>
    <t xml:space="preserve">인천공항고등학교</t>
  </si>
  <si>
    <t xml:space="preserve">032-746-2363</t>
  </si>
  <si>
    <t xml:space="preserve">http://gonghang-h.icehs.kr</t>
  </si>
  <si>
    <r>
      <rPr>
        <sz val="10"/>
        <rFont val="Noto Sans CJK SC"/>
        <family val="2"/>
      </rPr>
      <t xml:space="preserve">인천광역시 영종구 신도시북로 </t>
    </r>
    <r>
      <rPr>
        <sz val="10"/>
        <rFont val="맑은 고딕"/>
        <family val="0"/>
        <charset val="1"/>
      </rPr>
      <t xml:space="preserve">20</t>
    </r>
  </si>
  <si>
    <t xml:space="preserve">인천영종고등학교</t>
  </si>
  <si>
    <t xml:space="preserve">032-745-4300</t>
  </si>
  <si>
    <t xml:space="preserve">http://yeongjong.icehs.kr</t>
  </si>
  <si>
    <r>
      <rPr>
        <sz val="10"/>
        <rFont val="Noto Sans CJK SC"/>
        <family val="2"/>
      </rPr>
      <t xml:space="preserve">인천광역시 영종구 영종대로</t>
    </r>
    <r>
      <rPr>
        <sz val="10"/>
        <rFont val="맑은 고딕"/>
        <family val="0"/>
        <charset val="1"/>
      </rPr>
      <t xml:space="preserve">278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34</t>
    </r>
  </si>
  <si>
    <t xml:space="preserve">인천중산고등학교</t>
  </si>
  <si>
    <t xml:space="preserve">032-456-8400</t>
  </si>
  <si>
    <t xml:space="preserve">http://jungsan.icehs.kr</t>
  </si>
  <si>
    <r>
      <rPr>
        <sz val="10"/>
        <rFont val="Noto Sans CJK SC"/>
        <family val="2"/>
      </rPr>
      <t xml:space="preserve">인천광역시 영종구 은하수로 </t>
    </r>
    <r>
      <rPr>
        <sz val="10"/>
        <rFont val="맑은 고딕"/>
        <family val="0"/>
        <charset val="1"/>
      </rPr>
      <t xml:space="preserve">142</t>
    </r>
  </si>
  <si>
    <t xml:space="preserve">제물포구</t>
  </si>
  <si>
    <t xml:space="preserve">인일여자고등학교</t>
  </si>
  <si>
    <t xml:space="preserve">032-764-6681</t>
  </si>
  <si>
    <t xml:space="preserve">http://inil.icehs.kr</t>
  </si>
  <si>
    <r>
      <rPr>
        <sz val="10"/>
        <rFont val="Noto Sans CJK SC"/>
        <family val="2"/>
      </rPr>
      <t xml:space="preserve">인천광역시 제물포구 참외전로</t>
    </r>
    <r>
      <rPr>
        <sz val="10"/>
        <rFont val="맑은 고딕"/>
        <family val="0"/>
        <charset val="1"/>
      </rPr>
      <t xml:space="preserve">72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10</t>
    </r>
  </si>
  <si>
    <t xml:space="preserve">제물포고등학교</t>
  </si>
  <si>
    <t xml:space="preserve">032-770-4750</t>
  </si>
  <si>
    <t xml:space="preserve">http://jego.icehs.kr</t>
  </si>
  <si>
    <r>
      <rPr>
        <sz val="10"/>
        <rFont val="Noto Sans CJK SC"/>
        <family val="2"/>
      </rPr>
      <t xml:space="preserve">인천광역시 제물포구 자유공원로 </t>
    </r>
    <r>
      <rPr>
        <sz val="10"/>
        <rFont val="맑은 고딕"/>
        <family val="0"/>
        <charset val="1"/>
      </rPr>
      <t xml:space="preserve">58-9</t>
    </r>
  </si>
  <si>
    <t xml:space="preserve">인천경원초등학교</t>
  </si>
  <si>
    <t xml:space="preserve">032-438-9321</t>
  </si>
  <si>
    <t xml:space="preserve">http://igwon.icees.kr</t>
  </si>
  <si>
    <r>
      <rPr>
        <sz val="10"/>
        <rFont val="Noto Sans CJK SC"/>
        <family val="2"/>
      </rPr>
      <t xml:space="preserve">인천광역시 미추홀구 경인로 </t>
    </r>
    <r>
      <rPr>
        <sz val="10"/>
        <rFont val="맑은 고딕"/>
        <family val="0"/>
        <charset val="1"/>
      </rPr>
      <t xml:space="preserve">511</t>
    </r>
  </si>
  <si>
    <t xml:space="preserve">인천도화초등학교</t>
  </si>
  <si>
    <t xml:space="preserve">032-874-2585</t>
  </si>
  <si>
    <t xml:space="preserve">http://idohwaes.icees.kr/main.do</t>
  </si>
  <si>
    <r>
      <rPr>
        <sz val="10"/>
        <rFont val="Noto Sans CJK SC"/>
        <family val="2"/>
      </rPr>
      <t xml:space="preserve">인천광역시 미추홀구 경인로 </t>
    </r>
    <r>
      <rPr>
        <sz val="10"/>
        <rFont val="맑은 고딕"/>
        <family val="0"/>
        <charset val="1"/>
      </rPr>
      <t xml:space="preserve">242</t>
    </r>
  </si>
  <si>
    <t xml:space="preserve">인천용학초등학교</t>
  </si>
  <si>
    <t xml:space="preserve">032-627-6300</t>
  </si>
  <si>
    <t xml:space="preserve">http://yh.icees.kr</t>
  </si>
  <si>
    <r>
      <rPr>
        <sz val="10"/>
        <rFont val="Noto Sans CJK SC"/>
        <family val="2"/>
      </rPr>
      <t xml:space="preserve">인천광역시 미추홀구 용정공원로</t>
    </r>
    <r>
      <rPr>
        <sz val="10"/>
        <rFont val="맑은 고딕"/>
        <family val="0"/>
        <charset val="1"/>
      </rPr>
      <t xml:space="preserve">83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9</t>
    </r>
  </si>
  <si>
    <t xml:space="preserve">인천용현남초등학교</t>
  </si>
  <si>
    <t xml:space="preserve">032-884-8468</t>
  </si>
  <si>
    <t xml:space="preserve">http://yhn.icees.kr</t>
  </si>
  <si>
    <r>
      <rPr>
        <sz val="10"/>
        <rFont val="Noto Sans CJK SC"/>
        <family val="2"/>
      </rPr>
      <t xml:space="preserve">인천광역시 미추홀구 매소홀로 </t>
    </r>
    <r>
      <rPr>
        <sz val="10"/>
        <rFont val="맑은 고딕"/>
        <family val="0"/>
        <charset val="1"/>
      </rPr>
      <t xml:space="preserve">133</t>
    </r>
  </si>
  <si>
    <t xml:space="preserve">인천용현초등학교</t>
  </si>
  <si>
    <t xml:space="preserve">032-629-0679</t>
  </si>
  <si>
    <t xml:space="preserve">http://iyh.icees.kr/main.do</t>
  </si>
  <si>
    <r>
      <rPr>
        <sz val="10"/>
        <rFont val="Noto Sans CJK SC"/>
        <family val="2"/>
      </rPr>
      <t xml:space="preserve">인천광역시 미추홀구 낙섬동로 </t>
    </r>
    <r>
      <rPr>
        <sz val="10"/>
        <rFont val="맑은 고딕"/>
        <family val="0"/>
        <charset val="1"/>
      </rPr>
      <t xml:space="preserve">83</t>
    </r>
  </si>
  <si>
    <t xml:space="preserve">용현중학교</t>
  </si>
  <si>
    <t xml:space="preserve">032-885-2509</t>
  </si>
  <si>
    <t xml:space="preserve">http://yong.icems.kr</t>
  </si>
  <si>
    <r>
      <rPr>
        <sz val="10"/>
        <rFont val="Noto Sans CJK SC"/>
        <family val="2"/>
      </rPr>
      <t xml:space="preserve">인천광역시 미추홀구 낙섬동로 </t>
    </r>
    <r>
      <rPr>
        <sz val="10"/>
        <rFont val="맑은 고딕"/>
        <family val="0"/>
        <charset val="1"/>
      </rPr>
      <t xml:space="preserve">16</t>
    </r>
  </si>
  <si>
    <t xml:space="preserve">인하대학교사범대학부속중학교</t>
  </si>
  <si>
    <t xml:space="preserve">032-452-9900</t>
  </si>
  <si>
    <t xml:space="preserve">http://inha.icems.kr</t>
  </si>
  <si>
    <r>
      <rPr>
        <sz val="10"/>
        <rFont val="Noto Sans CJK SC"/>
        <family val="2"/>
      </rPr>
      <t xml:space="preserve">인천광역시 미추홀구 재넘이길</t>
    </r>
    <r>
      <rPr>
        <sz val="10"/>
        <rFont val="맑은 고딕"/>
        <family val="0"/>
        <charset val="1"/>
      </rPr>
      <t xml:space="preserve">123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29</t>
    </r>
  </si>
  <si>
    <t xml:space="preserve">인천운서초등학교</t>
  </si>
  <si>
    <t xml:space="preserve">032-746-5095</t>
  </si>
  <si>
    <t xml:space="preserve">http://unseo.icees.kr</t>
  </si>
  <si>
    <r>
      <rPr>
        <sz val="10"/>
        <rFont val="Noto Sans CJK SC"/>
        <family val="2"/>
      </rPr>
      <t xml:space="preserve">인천광역시 영종구 운서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57</t>
    </r>
  </si>
  <si>
    <t xml:space="preserve">인천하늘초등학교</t>
  </si>
  <si>
    <t xml:space="preserve">032-745-6700</t>
  </si>
  <si>
    <t xml:space="preserve">http://sky.icees.kr</t>
  </si>
  <si>
    <r>
      <rPr>
        <sz val="10"/>
        <rFont val="Noto Sans CJK SC"/>
        <family val="2"/>
      </rPr>
      <t xml:space="preserve">인천광역시 영종구 은하수로 </t>
    </r>
    <r>
      <rPr>
        <sz val="10"/>
        <rFont val="맑은 고딕"/>
        <family val="0"/>
        <charset val="1"/>
      </rPr>
      <t xml:space="preserve">294</t>
    </r>
  </si>
  <si>
    <t xml:space="preserve">영종중학교</t>
  </si>
  <si>
    <t xml:space="preserve">032-746-0010</t>
  </si>
  <si>
    <t xml:space="preserve">http://youngjong.icems.kr</t>
  </si>
  <si>
    <r>
      <rPr>
        <sz val="10"/>
        <rFont val="Noto Sans CJK SC"/>
        <family val="2"/>
      </rPr>
      <t xml:space="preserve">인천광역시 영종구 남디로 </t>
    </r>
    <r>
      <rPr>
        <sz val="10"/>
        <rFont val="맑은 고딕"/>
        <family val="0"/>
        <charset val="1"/>
      </rPr>
      <t xml:space="preserve">92</t>
    </r>
  </si>
  <si>
    <t xml:space="preserve">인천공항중학교</t>
  </si>
  <si>
    <t xml:space="preserve">032-746-3703</t>
  </si>
  <si>
    <t xml:space="preserve">http://gonghang.icems.kr</t>
  </si>
  <si>
    <r>
      <rPr>
        <sz val="10"/>
        <rFont val="Noto Sans CJK SC"/>
        <family val="2"/>
      </rPr>
      <t xml:space="preserve">인천광역시 영종구 영종대로</t>
    </r>
    <r>
      <rPr>
        <sz val="10"/>
        <rFont val="맑은 고딕"/>
        <family val="0"/>
        <charset val="1"/>
      </rPr>
      <t xml:space="preserve">27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49</t>
    </r>
  </si>
  <si>
    <t xml:space="preserve">인천중산중학교</t>
  </si>
  <si>
    <t xml:space="preserve">032-509-4900</t>
  </si>
  <si>
    <t xml:space="preserve">http://jungsan.icems.kr</t>
  </si>
  <si>
    <r>
      <rPr>
        <sz val="10"/>
        <rFont val="Noto Sans CJK SC"/>
        <family val="2"/>
      </rPr>
      <t xml:space="preserve">인천광역시 영종구 두미포로 </t>
    </r>
    <r>
      <rPr>
        <sz val="10"/>
        <rFont val="맑은 고딕"/>
        <family val="0"/>
        <charset val="1"/>
      </rPr>
      <t xml:space="preserve">189</t>
    </r>
  </si>
  <si>
    <t xml:space="preserve">옹진군</t>
  </si>
  <si>
    <t xml:space="preserve">백령중학교</t>
  </si>
  <si>
    <t xml:space="preserve">032-836-0092</t>
  </si>
  <si>
    <t xml:space="preserve">http://brmh.icehs.kr</t>
  </si>
  <si>
    <r>
      <rPr>
        <sz val="10"/>
        <rFont val="Noto Sans CJK SC"/>
        <family val="2"/>
      </rPr>
      <t xml:space="preserve">인천광역시 옹진군 백령면 백령로 </t>
    </r>
    <r>
      <rPr>
        <sz val="10"/>
        <rFont val="맑은 고딕"/>
        <family val="0"/>
        <charset val="1"/>
      </rPr>
      <t xml:space="preserve">708</t>
    </r>
  </si>
  <si>
    <t xml:space="preserve">인천동명초등학교</t>
  </si>
  <si>
    <t xml:space="preserve">032-773-7549</t>
  </si>
  <si>
    <t xml:space="preserve">http://dongmyeong.icees.kr</t>
  </si>
  <si>
    <r>
      <rPr>
        <sz val="10"/>
        <rFont val="Noto Sans CJK SC"/>
        <family val="2"/>
      </rPr>
      <t xml:space="preserve">인천광역시 제물포구 송림로</t>
    </r>
    <r>
      <rPr>
        <sz val="10"/>
        <rFont val="맑은 고딕"/>
        <family val="0"/>
        <charset val="1"/>
      </rPr>
      <t xml:space="preserve">70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10</t>
    </r>
  </si>
  <si>
    <t xml:space="preserve">광성중학교</t>
  </si>
  <si>
    <t xml:space="preserve">032-760-5260</t>
  </si>
  <si>
    <t xml:space="preserve">http://iks.icems.kr</t>
  </si>
  <si>
    <r>
      <rPr>
        <sz val="10"/>
        <rFont val="Noto Sans CJK SC"/>
        <family val="2"/>
      </rPr>
      <t xml:space="preserve">인천광역시 제물포구 참외전로</t>
    </r>
    <r>
      <rPr>
        <sz val="10"/>
        <rFont val="맑은 고딕"/>
        <family val="0"/>
        <charset val="1"/>
      </rPr>
      <t xml:space="preserve">244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47</t>
    </r>
  </si>
  <si>
    <t xml:space="preserve">송도중학교</t>
  </si>
  <si>
    <t xml:space="preserve">032-772-9384</t>
  </si>
  <si>
    <t xml:space="preserve">http://songdo.icems.kr/main.do</t>
  </si>
  <si>
    <r>
      <rPr>
        <sz val="10"/>
        <rFont val="Noto Sans CJK SC"/>
        <family val="2"/>
      </rPr>
      <t xml:space="preserve">인천광역시 제물포구 제물량로 </t>
    </r>
    <r>
      <rPr>
        <sz val="10"/>
        <rFont val="맑은 고딕"/>
        <family val="0"/>
        <charset val="1"/>
      </rPr>
      <t xml:space="preserve">123</t>
    </r>
  </si>
  <si>
    <t xml:space="preserve">신흥여자중학교</t>
  </si>
  <si>
    <t xml:space="preserve">032-883-2922</t>
  </si>
  <si>
    <t xml:space="preserve">http://shinheung.icems.kr</t>
  </si>
  <si>
    <r>
      <rPr>
        <sz val="10"/>
        <rFont val="Noto Sans CJK SC"/>
        <family val="2"/>
      </rPr>
      <t xml:space="preserve">인천광역시 제물포구 인항로</t>
    </r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37</t>
    </r>
  </si>
  <si>
    <t xml:space="preserve">신흥중학교</t>
  </si>
  <si>
    <t xml:space="preserve">032-883-1955</t>
  </si>
  <si>
    <t xml:space="preserve">http://sh.icems.kr</t>
  </si>
  <si>
    <r>
      <rPr>
        <sz val="10"/>
        <rFont val="Noto Sans CJK SC"/>
        <family val="2"/>
      </rPr>
      <t xml:space="preserve">인천광역시 제물포구 인항로</t>
    </r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38</t>
    </r>
  </si>
  <si>
    <t xml:space="preserve">인천남촌초등학교</t>
  </si>
  <si>
    <t xml:space="preserve">032-466-5693</t>
  </si>
  <si>
    <t xml:space="preserve">http://inamchon.icees.kr</t>
  </si>
  <si>
    <r>
      <rPr>
        <sz val="10"/>
        <rFont val="Noto Sans CJK SC"/>
        <family val="2"/>
      </rPr>
      <t xml:space="preserve">인천광역시 남동구 남촌로 </t>
    </r>
    <r>
      <rPr>
        <sz val="10"/>
        <rFont val="맑은 고딕"/>
        <family val="0"/>
        <charset val="1"/>
      </rPr>
      <t xml:space="preserve">101</t>
    </r>
  </si>
  <si>
    <t xml:space="preserve">인천동부초등학교</t>
  </si>
  <si>
    <t xml:space="preserve">032-466-7461</t>
  </si>
  <si>
    <t xml:space="preserve">http://dongbu-ice.icees.kr/main.do</t>
  </si>
  <si>
    <r>
      <rPr>
        <sz val="10"/>
        <rFont val="Noto Sans CJK SC"/>
        <family val="2"/>
      </rPr>
      <t xml:space="preserve">인천광역시 남동구 만수서로</t>
    </r>
    <r>
      <rPr>
        <sz val="10"/>
        <rFont val="맑은 고딕"/>
        <family val="0"/>
        <charset val="1"/>
      </rPr>
      <t xml:space="preserve">33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25</t>
    </r>
  </si>
  <si>
    <t xml:space="preserve">인천석천초등학교</t>
  </si>
  <si>
    <t xml:space="preserve">032-469-4020</t>
  </si>
  <si>
    <t xml:space="preserve">http://sce.icees.kr</t>
  </si>
  <si>
    <r>
      <rPr>
        <sz val="10"/>
        <rFont val="Noto Sans CJK SC"/>
        <family val="2"/>
      </rPr>
      <t xml:space="preserve">인천광역시 남동구 남동대로 </t>
    </r>
    <r>
      <rPr>
        <sz val="10"/>
        <rFont val="맑은 고딕"/>
        <family val="0"/>
        <charset val="1"/>
      </rPr>
      <t xml:space="preserve">828</t>
    </r>
  </si>
  <si>
    <t xml:space="preserve">인천주원초등학교</t>
  </si>
  <si>
    <t xml:space="preserve">032-431-0042</t>
  </si>
  <si>
    <t xml:space="preserve">http://juwon.icees.kr</t>
  </si>
  <si>
    <r>
      <rPr>
        <sz val="10"/>
        <rFont val="Noto Sans CJK SC"/>
        <family val="2"/>
      </rPr>
      <t xml:space="preserve">인천광역시 남동구 주안로</t>
    </r>
    <r>
      <rPr>
        <sz val="10"/>
        <rFont val="맑은 고딕"/>
        <family val="0"/>
        <charset val="1"/>
      </rPr>
      <t xml:space="preserve">259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28</t>
    </r>
  </si>
  <si>
    <t xml:space="preserve">남동중학교</t>
  </si>
  <si>
    <t xml:space="preserve">032-462-0120</t>
  </si>
  <si>
    <t xml:space="preserve">http://namdong.icems.kr</t>
  </si>
  <si>
    <r>
      <rPr>
        <sz val="10"/>
        <rFont val="Noto Sans CJK SC"/>
        <family val="2"/>
      </rPr>
      <t xml:space="preserve">인천광역시 남동구 담방로 </t>
    </r>
    <r>
      <rPr>
        <sz val="10"/>
        <rFont val="맑은 고딕"/>
        <family val="0"/>
        <charset val="1"/>
      </rPr>
      <t xml:space="preserve">7</t>
    </r>
  </si>
  <si>
    <t xml:space="preserve">논곡중학교</t>
  </si>
  <si>
    <t xml:space="preserve">032-442-0413</t>
  </si>
  <si>
    <t xml:space="preserve">http://nongok.icems.kr</t>
  </si>
  <si>
    <r>
      <rPr>
        <sz val="10"/>
        <rFont val="Noto Sans CJK SC"/>
        <family val="2"/>
      </rPr>
      <t xml:space="preserve">인천광역시 남동구 논곡로 </t>
    </r>
    <r>
      <rPr>
        <sz val="10"/>
        <rFont val="맑은 고딕"/>
        <family val="0"/>
        <charset val="1"/>
      </rPr>
      <t xml:space="preserve">84</t>
    </r>
  </si>
  <si>
    <t xml:space="preserve">상인천중학교</t>
  </si>
  <si>
    <t xml:space="preserve">032-422-0952</t>
  </si>
  <si>
    <t xml:space="preserve">http://sic.icems.kr</t>
  </si>
  <si>
    <r>
      <rPr>
        <sz val="10"/>
        <rFont val="Noto Sans CJK SC"/>
        <family val="2"/>
      </rPr>
      <t xml:space="preserve">인천광역시 남동구 백범로</t>
    </r>
    <r>
      <rPr>
        <sz val="10"/>
        <rFont val="맑은 고딕"/>
        <family val="0"/>
        <charset val="1"/>
      </rPr>
      <t xml:space="preserve">297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21</t>
    </r>
  </si>
  <si>
    <t xml:space="preserve">인천동춘초등학교</t>
  </si>
  <si>
    <t xml:space="preserve">032-812-5561</t>
  </si>
  <si>
    <t xml:space="preserve">http://idc.icees.kr/main.do</t>
  </si>
  <si>
    <r>
      <rPr>
        <sz val="10"/>
        <rFont val="Noto Sans CJK SC"/>
        <family val="2"/>
      </rPr>
      <t xml:space="preserve">인천광역시 연수구 앵고개로 </t>
    </r>
    <r>
      <rPr>
        <sz val="10"/>
        <rFont val="맑은 고딕"/>
        <family val="0"/>
        <charset val="1"/>
      </rPr>
      <t xml:space="preserve">224</t>
    </r>
  </si>
  <si>
    <t xml:space="preserve">인천먼우금초등학교</t>
  </si>
  <si>
    <t xml:space="preserve">032-629-6310</t>
  </si>
  <si>
    <t xml:space="preserve">http://mwg.icees.kr</t>
  </si>
  <si>
    <r>
      <rPr>
        <sz val="10"/>
        <rFont val="Noto Sans CJK SC"/>
        <family val="2"/>
      </rPr>
      <t xml:space="preserve">인천광역시 연수구 해돋이로</t>
    </r>
    <r>
      <rPr>
        <sz val="10"/>
        <rFont val="맑은 고딕"/>
        <family val="0"/>
        <charset val="1"/>
      </rPr>
      <t xml:space="preserve">84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33</t>
    </r>
  </si>
  <si>
    <t xml:space="preserve">인천미송초등학교</t>
  </si>
  <si>
    <t xml:space="preserve">032-509-1000</t>
  </si>
  <si>
    <t xml:space="preserve">http://misong.icees.kr</t>
  </si>
  <si>
    <r>
      <rPr>
        <sz val="10"/>
        <rFont val="Noto Sans CJK SC"/>
        <family val="2"/>
      </rPr>
      <t xml:space="preserve">인천광역시 연수구 아카데미로 </t>
    </r>
    <r>
      <rPr>
        <sz val="10"/>
        <rFont val="맑은 고딕"/>
        <family val="0"/>
        <charset val="1"/>
      </rPr>
      <t xml:space="preserve">667</t>
    </r>
  </si>
  <si>
    <t xml:space="preserve">인천신정초등학교</t>
  </si>
  <si>
    <t xml:space="preserve">032-851-9050</t>
  </si>
  <si>
    <t xml:space="preserve">http://shinjeong.icees.kr</t>
  </si>
  <si>
    <r>
      <rPr>
        <sz val="10"/>
        <rFont val="Noto Sans CJK SC"/>
        <family val="2"/>
      </rPr>
      <t xml:space="preserve">인천광역시 연수구 아트센터대로</t>
    </r>
    <r>
      <rPr>
        <sz val="10"/>
        <rFont val="맑은 고딕"/>
        <family val="0"/>
        <charset val="1"/>
      </rPr>
      <t xml:space="preserve">97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72</t>
    </r>
  </si>
  <si>
    <t xml:space="preserve">인천연송초등학교</t>
  </si>
  <si>
    <t xml:space="preserve">032-460-7700</t>
  </si>
  <si>
    <t xml:space="preserve">http://yeonsong.icees.kr</t>
  </si>
  <si>
    <r>
      <rPr>
        <sz val="10"/>
        <rFont val="Noto Sans CJK SC"/>
        <family val="2"/>
      </rPr>
      <t xml:space="preserve">인천광역시 연수구 해돋이로 </t>
    </r>
    <r>
      <rPr>
        <sz val="10"/>
        <rFont val="맑은 고딕"/>
        <family val="0"/>
        <charset val="1"/>
      </rPr>
      <t xml:space="preserve">248</t>
    </r>
  </si>
  <si>
    <t xml:space="preserve">박문중학교</t>
  </si>
  <si>
    <t xml:space="preserve">032-890-1965</t>
  </si>
  <si>
    <t xml:space="preserve">http://bakmun.icems.kr</t>
  </si>
  <si>
    <r>
      <rPr>
        <sz val="10"/>
        <rFont val="Noto Sans CJK SC"/>
        <family val="2"/>
      </rPr>
      <t xml:space="preserve">인천광역시 연수구 송도과학로</t>
    </r>
    <r>
      <rPr>
        <sz val="10"/>
        <rFont val="맑은 고딕"/>
        <family val="0"/>
        <charset val="1"/>
      </rPr>
      <t xml:space="preserve">51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102</t>
    </r>
  </si>
  <si>
    <t xml:space="preserve">연화중학교</t>
  </si>
  <si>
    <t xml:space="preserve">032-822-5581</t>
  </si>
  <si>
    <t xml:space="preserve">http://yhm.icems.kr</t>
  </si>
  <si>
    <r>
      <rPr>
        <sz val="10"/>
        <rFont val="Noto Sans CJK SC"/>
        <family val="2"/>
      </rPr>
      <t xml:space="preserve">인천광역시 연수구 용담로 </t>
    </r>
    <r>
      <rPr>
        <sz val="10"/>
        <rFont val="맑은 고딕"/>
        <family val="0"/>
        <charset val="1"/>
      </rPr>
      <t xml:space="preserve">156</t>
    </r>
  </si>
  <si>
    <t xml:space="preserve">옥련중학교</t>
  </si>
  <si>
    <t xml:space="preserve">032-834-1581</t>
  </si>
  <si>
    <t xml:space="preserve">http://okryun.icems.kr</t>
  </si>
  <si>
    <r>
      <rPr>
        <sz val="10"/>
        <rFont val="Noto Sans CJK SC"/>
        <family val="2"/>
      </rPr>
      <t xml:space="preserve">인천광역시 연수구 청량로 </t>
    </r>
    <r>
      <rPr>
        <sz val="10"/>
        <rFont val="맑은 고딕"/>
        <family val="0"/>
        <charset val="1"/>
      </rPr>
      <t xml:space="preserve">222</t>
    </r>
  </si>
  <si>
    <t xml:space="preserve">인천현송중학교</t>
  </si>
  <si>
    <t xml:space="preserve">032-610-6100</t>
  </si>
  <si>
    <t xml:space="preserve">http://hyeonsong.icems.kr</t>
  </si>
  <si>
    <r>
      <rPr>
        <sz val="10"/>
        <rFont val="Noto Sans CJK SC"/>
        <family val="2"/>
      </rPr>
      <t xml:space="preserve">인천광역시 연수구 아카데미로</t>
    </r>
    <r>
      <rPr>
        <sz val="10"/>
        <rFont val="맑은 고딕"/>
        <family val="0"/>
        <charset val="1"/>
      </rPr>
      <t xml:space="preserve">312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84</t>
    </r>
  </si>
  <si>
    <t xml:space="preserve">인천길주초등학교</t>
  </si>
  <si>
    <t xml:space="preserve">032-553-2703</t>
  </si>
  <si>
    <t xml:space="preserve">http://gilju.icees.kr</t>
  </si>
  <si>
    <r>
      <rPr>
        <sz val="10"/>
        <rFont val="Noto Sans CJK SC"/>
        <family val="2"/>
      </rPr>
      <t xml:space="preserve">인천광역시 계양구 용종로 </t>
    </r>
    <r>
      <rPr>
        <sz val="10"/>
        <rFont val="맑은 고딕"/>
        <family val="0"/>
        <charset val="1"/>
      </rPr>
      <t xml:space="preserve">90</t>
    </r>
  </si>
  <si>
    <t xml:space="preserve">계양중학교</t>
  </si>
  <si>
    <t xml:space="preserve">032-515-6500</t>
  </si>
  <si>
    <t xml:space="preserve">http://gyeyang.icems.kr</t>
  </si>
  <si>
    <r>
      <rPr>
        <sz val="10"/>
        <rFont val="Noto Sans CJK SC"/>
        <family val="2"/>
      </rPr>
      <t xml:space="preserve">인천광역시 계양구 장제로</t>
    </r>
    <r>
      <rPr>
        <sz val="10"/>
        <rFont val="맑은 고딕"/>
        <family val="0"/>
        <charset val="1"/>
      </rPr>
      <t xml:space="preserve">1181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9</t>
    </r>
  </si>
  <si>
    <t xml:space="preserve">명현중학교</t>
  </si>
  <si>
    <t xml:space="preserve">032-554-6832</t>
  </si>
  <si>
    <t xml:space="preserve">http://mh.icems.kr</t>
  </si>
  <si>
    <r>
      <rPr>
        <sz val="10"/>
        <rFont val="Noto Sans CJK SC"/>
        <family val="2"/>
      </rPr>
      <t xml:space="preserve">인천광역시 계양구 안남로</t>
    </r>
    <r>
      <rPr>
        <sz val="10"/>
        <rFont val="맑은 고딕"/>
        <family val="0"/>
        <charset val="1"/>
      </rPr>
      <t xml:space="preserve">554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26</t>
    </r>
  </si>
  <si>
    <t xml:space="preserve">북인천여자중학교</t>
  </si>
  <si>
    <t xml:space="preserve">032-547-0288</t>
  </si>
  <si>
    <t xml:space="preserve">http://bichg.icems.kr</t>
  </si>
  <si>
    <r>
      <rPr>
        <sz val="10"/>
        <rFont val="Noto Sans CJK SC"/>
        <family val="2"/>
      </rPr>
      <t xml:space="preserve">인천광역시 계양구 아나지로</t>
    </r>
    <r>
      <rPr>
        <sz val="10"/>
        <rFont val="맑은 고딕"/>
        <family val="0"/>
        <charset val="1"/>
      </rPr>
      <t xml:space="preserve">85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12</t>
    </r>
  </si>
  <si>
    <t xml:space="preserve">북인천중학교</t>
  </si>
  <si>
    <t xml:space="preserve">032-554-5560</t>
  </si>
  <si>
    <t xml:space="preserve">http://bugin.icems.kr</t>
  </si>
  <si>
    <r>
      <rPr>
        <sz val="10"/>
        <rFont val="Noto Sans CJK SC"/>
        <family val="2"/>
      </rPr>
      <t xml:space="preserve">인천광역시 계양구 계산로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6</t>
    </r>
  </si>
  <si>
    <t xml:space="preserve">인천갈월초등학교</t>
  </si>
  <si>
    <t xml:space="preserve">032-507-7109</t>
  </si>
  <si>
    <t xml:space="preserve">http://galwol.icees.kr</t>
  </si>
  <si>
    <r>
      <rPr>
        <sz val="10"/>
        <rFont val="Noto Sans CJK SC"/>
        <family val="2"/>
      </rPr>
      <t xml:space="preserve">인천광역시 부평구 주부토로 </t>
    </r>
    <r>
      <rPr>
        <sz val="10"/>
        <rFont val="맑은 고딕"/>
        <family val="0"/>
        <charset val="1"/>
      </rPr>
      <t xml:space="preserve">165</t>
    </r>
  </si>
  <si>
    <t xml:space="preserve">인천구산초등학교</t>
  </si>
  <si>
    <t xml:space="preserve">032-361-0833</t>
  </si>
  <si>
    <t xml:space="preserve">http://igusan.icees.kr</t>
  </si>
  <si>
    <r>
      <rPr>
        <sz val="10"/>
        <rFont val="Noto Sans CJK SC"/>
        <family val="2"/>
      </rPr>
      <t xml:space="preserve">인천광역시 부평구 부개로 </t>
    </r>
    <r>
      <rPr>
        <sz val="10"/>
        <rFont val="맑은 고딕"/>
        <family val="0"/>
        <charset val="1"/>
      </rPr>
      <t xml:space="preserve">93</t>
    </r>
  </si>
  <si>
    <t xml:space="preserve">인천미산초등학교</t>
  </si>
  <si>
    <t xml:space="preserve">032-502-4524</t>
  </si>
  <si>
    <t xml:space="preserve">http://misan.icees.kr</t>
  </si>
  <si>
    <r>
      <rPr>
        <sz val="10"/>
        <rFont val="Noto Sans CJK SC"/>
        <family val="2"/>
      </rPr>
      <t xml:space="preserve">인천광역시 부평구 원적로 </t>
    </r>
    <r>
      <rPr>
        <sz val="10"/>
        <rFont val="맑은 고딕"/>
        <family val="0"/>
        <charset val="1"/>
      </rPr>
      <t xml:space="preserve">391</t>
    </r>
  </si>
  <si>
    <t xml:space="preserve">인천산곡북초등학교</t>
  </si>
  <si>
    <t xml:space="preserve">032-516-5664</t>
  </si>
  <si>
    <t xml:space="preserve">http://sgb.icees.kr</t>
  </si>
  <si>
    <r>
      <rPr>
        <sz val="10"/>
        <rFont val="Noto Sans CJK SC"/>
        <family val="2"/>
      </rPr>
      <t xml:space="preserve">인천광역시 부평구 산청로 </t>
    </r>
    <r>
      <rPr>
        <sz val="10"/>
        <rFont val="맑은 고딕"/>
        <family val="0"/>
        <charset val="1"/>
      </rPr>
      <t xml:space="preserve">18</t>
    </r>
  </si>
  <si>
    <t xml:space="preserve">인천산곡초등학교</t>
  </si>
  <si>
    <t xml:space="preserve">032-518-1783</t>
  </si>
  <si>
    <t xml:space="preserve">http://sangok.icees.kr</t>
  </si>
  <si>
    <r>
      <rPr>
        <sz val="10"/>
        <rFont val="Noto Sans CJK SC"/>
        <family val="2"/>
      </rPr>
      <t xml:space="preserve">인천광역시 부평구 길주로</t>
    </r>
    <r>
      <rPr>
        <sz val="10"/>
        <rFont val="맑은 고딕"/>
        <family val="0"/>
        <charset val="1"/>
      </rPr>
      <t xml:space="preserve">354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39</t>
    </r>
  </si>
  <si>
    <t xml:space="preserve">인천청천초등학교</t>
  </si>
  <si>
    <t xml:space="preserve">032-516-2823</t>
  </si>
  <si>
    <t xml:space="preserve">http://icce.icees.kr</t>
  </si>
  <si>
    <r>
      <rPr>
        <sz val="10"/>
        <rFont val="Noto Sans CJK SC"/>
        <family val="2"/>
      </rPr>
      <t xml:space="preserve">인천광역시 부평구 산청로</t>
    </r>
    <r>
      <rPr>
        <sz val="10"/>
        <rFont val="맑은 고딕"/>
        <family val="0"/>
        <charset val="1"/>
      </rPr>
      <t xml:space="preserve">127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10</t>
    </r>
  </si>
  <si>
    <t xml:space="preserve">부평동중학교</t>
  </si>
  <si>
    <t xml:space="preserve">032-529-2082</t>
  </si>
  <si>
    <t xml:space="preserve">http://bupyeongdong.icems.kr</t>
  </si>
  <si>
    <r>
      <rPr>
        <sz val="10"/>
        <rFont val="Noto Sans CJK SC"/>
        <family val="2"/>
      </rPr>
      <t xml:space="preserve">인천광역시 부평구 수변로</t>
    </r>
    <r>
      <rPr>
        <sz val="10"/>
        <rFont val="맑은 고딕"/>
        <family val="0"/>
        <charset val="1"/>
      </rPr>
      <t xml:space="preserve">107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</t>
    </r>
  </si>
  <si>
    <t xml:space="preserve">부평여자중학교</t>
  </si>
  <si>
    <t xml:space="preserve">032-515-5814</t>
  </si>
  <si>
    <t xml:space="preserve">http://bpgs.icems.kr</t>
  </si>
  <si>
    <r>
      <rPr>
        <sz val="10"/>
        <rFont val="Noto Sans CJK SC"/>
        <family val="2"/>
      </rPr>
      <t xml:space="preserve">인천광역시 부평구 부평문화로 </t>
    </r>
    <r>
      <rPr>
        <sz val="10"/>
        <rFont val="맑은 고딕"/>
        <family val="0"/>
        <charset val="1"/>
      </rPr>
      <t xml:space="preserve">193-1</t>
    </r>
  </si>
  <si>
    <t xml:space="preserve">부평중학교</t>
  </si>
  <si>
    <t xml:space="preserve">032-529-5132</t>
  </si>
  <si>
    <t xml:space="preserve">http://bp.icems.kr</t>
  </si>
  <si>
    <r>
      <rPr>
        <sz val="10"/>
        <rFont val="Noto Sans CJK SC"/>
        <family val="2"/>
      </rPr>
      <t xml:space="preserve">인천광역시 부평구 부흥북로</t>
    </r>
    <r>
      <rPr>
        <sz val="10"/>
        <rFont val="맑은 고딕"/>
        <family val="0"/>
        <charset val="1"/>
      </rPr>
      <t xml:space="preserve">57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10</t>
    </r>
  </si>
  <si>
    <t xml:space="preserve">부흥중학교</t>
  </si>
  <si>
    <t xml:space="preserve">032-527-5383</t>
  </si>
  <si>
    <t xml:space="preserve">http://i-buheung.icems.kr</t>
  </si>
  <si>
    <r>
      <rPr>
        <sz val="10"/>
        <rFont val="Noto Sans CJK SC"/>
        <family val="2"/>
      </rPr>
      <t xml:space="preserve">인천광역시 부평구 충선로 </t>
    </r>
    <r>
      <rPr>
        <sz val="10"/>
        <rFont val="맑은 고딕"/>
        <family val="0"/>
        <charset val="1"/>
      </rPr>
      <t xml:space="preserve">152</t>
    </r>
  </si>
  <si>
    <t xml:space="preserve">산곡여자중학교</t>
  </si>
  <si>
    <t xml:space="preserve">032-512-6746</t>
  </si>
  <si>
    <t xml:space="preserve">http://sangok-girls.icems.kr</t>
  </si>
  <si>
    <r>
      <rPr>
        <sz val="10"/>
        <rFont val="Noto Sans CJK SC"/>
        <family val="2"/>
      </rPr>
      <t xml:space="preserve">인천광역시 부평구 마장로</t>
    </r>
    <r>
      <rPr>
        <sz val="10"/>
        <rFont val="맑은 고딕"/>
        <family val="0"/>
        <charset val="1"/>
      </rPr>
      <t xml:space="preserve">204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37</t>
    </r>
  </si>
  <si>
    <t xml:space="preserve">삼산중학교</t>
  </si>
  <si>
    <t xml:space="preserve">032-511-5667</t>
  </si>
  <si>
    <t xml:space="preserve">http://isamsan.icems.kr/main.do</t>
  </si>
  <si>
    <r>
      <rPr>
        <sz val="10"/>
        <rFont val="Noto Sans CJK SC"/>
        <family val="2"/>
      </rPr>
      <t xml:space="preserve">인천광역시 부평구 충선로 </t>
    </r>
    <r>
      <rPr>
        <sz val="10"/>
        <rFont val="맑은 고딕"/>
        <family val="0"/>
        <charset val="1"/>
      </rPr>
      <t xml:space="preserve">308</t>
    </r>
  </si>
  <si>
    <t xml:space="preserve">진산중학교</t>
  </si>
  <si>
    <t xml:space="preserve">032-628-4300</t>
  </si>
  <si>
    <t xml:space="preserve">http://jinsan.icems.kr</t>
  </si>
  <si>
    <r>
      <rPr>
        <sz val="10"/>
        <rFont val="Noto Sans CJK SC"/>
        <family val="2"/>
      </rPr>
      <t xml:space="preserve">인천광역시 부평구 충선로</t>
    </r>
    <r>
      <rPr>
        <sz val="10"/>
        <rFont val="맑은 고딕"/>
        <family val="0"/>
        <charset val="1"/>
      </rPr>
      <t xml:space="preserve">234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70</t>
    </r>
  </si>
  <si>
    <t xml:space="preserve">인천당하초등학교</t>
  </si>
  <si>
    <t xml:space="preserve">032-567-6891</t>
  </si>
  <si>
    <t xml:space="preserve">http://dangha.icees.kr/main.do</t>
  </si>
  <si>
    <r>
      <rPr>
        <sz val="10"/>
        <rFont val="Noto Sans CJK SC"/>
        <family val="2"/>
      </rPr>
      <t xml:space="preserve">인천광역시 검단구 청마로 </t>
    </r>
    <r>
      <rPr>
        <sz val="10"/>
        <rFont val="맑은 고딕"/>
        <family val="0"/>
        <charset val="1"/>
      </rPr>
      <t xml:space="preserve">144</t>
    </r>
  </si>
  <si>
    <t xml:space="preserve">인천아라초등학교</t>
  </si>
  <si>
    <t xml:space="preserve">032-440-0600</t>
  </si>
  <si>
    <t xml:space="preserve">http://ara.icees.kr</t>
  </si>
  <si>
    <r>
      <rPr>
        <sz val="10"/>
        <rFont val="Noto Sans CJK SC"/>
        <family val="2"/>
      </rPr>
      <t xml:space="preserve">인천광역시 검단구 서로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42</t>
    </r>
  </si>
  <si>
    <t xml:space="preserve">인천원당초등학교</t>
  </si>
  <si>
    <t xml:space="preserve">032-569-3084</t>
  </si>
  <si>
    <t xml:space="preserve">http://iwd.icees.kr</t>
  </si>
  <si>
    <r>
      <rPr>
        <sz val="10"/>
        <rFont val="Noto Sans CJK SC"/>
        <family val="2"/>
      </rPr>
      <t xml:space="preserve">인천광역시 검단구 원당대로</t>
    </r>
    <r>
      <rPr>
        <sz val="10"/>
        <rFont val="맑은 고딕"/>
        <family val="0"/>
        <charset val="1"/>
      </rPr>
      <t xml:space="preserve">820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16</t>
    </r>
  </si>
  <si>
    <t xml:space="preserve">인천이음초등학교</t>
  </si>
  <si>
    <t xml:space="preserve">032-870-8400</t>
  </si>
  <si>
    <t xml:space="preserve">http://ieum.icees.kr</t>
  </si>
  <si>
    <r>
      <rPr>
        <sz val="10"/>
        <rFont val="Noto Sans CJK SC"/>
        <family val="2"/>
      </rPr>
      <t xml:space="preserve">인천광역시 검단구 이음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447</t>
    </r>
  </si>
  <si>
    <t xml:space="preserve">불로중학교</t>
  </si>
  <si>
    <t xml:space="preserve">032-566-9588</t>
  </si>
  <si>
    <t xml:space="preserve">http://bullo.icems.kr</t>
  </si>
  <si>
    <r>
      <rPr>
        <sz val="10"/>
        <rFont val="Noto Sans CJK SC"/>
        <family val="2"/>
      </rPr>
      <t xml:space="preserve">인천광역시 검단구 고산후로 </t>
    </r>
    <r>
      <rPr>
        <sz val="10"/>
        <rFont val="맑은 고딕"/>
        <family val="0"/>
        <charset val="1"/>
      </rPr>
      <t xml:space="preserve">363</t>
    </r>
  </si>
  <si>
    <t xml:space="preserve">인천당하중학교</t>
  </si>
  <si>
    <t xml:space="preserve">032-569-2137</t>
  </si>
  <si>
    <t xml:space="preserve">http://dangha.icems.kr</t>
  </si>
  <si>
    <r>
      <rPr>
        <sz val="10"/>
        <rFont val="Noto Sans CJK SC"/>
        <family val="2"/>
      </rPr>
      <t xml:space="preserve">인천광역시 검단구 청마로 </t>
    </r>
    <r>
      <rPr>
        <sz val="10"/>
        <rFont val="맑은 고딕"/>
        <family val="0"/>
        <charset val="1"/>
      </rPr>
      <t xml:space="preserve">38</t>
    </r>
  </si>
  <si>
    <t xml:space="preserve">인천봉수초등학교</t>
  </si>
  <si>
    <t xml:space="preserve">032-567-0286</t>
  </si>
  <si>
    <t xml:space="preserve">http://bongsoo.icees.kr/main.do</t>
  </si>
  <si>
    <r>
      <rPr>
        <sz val="10"/>
        <rFont val="Noto Sans CJK SC"/>
        <family val="2"/>
      </rPr>
      <t xml:space="preserve">인천광역시 서해구 봉오대로</t>
    </r>
    <r>
      <rPr>
        <sz val="10"/>
        <rFont val="맑은 고딕"/>
        <family val="0"/>
        <charset val="1"/>
      </rPr>
      <t xml:space="preserve">267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11-4</t>
    </r>
  </si>
  <si>
    <t xml:space="preserve">인천석남서초등학교</t>
  </si>
  <si>
    <t xml:space="preserve">032-571-0049</t>
  </si>
  <si>
    <t xml:space="preserve">http://isns.icees.kr</t>
  </si>
  <si>
    <r>
      <rPr>
        <sz val="10"/>
        <rFont val="Noto Sans CJK SC"/>
        <family val="2"/>
      </rPr>
      <t xml:space="preserve">인천광역시 서해구 건지로</t>
    </r>
    <r>
      <rPr>
        <sz val="10"/>
        <rFont val="맑은 고딕"/>
        <family val="0"/>
        <charset val="1"/>
      </rPr>
      <t xml:space="preserve">249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6</t>
    </r>
  </si>
  <si>
    <t xml:space="preserve">인천청라초등학교</t>
  </si>
  <si>
    <t xml:space="preserve">032-569-5910</t>
  </si>
  <si>
    <t xml:space="preserve">http://cheongna.icees.kr</t>
  </si>
  <si>
    <r>
      <rPr>
        <sz val="10"/>
        <rFont val="Noto Sans CJK SC"/>
        <family val="2"/>
      </rPr>
      <t xml:space="preserve">인천광역시 서해구 청라에메랄드로 </t>
    </r>
    <r>
      <rPr>
        <sz val="10"/>
        <rFont val="맑은 고딕"/>
        <family val="0"/>
        <charset val="1"/>
      </rPr>
      <t xml:space="preserve">139</t>
    </r>
  </si>
  <si>
    <t xml:space="preserve">인천청람초등학교</t>
  </si>
  <si>
    <t xml:space="preserve">032-569-6912</t>
  </si>
  <si>
    <t xml:space="preserve">http://cheongram.icees.kr</t>
  </si>
  <si>
    <r>
      <rPr>
        <sz val="10"/>
        <rFont val="Noto Sans CJK SC"/>
        <family val="2"/>
      </rPr>
      <t xml:space="preserve">인천광역시 서해구 청라커낼로 </t>
    </r>
    <r>
      <rPr>
        <sz val="10"/>
        <rFont val="맑은 고딕"/>
        <family val="0"/>
        <charset val="1"/>
      </rPr>
      <t xml:space="preserve">336</t>
    </r>
  </si>
  <si>
    <t xml:space="preserve">인천청일초등학교</t>
  </si>
  <si>
    <t xml:space="preserve">032-569-5075</t>
  </si>
  <si>
    <t xml:space="preserve">http://cheongil.icees.kr</t>
  </si>
  <si>
    <r>
      <rPr>
        <sz val="10"/>
        <rFont val="Noto Sans CJK SC"/>
        <family val="2"/>
      </rPr>
      <t xml:space="preserve">인천광역시 서해구 크리스탈로 </t>
    </r>
    <r>
      <rPr>
        <sz val="10"/>
        <rFont val="맑은 고딕"/>
        <family val="0"/>
        <charset val="1"/>
      </rPr>
      <t xml:space="preserve">46</t>
    </r>
  </si>
  <si>
    <t xml:space="preserve">가정여자중학교</t>
  </si>
  <si>
    <t xml:space="preserve">032-577-6781</t>
  </si>
  <si>
    <t xml:space="preserve">http://gajeong.icems.kr</t>
  </si>
  <si>
    <r>
      <rPr>
        <sz val="10"/>
        <rFont val="Noto Sans CJK SC"/>
        <family val="2"/>
      </rPr>
      <t xml:space="preserve">인천광역시 서해구 고래울로</t>
    </r>
    <r>
      <rPr>
        <sz val="10"/>
        <rFont val="맑은 고딕"/>
        <family val="0"/>
        <charset val="1"/>
      </rPr>
      <t xml:space="preserve">28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13</t>
    </r>
  </si>
  <si>
    <t xml:space="preserve">가좌중학교</t>
  </si>
  <si>
    <t xml:space="preserve">032-571-7444</t>
  </si>
  <si>
    <t xml:space="preserve">http://kajwa.icems.kr</t>
  </si>
  <si>
    <r>
      <rPr>
        <sz val="10"/>
        <rFont val="Noto Sans CJK SC"/>
        <family val="2"/>
      </rPr>
      <t xml:space="preserve">인천광역시 서해구 건지로</t>
    </r>
    <r>
      <rPr>
        <sz val="10"/>
        <rFont val="맑은 고딕"/>
        <family val="0"/>
        <charset val="1"/>
      </rPr>
      <t xml:space="preserve">334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31</t>
    </r>
  </si>
  <si>
    <t xml:space="preserve">동인천여자중학교</t>
  </si>
  <si>
    <t xml:space="preserve">032-577-9430</t>
  </si>
  <si>
    <t xml:space="preserve">http://dicg.icems.kr</t>
  </si>
  <si>
    <r>
      <rPr>
        <sz val="10"/>
        <rFont val="Noto Sans CJK SC"/>
        <family val="2"/>
      </rPr>
      <t xml:space="preserve">인천광역시 서해구 여우재로</t>
    </r>
    <r>
      <rPr>
        <sz val="10"/>
        <rFont val="맑은 고딕"/>
        <family val="0"/>
        <charset val="1"/>
      </rPr>
      <t xml:space="preserve">112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13</t>
    </r>
  </si>
  <si>
    <t xml:space="preserve">신현중학교</t>
  </si>
  <si>
    <t xml:space="preserve">032-575-0379</t>
  </si>
  <si>
    <t xml:space="preserve">http://shinhyun.icems.kr</t>
  </si>
  <si>
    <r>
      <rPr>
        <sz val="10"/>
        <rFont val="Noto Sans CJK SC"/>
        <family val="2"/>
      </rPr>
      <t xml:space="preserve">인천광역시 서해구 원창로</t>
    </r>
    <r>
      <rPr>
        <sz val="10"/>
        <rFont val="맑은 고딕"/>
        <family val="0"/>
        <charset val="1"/>
      </rPr>
      <t xml:space="preserve">131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23</t>
    </r>
  </si>
  <si>
    <t xml:space="preserve">인천경연중학교</t>
  </si>
  <si>
    <t xml:space="preserve">032-510-7200</t>
  </si>
  <si>
    <t xml:space="preserve">http://igy.icems.kr</t>
  </si>
  <si>
    <r>
      <rPr>
        <sz val="10"/>
        <rFont val="Noto Sans CJK SC"/>
        <family val="2"/>
      </rPr>
      <t xml:space="preserve">인천광역시 서해구 차오름로 </t>
    </r>
    <r>
      <rPr>
        <sz val="10"/>
        <rFont val="맑은 고딕"/>
        <family val="0"/>
        <charset val="1"/>
      </rPr>
      <t xml:space="preserve">64</t>
    </r>
  </si>
  <si>
    <t xml:space="preserve">인천초은중학교</t>
  </si>
  <si>
    <t xml:space="preserve">032-569-5791</t>
  </si>
  <si>
    <t xml:space="preserve">http://choeun.icems.kr</t>
  </si>
  <si>
    <r>
      <rPr>
        <sz val="10"/>
        <rFont val="Noto Sans CJK SC"/>
        <family val="2"/>
      </rPr>
      <t xml:space="preserve">인천광역시 서해구 청라라임로 </t>
    </r>
    <r>
      <rPr>
        <sz val="10"/>
        <rFont val="맑은 고딕"/>
        <family val="0"/>
        <charset val="1"/>
      </rPr>
      <t xml:space="preserve">10</t>
    </r>
  </si>
  <si>
    <t xml:space="preserve">광주동부교육지원청</t>
  </si>
  <si>
    <t xml:space="preserve">광주계림초등학교</t>
  </si>
  <si>
    <t xml:space="preserve">062-220-2700</t>
  </si>
  <si>
    <t xml:space="preserve">http://gyelim.gen.es.kr</t>
  </si>
  <si>
    <r>
      <rPr>
        <sz val="10"/>
        <rFont val="Noto Sans CJK SC"/>
        <family val="2"/>
      </rPr>
      <t xml:space="preserve">전남광주통합특별시 동구 중앙로 </t>
    </r>
    <r>
      <rPr>
        <sz val="10"/>
        <rFont val="맑은 고딕"/>
        <family val="0"/>
        <charset val="1"/>
      </rPr>
      <t xml:space="preserve">320</t>
    </r>
  </si>
  <si>
    <t xml:space="preserve">조선대학교부속중학교</t>
  </si>
  <si>
    <t xml:space="preserve">062-230-2200</t>
  </si>
  <si>
    <t xml:space="preserve">http://chosun.gen.ms.kr</t>
  </si>
  <si>
    <r>
      <rPr>
        <sz val="10"/>
        <rFont val="Noto Sans CJK SC"/>
        <family val="2"/>
      </rPr>
      <t xml:space="preserve">전남광주통합특별시 동구 조선대길 </t>
    </r>
    <r>
      <rPr>
        <sz val="10"/>
        <rFont val="맑은 고딕"/>
        <family val="0"/>
        <charset val="1"/>
      </rPr>
      <t xml:space="preserve">13</t>
    </r>
  </si>
  <si>
    <t xml:space="preserve">광주수창초등학교</t>
  </si>
  <si>
    <t xml:space="preserve">062-520-2700</t>
  </si>
  <si>
    <t xml:space="preserve">http://soochang.gen.es.kr</t>
  </si>
  <si>
    <r>
      <rPr>
        <sz val="10"/>
        <rFont val="Noto Sans CJK SC"/>
        <family val="2"/>
      </rPr>
      <t xml:space="preserve">전남광주통합특별시 북구 금남로 </t>
    </r>
    <r>
      <rPr>
        <sz val="10"/>
        <rFont val="맑은 고딕"/>
        <family val="0"/>
        <charset val="1"/>
      </rPr>
      <t xml:space="preserve">99</t>
    </r>
  </si>
  <si>
    <t xml:space="preserve">광주효동초등학교</t>
  </si>
  <si>
    <t xml:space="preserve">062-520-2800</t>
  </si>
  <si>
    <t xml:space="preserve">http://ghd.gen.es.kr</t>
  </si>
  <si>
    <r>
      <rPr>
        <sz val="10"/>
        <rFont val="Noto Sans CJK SC"/>
        <family val="2"/>
      </rPr>
      <t xml:space="preserve">전남광주통합특별시 북구 서양로 </t>
    </r>
    <r>
      <rPr>
        <sz val="10"/>
        <rFont val="맑은 고딕"/>
        <family val="0"/>
        <charset val="1"/>
      </rPr>
      <t xml:space="preserve">99</t>
    </r>
  </si>
  <si>
    <t xml:space="preserve">양지초등학교</t>
  </si>
  <si>
    <t xml:space="preserve">062-605-7701</t>
  </si>
  <si>
    <t xml:space="preserve">http://gj-yangji.gen.es.kr</t>
  </si>
  <si>
    <r>
      <rPr>
        <sz val="10"/>
        <rFont val="Noto Sans CJK SC"/>
        <family val="2"/>
      </rPr>
      <t xml:space="preserve">전남광주통합특별시 북구 자라봉로</t>
    </r>
    <r>
      <rPr>
        <sz val="10"/>
        <rFont val="맑은 고딕"/>
        <family val="0"/>
        <charset val="1"/>
      </rPr>
      <t xml:space="preserve">63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16</t>
    </r>
  </si>
  <si>
    <t xml:space="preserve">광주경신중학교</t>
  </si>
  <si>
    <t xml:space="preserve">062-605-4851</t>
  </si>
  <si>
    <t xml:space="preserve">http://gshin.gen.ms.kr</t>
  </si>
  <si>
    <r>
      <rPr>
        <sz val="10"/>
        <rFont val="Noto Sans CJK SC"/>
        <family val="2"/>
      </rPr>
      <t xml:space="preserve">전남광주통합특별시 북구 금호로</t>
    </r>
    <r>
      <rPr>
        <sz val="10"/>
        <rFont val="맑은 고딕"/>
        <family val="0"/>
        <charset val="1"/>
      </rPr>
      <t xml:space="preserve">40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40</t>
    </r>
  </si>
  <si>
    <t xml:space="preserve">살레시오중학교</t>
  </si>
  <si>
    <t xml:space="preserve">062-608-9200</t>
  </si>
  <si>
    <t xml:space="preserve">http://salesio.gen.ms.kr</t>
  </si>
  <si>
    <r>
      <rPr>
        <sz val="10"/>
        <rFont val="Noto Sans CJK SC"/>
        <family val="2"/>
      </rPr>
      <t xml:space="preserve">전남광주통합특별시 북구 모룡대길 </t>
    </r>
    <r>
      <rPr>
        <sz val="10"/>
        <rFont val="맑은 고딕"/>
        <family val="0"/>
        <charset val="1"/>
      </rPr>
      <t xml:space="preserve">67</t>
    </r>
  </si>
  <si>
    <t xml:space="preserve">신광중학교</t>
  </si>
  <si>
    <t xml:space="preserve">062-250-6500</t>
  </si>
  <si>
    <t xml:space="preserve">http://shingwang.gen.ms.kr</t>
  </si>
  <si>
    <r>
      <rPr>
        <sz val="10"/>
        <rFont val="Noto Sans CJK SC"/>
        <family val="2"/>
      </rPr>
      <t xml:space="preserve">전남광주통합특별시 북구 면앙로</t>
    </r>
    <r>
      <rPr>
        <sz val="10"/>
        <rFont val="맑은 고딕"/>
        <family val="0"/>
        <charset val="1"/>
      </rPr>
      <t xml:space="preserve">165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80</t>
    </r>
  </si>
  <si>
    <t xml:space="preserve">양산중학교</t>
  </si>
  <si>
    <t xml:space="preserve">062-570-6111</t>
  </si>
  <si>
    <t xml:space="preserve">http://yangsan.gen.ms.kr</t>
  </si>
  <si>
    <r>
      <rPr>
        <sz val="10"/>
        <rFont val="Noto Sans CJK SC"/>
        <family val="2"/>
      </rPr>
      <t xml:space="preserve">전남광주통합특별시 북구 하서로</t>
    </r>
    <r>
      <rPr>
        <sz val="10"/>
        <rFont val="맑은 고딕"/>
        <family val="0"/>
        <charset val="1"/>
      </rPr>
      <t xml:space="preserve">229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30</t>
    </r>
  </si>
  <si>
    <t xml:space="preserve">광주서부교육지원청</t>
  </si>
  <si>
    <t xml:space="preserve">광산구</t>
  </si>
  <si>
    <t xml:space="preserve">산월초등학교</t>
  </si>
  <si>
    <t xml:space="preserve">062-970-4707</t>
  </si>
  <si>
    <t xml:space="preserve">http://sanwol.gen.es.kr</t>
  </si>
  <si>
    <r>
      <rPr>
        <sz val="10"/>
        <rFont val="Noto Sans CJK SC"/>
        <family val="2"/>
      </rPr>
      <t xml:space="preserve">전남광주통합특별시 광산구 산월로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36</t>
    </r>
  </si>
  <si>
    <t xml:space="preserve">삼도초등학교</t>
  </si>
  <si>
    <t xml:space="preserve">062-949-1521</t>
  </si>
  <si>
    <t xml:space="preserve">http://samdo.gen.es.kr</t>
  </si>
  <si>
    <r>
      <rPr>
        <sz val="10"/>
        <rFont val="Noto Sans CJK SC"/>
        <family val="2"/>
      </rPr>
      <t xml:space="preserve">전남광주통합특별시 광산구 용진로 </t>
    </r>
    <r>
      <rPr>
        <sz val="10"/>
        <rFont val="맑은 고딕"/>
        <family val="0"/>
        <charset val="1"/>
      </rPr>
      <t xml:space="preserve">9</t>
    </r>
  </si>
  <si>
    <t xml:space="preserve">송정초등학교</t>
  </si>
  <si>
    <t xml:space="preserve">062-949-3707</t>
  </si>
  <si>
    <t xml:space="preserve">http://k-songjeong.gen.es.kr</t>
  </si>
  <si>
    <r>
      <rPr>
        <sz val="10"/>
        <rFont val="Noto Sans CJK SC"/>
        <family val="2"/>
      </rPr>
      <t xml:space="preserve">전남광주통합특별시 광산구 송도로</t>
    </r>
    <r>
      <rPr>
        <sz val="10"/>
        <rFont val="맑은 고딕"/>
        <family val="0"/>
        <charset val="1"/>
      </rPr>
      <t xml:space="preserve">208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25</t>
    </r>
  </si>
  <si>
    <t xml:space="preserve">하남중앙초등학교</t>
  </si>
  <si>
    <t xml:space="preserve">062-958-9104</t>
  </si>
  <si>
    <t xml:space="preserve">http://hnja.gen.es.kr</t>
  </si>
  <si>
    <r>
      <rPr>
        <sz val="10"/>
        <rFont val="Noto Sans CJK SC"/>
        <family val="2"/>
      </rPr>
      <t xml:space="preserve">전남광주통합특별시 광산구 산정로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21-20</t>
    </r>
  </si>
  <si>
    <t xml:space="preserve">선운중학교</t>
  </si>
  <si>
    <t xml:space="preserve">062-717-9400</t>
  </si>
  <si>
    <t xml:space="preserve">http://seonun.gen.ms.kr</t>
  </si>
  <si>
    <r>
      <rPr>
        <sz val="10"/>
        <rFont val="Noto Sans CJK SC"/>
        <family val="2"/>
      </rPr>
      <t xml:space="preserve">전남광주통합특별시 광산구 선운로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37</t>
    </r>
  </si>
  <si>
    <t xml:space="preserve">대촌중앙초등학교</t>
  </si>
  <si>
    <t xml:space="preserve">062-380-7100</t>
  </si>
  <si>
    <t xml:space="preserve">http://daechon-j.gen.es.kr</t>
  </si>
  <si>
    <r>
      <rPr>
        <sz val="10"/>
        <rFont val="Noto Sans CJK SC"/>
        <family val="2"/>
      </rPr>
      <t xml:space="preserve">전남광주통합특별시 남구 고싸움로</t>
    </r>
    <r>
      <rPr>
        <sz val="10"/>
        <rFont val="맑은 고딕"/>
        <family val="0"/>
        <charset val="1"/>
      </rPr>
      <t xml:space="preserve">152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</t>
    </r>
  </si>
  <si>
    <t xml:space="preserve">무학초등학교</t>
  </si>
  <si>
    <t xml:space="preserve">062-608-8304</t>
  </si>
  <si>
    <t xml:space="preserve">http://moohak.gen.es.kr</t>
  </si>
  <si>
    <r>
      <rPr>
        <sz val="10"/>
        <rFont val="Noto Sans CJK SC"/>
        <family val="2"/>
      </rPr>
      <t xml:space="preserve">전남광주통합특별시 남구 월지길 </t>
    </r>
    <r>
      <rPr>
        <sz val="10"/>
        <rFont val="맑은 고딕"/>
        <family val="0"/>
        <charset val="1"/>
      </rPr>
      <t xml:space="preserve">7</t>
    </r>
  </si>
  <si>
    <t xml:space="preserve">조봉초등학교</t>
  </si>
  <si>
    <t xml:space="preserve">062-650-3500</t>
  </si>
  <si>
    <t xml:space="preserve">http://jobong.gen.es.kr</t>
  </si>
  <si>
    <r>
      <rPr>
        <sz val="10"/>
        <rFont val="Noto Sans CJK SC"/>
        <family val="2"/>
      </rPr>
      <t xml:space="preserve">전남광주통합특별시 남구 봉선로</t>
    </r>
    <r>
      <rPr>
        <sz val="10"/>
        <rFont val="맑은 고딕"/>
        <family val="0"/>
        <charset val="1"/>
      </rPr>
      <t xml:space="preserve">144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8</t>
    </r>
  </si>
  <si>
    <t xml:space="preserve">광주동성중학교</t>
  </si>
  <si>
    <t xml:space="preserve">062-670-4800</t>
  </si>
  <si>
    <t xml:space="preserve">http://dongsung.gen.ms.kr</t>
  </si>
  <si>
    <r>
      <rPr>
        <sz val="10"/>
        <rFont val="Noto Sans CJK SC"/>
        <family val="2"/>
      </rPr>
      <t xml:space="preserve">전남광주통합특별시 남구 서문대로</t>
    </r>
    <r>
      <rPr>
        <sz val="10"/>
        <rFont val="맑은 고딕"/>
        <family val="0"/>
        <charset val="1"/>
      </rPr>
      <t xml:space="preserve">627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20</t>
    </r>
  </si>
  <si>
    <t xml:space="preserve">광주양동초등학교</t>
  </si>
  <si>
    <t xml:space="preserve">062-606-5700</t>
  </si>
  <si>
    <t xml:space="preserve">http://k-yangdong.gen.es.kr</t>
  </si>
  <si>
    <r>
      <rPr>
        <sz val="10"/>
        <rFont val="Noto Sans CJK SC"/>
        <family val="2"/>
      </rPr>
      <t xml:space="preserve">전남광주통합특별시 서구 경열로</t>
    </r>
    <r>
      <rPr>
        <sz val="10"/>
        <rFont val="맑은 고딕"/>
        <family val="0"/>
        <charset val="1"/>
      </rPr>
      <t xml:space="preserve">121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5</t>
    </r>
  </si>
  <si>
    <t xml:space="preserve">화정남초등학교</t>
  </si>
  <si>
    <t xml:space="preserve">062-602-2201</t>
  </si>
  <si>
    <t xml:space="preserve">http://hwajungnam.gen.es.kr</t>
  </si>
  <si>
    <r>
      <rPr>
        <sz val="10"/>
        <rFont val="Noto Sans CJK SC"/>
        <family val="2"/>
      </rPr>
      <t xml:space="preserve">전남광주통합특별시 서구 염화로 </t>
    </r>
    <r>
      <rPr>
        <sz val="10"/>
        <rFont val="맑은 고딕"/>
        <family val="0"/>
        <charset val="1"/>
      </rPr>
      <t xml:space="preserve">37</t>
    </r>
  </si>
  <si>
    <t xml:space="preserve">설월여자고등학교</t>
  </si>
  <si>
    <t xml:space="preserve">062-650-7800</t>
  </si>
  <si>
    <t xml:space="preserve">http://seolwol.gen.hs.kr</t>
  </si>
  <si>
    <r>
      <rPr>
        <sz val="10"/>
        <rFont val="Noto Sans CJK SC"/>
        <family val="2"/>
      </rPr>
      <t xml:space="preserve">전남광주통합특별시 남구 천변좌로</t>
    </r>
    <r>
      <rPr>
        <sz val="10"/>
        <rFont val="맑은 고딕"/>
        <family val="0"/>
        <charset val="1"/>
      </rPr>
      <t xml:space="preserve">604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12</t>
    </r>
  </si>
  <si>
    <t xml:space="preserve">광주고등학교</t>
  </si>
  <si>
    <t xml:space="preserve">062-239-0107</t>
  </si>
  <si>
    <t xml:space="preserve">http://gwangju.gen.hs.kr</t>
  </si>
  <si>
    <r>
      <rPr>
        <sz val="10"/>
        <rFont val="Noto Sans CJK SC"/>
        <family val="2"/>
      </rPr>
      <t xml:space="preserve">전남광주통합특별시 동구 중앙로 </t>
    </r>
    <r>
      <rPr>
        <sz val="10"/>
        <rFont val="맑은 고딕"/>
        <family val="0"/>
        <charset val="1"/>
      </rPr>
      <t xml:space="preserve">302</t>
    </r>
  </si>
  <si>
    <t xml:space="preserve">살레시오여자고등학교</t>
  </si>
  <si>
    <t xml:space="preserve">062-220-1400</t>
  </si>
  <si>
    <t xml:space="preserve">http://salesio-g.gen.hs.kr</t>
  </si>
  <si>
    <r>
      <rPr>
        <sz val="10"/>
        <rFont val="Noto Sans CJK SC"/>
        <family val="2"/>
      </rPr>
      <t xml:space="preserve">전남광주통합특별시 동구 필문대로</t>
    </r>
    <r>
      <rPr>
        <sz val="10"/>
        <rFont val="맑은 고딕"/>
        <family val="0"/>
        <charset val="1"/>
      </rPr>
      <t xml:space="preserve">273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21</t>
    </r>
  </si>
  <si>
    <t xml:space="preserve">조선대학교부속고등학교</t>
  </si>
  <si>
    <t xml:space="preserve">062-230-0200</t>
  </si>
  <si>
    <t xml:space="preserve">http://chosun.gen.hs.kr</t>
  </si>
  <si>
    <r>
      <rPr>
        <sz val="10"/>
        <rFont val="Noto Sans CJK SC"/>
        <family val="2"/>
      </rPr>
      <t xml:space="preserve">전남광주통합특별시 동구 의재로</t>
    </r>
    <r>
      <rPr>
        <sz val="10"/>
        <rFont val="맑은 고딕"/>
        <family val="0"/>
        <charset val="1"/>
      </rPr>
      <t xml:space="preserve">33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33</t>
    </r>
  </si>
  <si>
    <t xml:space="preserve">광주경신여자고등학교</t>
  </si>
  <si>
    <t xml:space="preserve">062-605-4811</t>
  </si>
  <si>
    <t xml:space="preserve">http://gshin.gen.hs.kr</t>
  </si>
  <si>
    <t xml:space="preserve">광주동신고등학교</t>
  </si>
  <si>
    <t xml:space="preserve">062-520-3400</t>
  </si>
  <si>
    <t xml:space="preserve">http://kds.gen.hs.kr</t>
  </si>
  <si>
    <r>
      <rPr>
        <sz val="10"/>
        <rFont val="Noto Sans CJK SC"/>
        <family val="2"/>
      </rPr>
      <t xml:space="preserve">전남광주통합특별시 북구 동문대로 </t>
    </r>
    <r>
      <rPr>
        <sz val="10"/>
        <rFont val="맑은 고딕"/>
        <family val="0"/>
        <charset val="1"/>
      </rPr>
      <t xml:space="preserve">50</t>
    </r>
  </si>
  <si>
    <t xml:space="preserve">광주동신여자고등학교</t>
  </si>
  <si>
    <t xml:space="preserve">062-520-7300</t>
  </si>
  <si>
    <t xml:space="preserve">http://kdsg.gen.hs.kr</t>
  </si>
  <si>
    <t xml:space="preserve">대전구봉고등학교</t>
  </si>
  <si>
    <t xml:space="preserve">042-540-3700</t>
  </si>
  <si>
    <t xml:space="preserve">http://gubonghs.djsch.kr</t>
  </si>
  <si>
    <r>
      <rPr>
        <sz val="10"/>
        <rFont val="Noto Sans CJK SC"/>
        <family val="2"/>
      </rPr>
      <t xml:space="preserve">대전광역시 서구 관저서로 </t>
    </r>
    <r>
      <rPr>
        <sz val="10"/>
        <rFont val="맑은 고딕"/>
        <family val="0"/>
        <charset val="1"/>
      </rPr>
      <t xml:space="preserve">36</t>
    </r>
  </si>
  <si>
    <t xml:space="preserve">대전만년고등학교</t>
  </si>
  <si>
    <t xml:space="preserve">042-479-9600</t>
  </si>
  <si>
    <t xml:space="preserve">http://mannyonhs.djsch.kr</t>
  </si>
  <si>
    <r>
      <rPr>
        <sz val="10"/>
        <rFont val="Noto Sans CJK SC"/>
        <family val="2"/>
      </rPr>
      <t xml:space="preserve">대전광역시 서구 만년로 </t>
    </r>
    <r>
      <rPr>
        <sz val="10"/>
        <rFont val="맑은 고딕"/>
        <family val="0"/>
        <charset val="1"/>
      </rPr>
      <t xml:space="preserve">6</t>
    </r>
  </si>
  <si>
    <t xml:space="preserve">동방고등학교</t>
  </si>
  <si>
    <t xml:space="preserve">042-333-5802</t>
  </si>
  <si>
    <t xml:space="preserve">http://dbhs.djsch.kr</t>
  </si>
  <si>
    <r>
      <rPr>
        <sz val="10"/>
        <rFont val="Noto Sans CJK SC"/>
        <family val="2"/>
      </rPr>
      <t xml:space="preserve">대전광역시 서구 계백로 </t>
    </r>
    <r>
      <rPr>
        <sz val="10"/>
        <rFont val="맑은 고딕"/>
        <family val="0"/>
        <charset val="1"/>
      </rPr>
      <t xml:space="preserve">1106</t>
    </r>
  </si>
  <si>
    <t xml:space="preserve">서일여자고등학교</t>
  </si>
  <si>
    <t xml:space="preserve">042-540-7740</t>
  </si>
  <si>
    <t xml:space="preserve">http://seoil-ghs.djsch.kr</t>
  </si>
  <si>
    <r>
      <rPr>
        <sz val="10"/>
        <rFont val="Noto Sans CJK SC"/>
        <family val="2"/>
      </rPr>
      <t xml:space="preserve">대전광역시 서구 구봉산북로 </t>
    </r>
    <r>
      <rPr>
        <sz val="10"/>
        <rFont val="맑은 고딕"/>
        <family val="0"/>
        <charset val="1"/>
      </rPr>
      <t xml:space="preserve">22</t>
    </r>
  </si>
  <si>
    <t xml:space="preserve">유성구</t>
  </si>
  <si>
    <t xml:space="preserve">대전도안고등학교</t>
  </si>
  <si>
    <t xml:space="preserve">042-820-8600</t>
  </si>
  <si>
    <t xml:space="preserve">http://doanhs.djsch.kr</t>
  </si>
  <si>
    <r>
      <rPr>
        <sz val="10"/>
        <rFont val="Noto Sans CJK SC"/>
        <family val="2"/>
      </rPr>
      <t xml:space="preserve">대전광역시 유성구 원신흥남로 </t>
    </r>
    <r>
      <rPr>
        <sz val="10"/>
        <rFont val="맑은 고딕"/>
        <family val="0"/>
        <charset val="1"/>
      </rPr>
      <t xml:space="preserve">51</t>
    </r>
  </si>
  <si>
    <t xml:space="preserve">남대전고등학교</t>
  </si>
  <si>
    <t xml:space="preserve">042-253-7111</t>
  </si>
  <si>
    <t xml:space="preserve">http://ndjhs.djsch.kr</t>
  </si>
  <si>
    <r>
      <rPr>
        <sz val="10"/>
        <rFont val="Noto Sans CJK SC"/>
        <family val="2"/>
      </rPr>
      <t xml:space="preserve">대전광역시 중구 보문로</t>
    </r>
    <r>
      <rPr>
        <sz val="10"/>
        <rFont val="맑은 고딕"/>
        <family val="0"/>
        <charset val="1"/>
      </rPr>
      <t xml:space="preserve">111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63</t>
    </r>
  </si>
  <si>
    <t xml:space="preserve">대전동산고등학교</t>
  </si>
  <si>
    <t xml:space="preserve">042-587-5214</t>
  </si>
  <si>
    <t xml:space="preserve">http://djdongsanhs.djsch.kr</t>
  </si>
  <si>
    <r>
      <rPr>
        <sz val="10"/>
        <rFont val="Noto Sans CJK SC"/>
        <family val="2"/>
      </rPr>
      <t xml:space="preserve">대전광역시 중구 문화로 </t>
    </r>
    <r>
      <rPr>
        <sz val="10"/>
        <rFont val="맑은 고딕"/>
        <family val="0"/>
        <charset val="1"/>
      </rPr>
      <t xml:space="preserve">183</t>
    </r>
  </si>
  <si>
    <t xml:space="preserve">대전중앙고등학교</t>
  </si>
  <si>
    <t xml:space="preserve">042-220-0340</t>
  </si>
  <si>
    <t xml:space="preserve">http://djjahs.djsch.kr</t>
  </si>
  <si>
    <r>
      <rPr>
        <sz val="10"/>
        <rFont val="Noto Sans CJK SC"/>
        <family val="2"/>
      </rPr>
      <t xml:space="preserve">대전광역시 중구 대종로 </t>
    </r>
    <r>
      <rPr>
        <sz val="10"/>
        <rFont val="맑은 고딕"/>
        <family val="0"/>
        <charset val="1"/>
      </rPr>
      <t xml:space="preserve">634</t>
    </r>
  </si>
  <si>
    <t xml:space="preserve">충남여자고등학교</t>
  </si>
  <si>
    <t xml:space="preserve">042-229-3100</t>
  </si>
  <si>
    <t xml:space="preserve">http://cnghs.djsch.kr</t>
  </si>
  <si>
    <r>
      <rPr>
        <sz val="10"/>
        <rFont val="Noto Sans CJK SC"/>
        <family val="2"/>
      </rPr>
      <t xml:space="preserve">대전광역시 중구 선화로</t>
    </r>
    <r>
      <rPr>
        <sz val="10"/>
        <rFont val="맑은 고딕"/>
        <family val="0"/>
        <charset val="1"/>
      </rPr>
      <t xml:space="preserve">43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77</t>
    </r>
  </si>
  <si>
    <t xml:space="preserve">대덕구</t>
  </si>
  <si>
    <t xml:space="preserve">신탄진중학교</t>
  </si>
  <si>
    <t xml:space="preserve">042-930-0600</t>
  </si>
  <si>
    <t xml:space="preserve">http://stjms.djsch.kr</t>
  </si>
  <si>
    <r>
      <rPr>
        <sz val="10"/>
        <rFont val="Noto Sans CJK SC"/>
        <family val="2"/>
      </rPr>
      <t xml:space="preserve">대전광역시 대덕구 석봉로 </t>
    </r>
    <r>
      <rPr>
        <sz val="10"/>
        <rFont val="맑은 고딕"/>
        <family val="0"/>
        <charset val="1"/>
      </rPr>
      <t xml:space="preserve">15</t>
    </r>
  </si>
  <si>
    <t xml:space="preserve">대전판암초등학교</t>
  </si>
  <si>
    <t xml:space="preserve">042-281-5200</t>
  </si>
  <si>
    <t xml:space="preserve">http://panames.djsch.kr</t>
  </si>
  <si>
    <r>
      <rPr>
        <sz val="10"/>
        <rFont val="Noto Sans CJK SC"/>
        <family val="2"/>
      </rPr>
      <t xml:space="preserve">대전광역시 동구 옥천로</t>
    </r>
    <r>
      <rPr>
        <sz val="10"/>
        <rFont val="맑은 고딕"/>
        <family val="0"/>
        <charset val="1"/>
      </rPr>
      <t xml:space="preserve">180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32</t>
    </r>
  </si>
  <si>
    <t xml:space="preserve">동대전초등학교</t>
  </si>
  <si>
    <t xml:space="preserve">042-624-1014</t>
  </si>
  <si>
    <t xml:space="preserve">http://ddjes.djsch.kr</t>
  </si>
  <si>
    <r>
      <rPr>
        <sz val="10"/>
        <rFont val="Noto Sans CJK SC"/>
        <family val="2"/>
      </rPr>
      <t xml:space="preserve">대전광역시 동구 비래서로</t>
    </r>
    <r>
      <rPr>
        <sz val="10"/>
        <rFont val="맑은 고딕"/>
        <family val="0"/>
        <charset val="1"/>
      </rPr>
      <t xml:space="preserve">62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60</t>
    </r>
  </si>
  <si>
    <t xml:space="preserve">대전글꽃초등학교</t>
  </si>
  <si>
    <t xml:space="preserve">042-250-4800</t>
  </si>
  <si>
    <t xml:space="preserve">http://gkes.djsch.kr</t>
  </si>
  <si>
    <r>
      <rPr>
        <sz val="10"/>
        <rFont val="Noto Sans CJK SC"/>
        <family val="2"/>
      </rPr>
      <t xml:space="preserve">대전광역시 중구 계룡로</t>
    </r>
    <r>
      <rPr>
        <sz val="10"/>
        <rFont val="맑은 고딕"/>
        <family val="0"/>
        <charset val="1"/>
      </rPr>
      <t xml:space="preserve">918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97</t>
    </r>
  </si>
  <si>
    <t xml:space="preserve">대전신일중학교</t>
  </si>
  <si>
    <t xml:space="preserve">042-250-8500</t>
  </si>
  <si>
    <t xml:space="preserve">http://shinilms.djsch.kr</t>
  </si>
  <si>
    <r>
      <rPr>
        <sz val="10"/>
        <rFont val="Noto Sans CJK SC"/>
        <family val="2"/>
      </rPr>
      <t xml:space="preserve">대전광역시 중구 부사로</t>
    </r>
    <r>
      <rPr>
        <sz val="10"/>
        <rFont val="맑은 고딕"/>
        <family val="0"/>
        <charset val="1"/>
      </rPr>
      <t xml:space="preserve">32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27</t>
    </r>
  </si>
  <si>
    <t xml:space="preserve">동명중학교</t>
  </si>
  <si>
    <t xml:space="preserve">042-272-6697</t>
  </si>
  <si>
    <t xml:space="preserve">http://dongmyungms.djsch.kr</t>
  </si>
  <si>
    <r>
      <rPr>
        <sz val="10"/>
        <rFont val="Noto Sans CJK SC"/>
        <family val="2"/>
      </rPr>
      <t xml:space="preserve">대전광역시 중구 사득로</t>
    </r>
    <r>
      <rPr>
        <sz val="10"/>
        <rFont val="맑은 고딕"/>
        <family val="0"/>
        <charset val="1"/>
      </rPr>
      <t xml:space="preserve">54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29</t>
    </r>
  </si>
  <si>
    <t xml:space="preserve">호수돈여자중학교</t>
  </si>
  <si>
    <t xml:space="preserve">042-221-1676</t>
  </si>
  <si>
    <t xml:space="preserve">http://holstonms.djsch.kr</t>
  </si>
  <si>
    <r>
      <rPr>
        <sz val="10"/>
        <rFont val="Noto Sans CJK SC"/>
        <family val="2"/>
      </rPr>
      <t xml:space="preserve">대전광역시 중구 선화로 </t>
    </r>
    <r>
      <rPr>
        <sz val="10"/>
        <rFont val="맑은 고딕"/>
        <family val="0"/>
        <charset val="1"/>
      </rPr>
      <t xml:space="preserve">50</t>
    </r>
  </si>
  <si>
    <t xml:space="preserve">대전삼천초등학교</t>
  </si>
  <si>
    <t xml:space="preserve">042-486-0750</t>
  </si>
  <si>
    <t xml:space="preserve">http://samcheones.djsch.kr</t>
  </si>
  <si>
    <r>
      <rPr>
        <sz val="10"/>
        <rFont val="Noto Sans CJK SC"/>
        <family val="2"/>
      </rPr>
      <t xml:space="preserve">대전광역시 서구 둔산북로 </t>
    </r>
    <r>
      <rPr>
        <sz val="10"/>
        <rFont val="맑은 고딕"/>
        <family val="0"/>
        <charset val="1"/>
      </rPr>
      <t xml:space="preserve">232-33</t>
    </r>
  </si>
  <si>
    <t xml:space="preserve">대전갑천중학교</t>
  </si>
  <si>
    <t xml:space="preserve">042-488-8600</t>
  </si>
  <si>
    <t xml:space="preserve">http://gapcheonms.djsch.kr</t>
  </si>
  <si>
    <r>
      <rPr>
        <sz val="10"/>
        <rFont val="Noto Sans CJK SC"/>
        <family val="2"/>
      </rPr>
      <t xml:space="preserve">대전광역시 서구 월평동로 </t>
    </r>
    <r>
      <rPr>
        <sz val="10"/>
        <rFont val="맑은 고딕"/>
        <family val="0"/>
        <charset val="1"/>
      </rPr>
      <t xml:space="preserve">80</t>
    </r>
  </si>
  <si>
    <t xml:space="preserve">대전느리울중학교</t>
  </si>
  <si>
    <t xml:space="preserve">042-540-4500</t>
  </si>
  <si>
    <t xml:space="preserve">http://djnrums.djsch.kr</t>
  </si>
  <si>
    <r>
      <rPr>
        <sz val="10"/>
        <rFont val="Noto Sans CJK SC"/>
        <family val="2"/>
      </rPr>
      <t xml:space="preserve">대전광역시 서구 관저중로</t>
    </r>
    <r>
      <rPr>
        <sz val="10"/>
        <rFont val="맑은 고딕"/>
        <family val="0"/>
        <charset val="1"/>
      </rPr>
      <t xml:space="preserve">64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84</t>
    </r>
  </si>
  <si>
    <t xml:space="preserve">대전둔산중학교</t>
  </si>
  <si>
    <t xml:space="preserve">042-486-6146</t>
  </si>
  <si>
    <t xml:space="preserve">http://dunsanms.djsch.kr</t>
  </si>
  <si>
    <r>
      <rPr>
        <sz val="10"/>
        <rFont val="Noto Sans CJK SC"/>
        <family val="2"/>
      </rPr>
      <t xml:space="preserve">대전광역시 서구 갈마역로</t>
    </r>
    <r>
      <rPr>
        <sz val="10"/>
        <rFont val="맑은 고딕"/>
        <family val="0"/>
        <charset val="1"/>
      </rPr>
      <t xml:space="preserve">25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70</t>
    </r>
  </si>
  <si>
    <t xml:space="preserve">남선초등학교</t>
  </si>
  <si>
    <t xml:space="preserve">042-825-0895</t>
  </si>
  <si>
    <t xml:space="preserve">http://namsunes.djsch.kr</t>
  </si>
  <si>
    <r>
      <rPr>
        <sz val="10"/>
        <rFont val="Noto Sans CJK SC"/>
        <family val="2"/>
      </rPr>
      <t xml:space="preserve">대전광역시 유성구 계백로</t>
    </r>
    <r>
      <rPr>
        <sz val="10"/>
        <rFont val="맑은 고딕"/>
        <family val="0"/>
        <charset val="1"/>
      </rPr>
      <t xml:space="preserve">93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277-29</t>
    </r>
  </si>
  <si>
    <t xml:space="preserve">대덕초등학교</t>
  </si>
  <si>
    <t xml:space="preserve">042-861-7615</t>
  </si>
  <si>
    <t xml:space="preserve">http://daedeokes.djsch.kr</t>
  </si>
  <si>
    <r>
      <rPr>
        <sz val="10"/>
        <rFont val="Noto Sans CJK SC"/>
        <family val="2"/>
      </rPr>
      <t xml:space="preserve">대전광역시 유성구 대덕대로</t>
    </r>
    <r>
      <rPr>
        <sz val="10"/>
        <rFont val="맑은 고딕"/>
        <family val="0"/>
        <charset val="1"/>
      </rPr>
      <t xml:space="preserve">556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102</t>
    </r>
  </si>
  <si>
    <t xml:space="preserve">강남교육지원청</t>
  </si>
  <si>
    <t xml:space="preserve">도산초등학교</t>
  </si>
  <si>
    <t xml:space="preserve">052-210-1500</t>
  </si>
  <si>
    <t xml:space="preserve">http://school.use.go.kr/ds-e</t>
  </si>
  <si>
    <r>
      <rPr>
        <sz val="10"/>
        <rFont val="Noto Sans CJK SC"/>
        <family val="2"/>
      </rPr>
      <t xml:space="preserve">울산광역시 남구 번영로</t>
    </r>
    <r>
      <rPr>
        <sz val="10"/>
        <rFont val="맑은 고딕"/>
        <family val="0"/>
        <charset val="1"/>
      </rPr>
      <t xml:space="preserve">54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25</t>
    </r>
  </si>
  <si>
    <t xml:space="preserve">옥동초등학교</t>
  </si>
  <si>
    <t xml:space="preserve">052-269-0915</t>
  </si>
  <si>
    <t xml:space="preserve">http://okdong.es.kr</t>
  </si>
  <si>
    <r>
      <rPr>
        <sz val="10"/>
        <rFont val="Noto Sans CJK SC"/>
        <family val="2"/>
      </rPr>
      <t xml:space="preserve">울산광역시 남구 문수로 </t>
    </r>
    <r>
      <rPr>
        <sz val="10"/>
        <rFont val="맑은 고딕"/>
        <family val="0"/>
        <charset val="1"/>
      </rPr>
      <t xml:space="preserve">401</t>
    </r>
  </si>
  <si>
    <t xml:space="preserve">옥서초등학교</t>
  </si>
  <si>
    <t xml:space="preserve">052-258-4060</t>
  </si>
  <si>
    <t xml:space="preserve">http://school.use.go.kr/okseo-e</t>
  </si>
  <si>
    <r>
      <rPr>
        <sz val="10"/>
        <rFont val="Noto Sans CJK SC"/>
        <family val="2"/>
      </rPr>
      <t xml:space="preserve">울산광역시 남구 법대로</t>
    </r>
    <r>
      <rPr>
        <sz val="10"/>
        <rFont val="맑은 고딕"/>
        <family val="0"/>
        <charset val="1"/>
      </rPr>
      <t xml:space="preserve">14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19</t>
    </r>
  </si>
  <si>
    <t xml:space="preserve">신정중학교</t>
  </si>
  <si>
    <t xml:space="preserve">052-269-2914</t>
  </si>
  <si>
    <t xml:space="preserve">http://www.sinjeong.ms.kr</t>
  </si>
  <si>
    <r>
      <rPr>
        <sz val="10"/>
        <rFont val="Noto Sans CJK SC"/>
        <family val="2"/>
      </rPr>
      <t xml:space="preserve">울산광역시 남구 은월로 </t>
    </r>
    <r>
      <rPr>
        <sz val="10"/>
        <rFont val="맑은 고딕"/>
        <family val="0"/>
        <charset val="1"/>
      </rPr>
      <t xml:space="preserve">11</t>
    </r>
  </si>
  <si>
    <t xml:space="preserve">울산강남중학교</t>
  </si>
  <si>
    <t xml:space="preserve">052-273-2570</t>
  </si>
  <si>
    <t xml:space="preserve">http://www.ulsangangnam.ms.kr</t>
  </si>
  <si>
    <r>
      <rPr>
        <sz val="10"/>
        <rFont val="Noto Sans CJK SC"/>
        <family val="2"/>
      </rPr>
      <t xml:space="preserve">울산광역시 남구 돋질로 </t>
    </r>
    <r>
      <rPr>
        <sz val="10"/>
        <rFont val="맑은 고딕"/>
        <family val="0"/>
        <charset val="1"/>
      </rPr>
      <t xml:space="preserve">325</t>
    </r>
    <r>
      <rPr>
        <sz val="10"/>
        <rFont val="Noto Sans CJK SC"/>
        <family val="2"/>
      </rPr>
      <t xml:space="preserve">번길</t>
    </r>
  </si>
  <si>
    <t xml:space="preserve">강북교육지원청</t>
  </si>
  <si>
    <t xml:space="preserve">동부초등학교</t>
  </si>
  <si>
    <t xml:space="preserve">052-252-0776</t>
  </si>
  <si>
    <t xml:space="preserve">http://usdongbu.es.kr</t>
  </si>
  <si>
    <r>
      <rPr>
        <sz val="10"/>
        <rFont val="Noto Sans CJK SC"/>
        <family val="2"/>
      </rPr>
      <t xml:space="preserve">울산광역시 동구 남목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23</t>
    </r>
  </si>
  <si>
    <t xml:space="preserve">방어진초등학교</t>
  </si>
  <si>
    <t xml:space="preserve">052-251-2052</t>
  </si>
  <si>
    <t xml:space="preserve">http://school.use.go.kr/bangeojin-e/M01</t>
  </si>
  <si>
    <r>
      <rPr>
        <sz val="10"/>
        <rFont val="Noto Sans CJK SC"/>
        <family val="2"/>
      </rPr>
      <t xml:space="preserve">울산광역시 동구 꽃바위로 </t>
    </r>
    <r>
      <rPr>
        <sz val="10"/>
        <rFont val="맑은 고딕"/>
        <family val="0"/>
        <charset val="1"/>
      </rPr>
      <t xml:space="preserve">341</t>
    </r>
  </si>
  <si>
    <t xml:space="preserve">매산초등학교</t>
  </si>
  <si>
    <t xml:space="preserve">052-291-9032</t>
  </si>
  <si>
    <t xml:space="preserve">http://school.use.go.kr/maesan-e</t>
  </si>
  <si>
    <r>
      <rPr>
        <sz val="10"/>
        <rFont val="Noto Sans CJK SC"/>
        <family val="2"/>
      </rPr>
      <t xml:space="preserve">울산광역시 북구 매산로 </t>
    </r>
    <r>
      <rPr>
        <sz val="10"/>
        <rFont val="맑은 고딕"/>
        <family val="0"/>
        <charset val="1"/>
      </rPr>
      <t xml:space="preserve">53</t>
    </r>
  </si>
  <si>
    <t xml:space="preserve">명촌초등학교</t>
  </si>
  <si>
    <t xml:space="preserve">052-289-9582</t>
  </si>
  <si>
    <t xml:space="preserve">http://myeongchon.es.kr</t>
  </si>
  <si>
    <r>
      <rPr>
        <sz val="10"/>
        <rFont val="Noto Sans CJK SC"/>
        <family val="2"/>
      </rPr>
      <t xml:space="preserve">울산광역시 북구 명촌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</t>
    </r>
  </si>
  <si>
    <t xml:space="preserve">고헌중학교</t>
  </si>
  <si>
    <t xml:space="preserve">052-901-8000</t>
  </si>
  <si>
    <t xml:space="preserve">http://school.use.go.kr/goheon-m/M01</t>
  </si>
  <si>
    <r>
      <rPr>
        <sz val="10"/>
        <rFont val="Noto Sans CJK SC"/>
        <family val="2"/>
      </rPr>
      <t xml:space="preserve">울산광역시 북구 박상진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81</t>
    </r>
  </si>
  <si>
    <t xml:space="preserve">호계중학교</t>
  </si>
  <si>
    <t xml:space="preserve">052-286-6921</t>
  </si>
  <si>
    <t xml:space="preserve">http://www.ushogye.ms.kr</t>
  </si>
  <si>
    <r>
      <rPr>
        <sz val="10"/>
        <rFont val="Noto Sans CJK SC"/>
        <family val="2"/>
      </rPr>
      <t xml:space="preserve">울산광역시 북구 당수골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30</t>
    </r>
  </si>
  <si>
    <t xml:space="preserve">대현고등학교</t>
  </si>
  <si>
    <t xml:space="preserve">052-271-8954</t>
  </si>
  <si>
    <t xml:space="preserve">http://daehyun.hs.kr</t>
  </si>
  <si>
    <r>
      <rPr>
        <sz val="10"/>
        <rFont val="Noto Sans CJK SC"/>
        <family val="2"/>
      </rPr>
      <t xml:space="preserve">울산광역시 남구 수암로 </t>
    </r>
    <r>
      <rPr>
        <sz val="10"/>
        <rFont val="맑은 고딕"/>
        <family val="0"/>
        <charset val="1"/>
      </rPr>
      <t xml:space="preserve">164</t>
    </r>
  </si>
  <si>
    <t xml:space="preserve">성광여자고등학교</t>
  </si>
  <si>
    <t xml:space="preserve">052-277-3171</t>
  </si>
  <si>
    <t xml:space="preserve">http://sungkwang.hs.kr</t>
  </si>
  <si>
    <r>
      <rPr>
        <sz val="10"/>
        <rFont val="Noto Sans CJK SC"/>
        <family val="2"/>
      </rPr>
      <t xml:space="preserve">울산광역시 남구 남부순환도로 </t>
    </r>
    <r>
      <rPr>
        <sz val="10"/>
        <rFont val="맑은 고딕"/>
        <family val="0"/>
        <charset val="1"/>
      </rPr>
      <t xml:space="preserve">97</t>
    </r>
  </si>
  <si>
    <t xml:space="preserve">화봉고등학교</t>
  </si>
  <si>
    <t xml:space="preserve">052-283-3511</t>
  </si>
  <si>
    <t xml:space="preserve">http://www.hwabong.hs.kr</t>
  </si>
  <si>
    <r>
      <rPr>
        <sz val="10"/>
        <rFont val="Noto Sans CJK SC"/>
        <family val="2"/>
      </rPr>
      <t xml:space="preserve">울산광역시 북구 화동로 </t>
    </r>
    <r>
      <rPr>
        <sz val="10"/>
        <rFont val="맑은 고딕"/>
        <family val="0"/>
        <charset val="1"/>
      </rPr>
      <t xml:space="preserve">47</t>
    </r>
  </si>
  <si>
    <t xml:space="preserve">울주군</t>
  </si>
  <si>
    <t xml:space="preserve">울산경의고등학교</t>
  </si>
  <si>
    <t xml:space="preserve">052-226-6113</t>
  </si>
  <si>
    <t xml:space="preserve">http://gyeongui.hs.kr</t>
  </si>
  <si>
    <r>
      <rPr>
        <sz val="10"/>
        <rFont val="Noto Sans CJK SC"/>
        <family val="2"/>
      </rPr>
      <t xml:space="preserve">울산광역시 울주군 상북면 상북로 </t>
    </r>
    <r>
      <rPr>
        <sz val="10"/>
        <rFont val="맑은 고딕"/>
        <family val="0"/>
        <charset val="1"/>
      </rPr>
      <t xml:space="preserve">248</t>
    </r>
  </si>
  <si>
    <t xml:space="preserve">약사고등학교</t>
  </si>
  <si>
    <t xml:space="preserve">052-290-5800</t>
  </si>
  <si>
    <t xml:space="preserve">http://www.yaksa.hs.kr</t>
  </si>
  <si>
    <r>
      <rPr>
        <sz val="10"/>
        <rFont val="Noto Sans CJK SC"/>
        <family val="2"/>
      </rPr>
      <t xml:space="preserve">울산광역시 중구 종가로 </t>
    </r>
    <r>
      <rPr>
        <sz val="10"/>
        <rFont val="맑은 고딕"/>
        <family val="0"/>
        <charset val="1"/>
      </rPr>
      <t xml:space="preserve">560</t>
    </r>
  </si>
  <si>
    <t xml:space="preserve">가평교육지원청</t>
  </si>
  <si>
    <t xml:space="preserve">가평군</t>
  </si>
  <si>
    <t xml:space="preserve">가평초등학교</t>
  </si>
  <si>
    <t xml:space="preserve">031-582-2491</t>
  </si>
  <si>
    <t xml:space="preserve">http://gapyeong-e.goegp.kr</t>
  </si>
  <si>
    <r>
      <rPr>
        <sz val="10"/>
        <rFont val="Noto Sans CJK SC"/>
        <family val="2"/>
      </rPr>
      <t xml:space="preserve">경기도 가평군 가평읍 향교로 </t>
    </r>
    <r>
      <rPr>
        <sz val="10"/>
        <rFont val="맑은 고딕"/>
        <family val="0"/>
        <charset val="1"/>
      </rPr>
      <t xml:space="preserve">23</t>
    </r>
  </si>
  <si>
    <t xml:space="preserve">조종초등학교</t>
  </si>
  <si>
    <t xml:space="preserve">031-585-0582</t>
  </si>
  <si>
    <t xml:space="preserve">http://jojong-e.goegp.kr</t>
  </si>
  <si>
    <r>
      <rPr>
        <sz val="10"/>
        <rFont val="Noto Sans CJK SC"/>
        <family val="2"/>
      </rPr>
      <t xml:space="preserve">경기도 가평군 조종면 조종새싹로 </t>
    </r>
    <r>
      <rPr>
        <sz val="10"/>
        <rFont val="맑은 고딕"/>
        <family val="0"/>
        <charset val="1"/>
      </rPr>
      <t xml:space="preserve">13-9</t>
    </r>
  </si>
  <si>
    <t xml:space="preserve">가평중학교</t>
  </si>
  <si>
    <t xml:space="preserve">031-580-3000</t>
  </si>
  <si>
    <t xml:space="preserve">http://gapyeong-m.goegp.kr</t>
  </si>
  <si>
    <r>
      <rPr>
        <sz val="10"/>
        <rFont val="Noto Sans CJK SC"/>
        <family val="2"/>
      </rPr>
      <t xml:space="preserve">경기도 가평군 가평읍 광장로 </t>
    </r>
    <r>
      <rPr>
        <sz val="10"/>
        <rFont val="맑은 고딕"/>
        <family val="0"/>
        <charset val="1"/>
      </rPr>
      <t xml:space="preserve">10</t>
    </r>
  </si>
  <si>
    <t xml:space="preserve">고양교육지원청</t>
  </si>
  <si>
    <t xml:space="preserve">고양시</t>
  </si>
  <si>
    <t xml:space="preserve">강선초등학교</t>
  </si>
  <si>
    <t xml:space="preserve">031-911-6214</t>
  </si>
  <si>
    <t xml:space="preserve">http://gangseon-e.goegy.kr</t>
  </si>
  <si>
    <r>
      <rPr>
        <sz val="10"/>
        <rFont val="Noto Sans CJK SC"/>
        <family val="2"/>
      </rPr>
      <t xml:space="preserve">경기도 고양시 일산서구 강선로 </t>
    </r>
    <r>
      <rPr>
        <sz val="10"/>
        <rFont val="맑은 고딕"/>
        <family val="0"/>
        <charset val="1"/>
      </rPr>
      <t xml:space="preserve">77</t>
    </r>
  </si>
  <si>
    <t xml:space="preserve">고양장항초등학교</t>
  </si>
  <si>
    <t xml:space="preserve">031-994-5391</t>
  </si>
  <si>
    <t xml:space="preserve">http://gyjh-e.goegy.kr</t>
  </si>
  <si>
    <r>
      <rPr>
        <sz val="10"/>
        <rFont val="Noto Sans CJK SC"/>
        <family val="2"/>
      </rPr>
      <t xml:space="preserve">경기도 고양시 일산동구 장항한강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60</t>
    </r>
  </si>
  <si>
    <t xml:space="preserve">원당초등학교</t>
  </si>
  <si>
    <t xml:space="preserve">031-969-6661</t>
  </si>
  <si>
    <t xml:space="preserve">http://wd-e.goegy.kr</t>
  </si>
  <si>
    <r>
      <rPr>
        <sz val="10"/>
        <rFont val="Noto Sans CJK SC"/>
        <family val="2"/>
      </rPr>
      <t xml:space="preserve">경기도 고양시 덕양구 마상로</t>
    </r>
    <r>
      <rPr>
        <sz val="10"/>
        <rFont val="맑은 고딕"/>
        <family val="0"/>
        <charset val="1"/>
      </rPr>
      <t xml:space="preserve">107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13</t>
    </r>
  </si>
  <si>
    <t xml:space="preserve">지도초등학교</t>
  </si>
  <si>
    <t xml:space="preserve">031-973-2165</t>
  </si>
  <si>
    <t xml:space="preserve">http://jido-e-e.goegy.kr</t>
  </si>
  <si>
    <r>
      <rPr>
        <sz val="10"/>
        <rFont val="Noto Sans CJK SC"/>
        <family val="2"/>
      </rPr>
      <t xml:space="preserve">경기도 고양시 덕양구 성신로 </t>
    </r>
    <r>
      <rPr>
        <sz val="10"/>
        <rFont val="맑은 고딕"/>
        <family val="0"/>
        <charset val="1"/>
      </rPr>
      <t xml:space="preserve">49</t>
    </r>
  </si>
  <si>
    <t xml:space="preserve">한산초등학교</t>
  </si>
  <si>
    <t xml:space="preserve">031-916-8451</t>
  </si>
  <si>
    <t xml:space="preserve">http://ky-hansan-e.goegy.kr</t>
  </si>
  <si>
    <r>
      <rPr>
        <sz val="10"/>
        <rFont val="Noto Sans CJK SC"/>
        <family val="2"/>
      </rPr>
      <t xml:space="preserve">경기도 고양시 일산서구 하이파크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56</t>
    </r>
  </si>
  <si>
    <t xml:space="preserve">화중초등학교</t>
  </si>
  <si>
    <t xml:space="preserve">031-963-8365</t>
  </si>
  <si>
    <t xml:space="preserve">http://hwajoong-e.goegy.kr/hwajoong-e/main.do</t>
  </si>
  <si>
    <r>
      <rPr>
        <sz val="10"/>
        <rFont val="Noto Sans CJK SC"/>
        <family val="2"/>
      </rPr>
      <t xml:space="preserve">경기도 고양시 덕양구 화중로</t>
    </r>
    <r>
      <rPr>
        <sz val="10"/>
        <rFont val="맑은 고딕"/>
        <family val="0"/>
        <charset val="1"/>
      </rPr>
      <t xml:space="preserve">152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43</t>
    </r>
  </si>
  <si>
    <t xml:space="preserve">일산중학교</t>
  </si>
  <si>
    <t xml:space="preserve">031-839-6900</t>
  </si>
  <si>
    <t xml:space="preserve">http://ilsan-m.goegy.kr/ilsan-m/main.do</t>
  </si>
  <si>
    <r>
      <rPr>
        <sz val="10"/>
        <rFont val="Noto Sans CJK SC"/>
        <family val="2"/>
      </rPr>
      <t xml:space="preserve">경기도 고양시 일산서구 원일로 </t>
    </r>
    <r>
      <rPr>
        <sz val="10"/>
        <rFont val="맑은 고딕"/>
        <family val="0"/>
        <charset val="1"/>
      </rPr>
      <t xml:space="preserve">53</t>
    </r>
  </si>
  <si>
    <t xml:space="preserve">광명교육지원청</t>
  </si>
  <si>
    <t xml:space="preserve">광명시</t>
  </si>
  <si>
    <t xml:space="preserve">광명광성초등학교</t>
  </si>
  <si>
    <t xml:space="preserve">02-2078-0900</t>
  </si>
  <si>
    <t xml:space="preserve">http://kwangsung-e.goegm.kr/kwangsung-e/main.do</t>
  </si>
  <si>
    <r>
      <rPr>
        <sz val="10"/>
        <rFont val="Noto Sans CJK SC"/>
        <family val="2"/>
      </rPr>
      <t xml:space="preserve">경기도 광명시 철산로 </t>
    </r>
    <r>
      <rPr>
        <sz val="10"/>
        <rFont val="맑은 고딕"/>
        <family val="0"/>
        <charset val="1"/>
      </rPr>
      <t xml:space="preserve">59</t>
    </r>
  </si>
  <si>
    <t xml:space="preserve">가림중학교</t>
  </si>
  <si>
    <t xml:space="preserve">02-6917-0200</t>
  </si>
  <si>
    <t xml:space="preserve">http://garim-m.goegm.kr</t>
  </si>
  <si>
    <r>
      <rPr>
        <sz val="10"/>
        <rFont val="Noto Sans CJK SC"/>
        <family val="2"/>
      </rPr>
      <t xml:space="preserve">경기도 광명시 오리로 </t>
    </r>
    <r>
      <rPr>
        <sz val="10"/>
        <rFont val="맑은 고딕"/>
        <family val="0"/>
        <charset val="1"/>
      </rPr>
      <t xml:space="preserve">616</t>
    </r>
  </si>
  <si>
    <t xml:space="preserve">충현중학교</t>
  </si>
  <si>
    <t xml:space="preserve">02-6278-4000</t>
  </si>
  <si>
    <t xml:space="preserve">http://ch-m.goegm.kr</t>
  </si>
  <si>
    <r>
      <rPr>
        <sz val="10"/>
        <rFont val="Noto Sans CJK SC"/>
        <family val="2"/>
      </rPr>
      <t xml:space="preserve">경기도 광명시 서원로 </t>
    </r>
    <r>
      <rPr>
        <sz val="10"/>
        <rFont val="맑은 고딕"/>
        <family val="0"/>
        <charset val="1"/>
      </rPr>
      <t xml:space="preserve">42</t>
    </r>
  </si>
  <si>
    <t xml:space="preserve">광주하남교육지원청</t>
  </si>
  <si>
    <t xml:space="preserve">광주시</t>
  </si>
  <si>
    <t xml:space="preserve">고산하늘초등학교</t>
  </si>
  <si>
    <t xml:space="preserve">031-8027-9512</t>
  </si>
  <si>
    <t xml:space="preserve">http://gssky-e.goegh.kr/gssky-e/main.do</t>
  </si>
  <si>
    <r>
      <rPr>
        <sz val="10"/>
        <rFont val="Noto Sans CJK SC"/>
        <family val="2"/>
      </rPr>
      <t xml:space="preserve">경기도 광주시 태성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26</t>
    </r>
  </si>
  <si>
    <t xml:space="preserve">곤지암초등학교</t>
  </si>
  <si>
    <t xml:space="preserve">031-762-6014</t>
  </si>
  <si>
    <t xml:space="preserve">http://gonjiam-e.goegh.kr/gonjiam-e/main.do</t>
  </si>
  <si>
    <r>
      <rPr>
        <sz val="10"/>
        <rFont val="Noto Sans CJK SC"/>
        <family val="2"/>
      </rPr>
      <t xml:space="preserve">경기도 광주시 곤지암읍 곤지암로 </t>
    </r>
    <r>
      <rPr>
        <sz val="10"/>
        <rFont val="맑은 고딕"/>
        <family val="0"/>
        <charset val="1"/>
      </rPr>
      <t xml:space="preserve">70-13</t>
    </r>
  </si>
  <si>
    <t xml:space="preserve">쌍동초등학교</t>
  </si>
  <si>
    <t xml:space="preserve">031-8026-3900</t>
  </si>
  <si>
    <t xml:space="preserve">http://ssangdong-e.goegh.kr</t>
  </si>
  <si>
    <r>
      <rPr>
        <sz val="10"/>
        <rFont val="Noto Sans CJK SC"/>
        <family val="2"/>
      </rPr>
      <t xml:space="preserve">경기도 광주시 초월읍 경충대로</t>
    </r>
    <r>
      <rPr>
        <sz val="10"/>
        <rFont val="맑은 고딕"/>
        <family val="0"/>
        <charset val="1"/>
      </rPr>
      <t xml:space="preserve">1127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56</t>
    </r>
  </si>
  <si>
    <t xml:space="preserve">경안중학교</t>
  </si>
  <si>
    <t xml:space="preserve">031-763-4214</t>
  </si>
  <si>
    <t xml:space="preserve">http://kyongan-m.goegh.kr</t>
  </si>
  <si>
    <r>
      <rPr>
        <sz val="10"/>
        <rFont val="Noto Sans CJK SC"/>
        <family val="2"/>
      </rPr>
      <t xml:space="preserve">경기도 광주시 장지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</t>
    </r>
  </si>
  <si>
    <t xml:space="preserve">매양중학교</t>
  </si>
  <si>
    <t xml:space="preserve">031-799-3456</t>
  </si>
  <si>
    <t xml:space="preserve">http://maeyang-m.goegh.kr</t>
  </si>
  <si>
    <r>
      <rPr>
        <sz val="10"/>
        <rFont val="Noto Sans CJK SC"/>
        <family val="2"/>
      </rPr>
      <t xml:space="preserve">경기도 광주시 오포읍 양벌로 </t>
    </r>
    <r>
      <rPr>
        <sz val="10"/>
        <rFont val="맑은 고딕"/>
        <family val="0"/>
        <charset val="1"/>
      </rPr>
      <t xml:space="preserve">331-20</t>
    </r>
  </si>
  <si>
    <t xml:space="preserve">하남시</t>
  </si>
  <si>
    <t xml:space="preserve">단샘초등학교</t>
  </si>
  <si>
    <t xml:space="preserve">02-480-3500</t>
  </si>
  <si>
    <t xml:space="preserve">http://dansaem-e.goegh.kr/dansaem-e/main.do</t>
  </si>
  <si>
    <r>
      <rPr>
        <sz val="10"/>
        <rFont val="Noto Sans CJK SC"/>
        <family val="2"/>
      </rPr>
      <t xml:space="preserve">경기도 하남시 감일순환로 </t>
    </r>
    <r>
      <rPr>
        <sz val="10"/>
        <rFont val="맑은 고딕"/>
        <family val="0"/>
        <charset val="1"/>
      </rPr>
      <t xml:space="preserve">195</t>
    </r>
  </si>
  <si>
    <t xml:space="preserve">031-792-2006</t>
  </si>
  <si>
    <t xml:space="preserve">http://dongbu-e.goegh.kr</t>
  </si>
  <si>
    <r>
      <rPr>
        <sz val="10"/>
        <rFont val="Noto Sans CJK SC"/>
        <family val="2"/>
      </rPr>
      <t xml:space="preserve">경기도 하남시 역말로 </t>
    </r>
    <r>
      <rPr>
        <sz val="10"/>
        <rFont val="맑은 고딕"/>
        <family val="0"/>
        <charset val="1"/>
      </rPr>
      <t xml:space="preserve">55</t>
    </r>
  </si>
  <si>
    <t xml:space="preserve">백마고등학교</t>
  </si>
  <si>
    <t xml:space="preserve">031-906-0865</t>
  </si>
  <si>
    <t xml:space="preserve">http://baekma-h.goegy.kr</t>
  </si>
  <si>
    <r>
      <rPr>
        <sz val="10"/>
        <rFont val="Noto Sans CJK SC"/>
        <family val="2"/>
      </rPr>
      <t xml:space="preserve">경기도 고양시 일산동구 백석로 </t>
    </r>
    <r>
      <rPr>
        <sz val="10"/>
        <rFont val="맑은 고딕"/>
        <family val="0"/>
        <charset val="1"/>
      </rPr>
      <t xml:space="preserve">155</t>
    </r>
  </si>
  <si>
    <t xml:space="preserve">백양고등학교</t>
  </si>
  <si>
    <t xml:space="preserve">031-978-8128</t>
  </si>
  <si>
    <t xml:space="preserve">http://paikyang-h.goegy.kr</t>
  </si>
  <si>
    <r>
      <rPr>
        <sz val="10"/>
        <rFont val="Noto Sans CJK SC"/>
        <family val="2"/>
      </rPr>
      <t xml:space="preserve">경기도 고양시 덕양구 화신로 </t>
    </r>
    <r>
      <rPr>
        <sz val="10"/>
        <rFont val="맑은 고딕"/>
        <family val="0"/>
        <charset val="1"/>
      </rPr>
      <t xml:space="preserve">199</t>
    </r>
  </si>
  <si>
    <t xml:space="preserve">신원고등학교</t>
  </si>
  <si>
    <t xml:space="preserve">02-3146-8600</t>
  </si>
  <si>
    <t xml:space="preserve">http://sinwon-h.goegy.kr</t>
  </si>
  <si>
    <r>
      <rPr>
        <sz val="10"/>
        <rFont val="Noto Sans CJK SC"/>
        <family val="2"/>
      </rPr>
      <t xml:space="preserve">경기도 고양시 덕양구 통일로 </t>
    </r>
    <r>
      <rPr>
        <sz val="10"/>
        <rFont val="맑은 고딕"/>
        <family val="0"/>
        <charset val="1"/>
      </rPr>
      <t xml:space="preserve">391</t>
    </r>
  </si>
  <si>
    <t xml:space="preserve">안곡고등학교</t>
  </si>
  <si>
    <t xml:space="preserve">031-929-2805</t>
  </si>
  <si>
    <t xml:space="preserve">http://angok-h.goegy.kr</t>
  </si>
  <si>
    <r>
      <rPr>
        <sz val="10"/>
        <rFont val="Noto Sans CJK SC"/>
        <family val="2"/>
      </rPr>
      <t xml:space="preserve">경기도 고양시 일산동구 하늘마을로 </t>
    </r>
    <r>
      <rPr>
        <sz val="10"/>
        <rFont val="맑은 고딕"/>
        <family val="0"/>
        <charset val="1"/>
      </rPr>
      <t xml:space="preserve">75</t>
    </r>
  </si>
  <si>
    <t xml:space="preserve">일산대진고등학교</t>
  </si>
  <si>
    <t xml:space="preserve">031-911-2477</t>
  </si>
  <si>
    <t xml:space="preserve">http://isdj-h.goegy.kr</t>
  </si>
  <si>
    <r>
      <rPr>
        <sz val="10"/>
        <rFont val="Noto Sans CJK SC"/>
        <family val="2"/>
      </rPr>
      <t xml:space="preserve">경기도 고양시 일산서구 대산로 </t>
    </r>
    <r>
      <rPr>
        <sz val="10"/>
        <rFont val="맑은 고딕"/>
        <family val="0"/>
        <charset val="1"/>
      </rPr>
      <t xml:space="preserve">246</t>
    </r>
  </si>
  <si>
    <t xml:space="preserve">저동고등학교</t>
  </si>
  <si>
    <t xml:space="preserve">031-917-0671</t>
  </si>
  <si>
    <t xml:space="preserve">http://jeodong-h.goegy.kr</t>
  </si>
  <si>
    <r>
      <rPr>
        <sz val="10"/>
        <rFont val="Noto Sans CJK SC"/>
        <family val="2"/>
      </rPr>
      <t xml:space="preserve">경기도 고양시 일산동구 무궁화로 </t>
    </r>
    <r>
      <rPr>
        <sz val="10"/>
        <rFont val="맑은 고딕"/>
        <family val="0"/>
        <charset val="1"/>
      </rPr>
      <t xml:space="preserve">165</t>
    </r>
  </si>
  <si>
    <t xml:space="preserve">행신고등학교</t>
  </si>
  <si>
    <t xml:space="preserve">031-974-6292</t>
  </si>
  <si>
    <t xml:space="preserve">http://haengshin-h.goegy.kr/haengshin-h/main.do</t>
  </si>
  <si>
    <r>
      <rPr>
        <sz val="10"/>
        <rFont val="Noto Sans CJK SC"/>
        <family val="2"/>
      </rPr>
      <t xml:space="preserve">경기도 고양시 덕양구 소만로 </t>
    </r>
    <r>
      <rPr>
        <sz val="10"/>
        <rFont val="맑은 고딕"/>
        <family val="0"/>
        <charset val="1"/>
      </rPr>
      <t xml:space="preserve">36</t>
    </r>
  </si>
  <si>
    <t xml:space="preserve">태전고등학교</t>
  </si>
  <si>
    <t xml:space="preserve">031-5182-0700</t>
  </si>
  <si>
    <t xml:space="preserve">http://taejeon-h.goegh.kr</t>
  </si>
  <si>
    <r>
      <rPr>
        <sz val="10"/>
        <rFont val="Noto Sans CJK SC"/>
        <family val="2"/>
      </rPr>
      <t xml:space="preserve">경기도 광주시 태전동로 </t>
    </r>
    <r>
      <rPr>
        <sz val="10"/>
        <rFont val="맑은 고딕"/>
        <family val="0"/>
        <charset val="1"/>
      </rPr>
      <t xml:space="preserve">38</t>
    </r>
  </si>
  <si>
    <t xml:space="preserve">구리시</t>
  </si>
  <si>
    <t xml:space="preserve">구리여자고등학교</t>
  </si>
  <si>
    <t xml:space="preserve">031-563-7202</t>
  </si>
  <si>
    <t xml:space="preserve">http://gurigirl-h.goegn.kr</t>
  </si>
  <si>
    <r>
      <rPr>
        <sz val="10"/>
        <rFont val="Noto Sans CJK SC"/>
        <family val="2"/>
      </rPr>
      <t xml:space="preserve">경기도 구리시 벌말로 </t>
    </r>
    <r>
      <rPr>
        <sz val="10"/>
        <rFont val="맑은 고딕"/>
        <family val="0"/>
        <charset val="1"/>
      </rPr>
      <t xml:space="preserve">168</t>
    </r>
  </si>
  <si>
    <t xml:space="preserve">토평고등학교</t>
  </si>
  <si>
    <t xml:space="preserve">031-560-6000</t>
  </si>
  <si>
    <t xml:space="preserve">http://topyeong-h.goegn.kr</t>
  </si>
  <si>
    <r>
      <rPr>
        <sz val="10"/>
        <rFont val="Noto Sans CJK SC"/>
        <family val="2"/>
      </rPr>
      <t xml:space="preserve">경기도 구리시 장자대로</t>
    </r>
    <r>
      <rPr>
        <sz val="10"/>
        <rFont val="맑은 고딕"/>
        <family val="0"/>
        <charset val="1"/>
      </rPr>
      <t xml:space="preserve">111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41</t>
    </r>
  </si>
  <si>
    <t xml:space="preserve">군포시</t>
  </si>
  <si>
    <t xml:space="preserve">군포중앙고등학교</t>
  </si>
  <si>
    <t xml:space="preserve">031-340-6480</t>
  </si>
  <si>
    <t xml:space="preserve">http://gpjago.goegu.kr</t>
  </si>
  <si>
    <r>
      <rPr>
        <sz val="10"/>
        <rFont val="Noto Sans CJK SC"/>
        <family val="2"/>
      </rPr>
      <t xml:space="preserve">경기도 군포시 송부로 </t>
    </r>
    <r>
      <rPr>
        <sz val="10"/>
        <rFont val="맑은 고딕"/>
        <family val="0"/>
        <charset val="1"/>
      </rPr>
      <t xml:space="preserve">239</t>
    </r>
  </si>
  <si>
    <t xml:space="preserve">김포시</t>
  </si>
  <si>
    <t xml:space="preserve">고촌고등학교</t>
  </si>
  <si>
    <t xml:space="preserve">031-8048-5100</t>
  </si>
  <si>
    <t xml:space="preserve">http://gochon-h.gpoe.kr</t>
  </si>
  <si>
    <r>
      <rPr>
        <sz val="10"/>
        <rFont val="Noto Sans CJK SC"/>
        <family val="2"/>
      </rPr>
      <t xml:space="preserve">경기도 김포시 고촌읍 태리로</t>
    </r>
    <r>
      <rPr>
        <sz val="10"/>
        <rFont val="맑은 고딕"/>
        <family val="0"/>
        <charset val="1"/>
      </rPr>
      <t xml:space="preserve">47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20</t>
    </r>
  </si>
  <si>
    <t xml:space="preserve">김포제일고등학교</t>
  </si>
  <si>
    <t xml:space="preserve">031-950-6511</t>
  </si>
  <si>
    <t xml:space="preserve">http://gimpojeil-h.gpoe.kr</t>
  </si>
  <si>
    <r>
      <rPr>
        <sz val="10"/>
        <rFont val="Noto Sans CJK SC"/>
        <family val="2"/>
      </rPr>
      <t xml:space="preserve">경기도 김포시 김포한강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242</t>
    </r>
  </si>
  <si>
    <t xml:space="preserve">사우고등학교</t>
  </si>
  <si>
    <t xml:space="preserve">031-985-3421</t>
  </si>
  <si>
    <t xml:space="preserve">http://sawoo-h.gpoe.kr</t>
  </si>
  <si>
    <r>
      <rPr>
        <sz val="10"/>
        <rFont val="Noto Sans CJK SC"/>
        <family val="2"/>
      </rPr>
      <t xml:space="preserve">경기도 김포시 김포대로 </t>
    </r>
    <r>
      <rPr>
        <sz val="10"/>
        <rFont val="맑은 고딕"/>
        <family val="0"/>
        <charset val="1"/>
      </rPr>
      <t xml:space="preserve">824</t>
    </r>
  </si>
  <si>
    <t xml:space="preserve">양곡고등학교</t>
  </si>
  <si>
    <t xml:space="preserve">031-981-0138</t>
  </si>
  <si>
    <t xml:space="preserve">http://yanggok-h.gpoe.kr</t>
  </si>
  <si>
    <r>
      <rPr>
        <sz val="10"/>
        <rFont val="Noto Sans CJK SC"/>
        <family val="2"/>
      </rPr>
      <t xml:space="preserve">경기도 김포시 양촌읍 양곡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138</t>
    </r>
  </si>
  <si>
    <t xml:space="preserve">남양주시</t>
  </si>
  <si>
    <t xml:space="preserve">진건고등학교</t>
  </si>
  <si>
    <t xml:space="preserve">031-570-3000</t>
  </si>
  <si>
    <t xml:space="preserve">http://jingeon-h.goegn.kr</t>
  </si>
  <si>
    <r>
      <rPr>
        <sz val="10"/>
        <rFont val="Noto Sans CJK SC"/>
        <family val="2"/>
      </rPr>
      <t xml:space="preserve">경기도 남양주시 진건읍 진건오남로 </t>
    </r>
    <r>
      <rPr>
        <sz val="10"/>
        <rFont val="맑은 고딕"/>
        <family val="0"/>
        <charset val="1"/>
      </rPr>
      <t xml:space="preserve">369-1</t>
    </r>
  </si>
  <si>
    <t xml:space="preserve">진접고등학교</t>
  </si>
  <si>
    <t xml:space="preserve">031-570-0105</t>
  </si>
  <si>
    <t xml:space="preserve">http://jinjeop-h.goegn.kr</t>
  </si>
  <si>
    <r>
      <rPr>
        <sz val="10"/>
        <rFont val="Noto Sans CJK SC"/>
        <family val="2"/>
      </rPr>
      <t xml:space="preserve">경기도 남양주시 진접읍 해밀예당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13</t>
    </r>
  </si>
  <si>
    <t xml:space="preserve">부천시</t>
  </si>
  <si>
    <t xml:space="preserve">송내고등학교</t>
  </si>
  <si>
    <t xml:space="preserve">032-650-0440</t>
  </si>
  <si>
    <t xml:space="preserve">http://www.goebc.kr/sn-h/main.do</t>
  </si>
  <si>
    <r>
      <rPr>
        <sz val="10"/>
        <rFont val="Noto Sans CJK SC"/>
        <family val="2"/>
      </rPr>
      <t xml:space="preserve">경기도 부천시 서촌로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13</t>
    </r>
  </si>
  <si>
    <t xml:space="preserve">원미고등학교</t>
  </si>
  <si>
    <t xml:space="preserve">032-722-6200</t>
  </si>
  <si>
    <t xml:space="preserve">http://wonmihigh-h.goebc.kr</t>
  </si>
  <si>
    <r>
      <rPr>
        <sz val="10"/>
        <rFont val="Noto Sans CJK SC"/>
        <family val="2"/>
      </rPr>
      <t xml:space="preserve">경기도 부천시 옥산로 </t>
    </r>
    <r>
      <rPr>
        <sz val="10"/>
        <rFont val="맑은 고딕"/>
        <family val="0"/>
        <charset val="1"/>
      </rPr>
      <t xml:space="preserve">48</t>
    </r>
  </si>
  <si>
    <t xml:space="preserve">성남시</t>
  </si>
  <si>
    <t xml:space="preserve">서현고등학교</t>
  </si>
  <si>
    <t xml:space="preserve">031-701-5993</t>
  </si>
  <si>
    <t xml:space="preserve">http://seohyun-h.goesn.kr</t>
  </si>
  <si>
    <r>
      <rPr>
        <sz val="10"/>
        <rFont val="Noto Sans CJK SC"/>
        <family val="2"/>
      </rPr>
      <t xml:space="preserve">경기도 성남시 분당구 분당로 </t>
    </r>
    <r>
      <rPr>
        <sz val="10"/>
        <rFont val="맑은 고딕"/>
        <family val="0"/>
        <charset val="1"/>
      </rPr>
      <t xml:space="preserve">87</t>
    </r>
  </si>
  <si>
    <t xml:space="preserve">성남여자고등학교</t>
  </si>
  <si>
    <t xml:space="preserve">031-750-4400</t>
  </si>
  <si>
    <t xml:space="preserve">http://seongnamgs-h.goesn.kr</t>
  </si>
  <si>
    <r>
      <rPr>
        <sz val="10"/>
        <rFont val="Noto Sans CJK SC"/>
        <family val="2"/>
      </rPr>
      <t xml:space="preserve">경기도 성남시 중원구 원터로</t>
    </r>
    <r>
      <rPr>
        <sz val="10"/>
        <rFont val="맑은 고딕"/>
        <family val="0"/>
        <charset val="1"/>
      </rPr>
      <t xml:space="preserve">94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6</t>
    </r>
  </si>
  <si>
    <t xml:space="preserve">숭신고등학교</t>
  </si>
  <si>
    <t xml:space="preserve">031-732-8101</t>
  </si>
  <si>
    <t xml:space="preserve">http://ssgh-h.goesn.kr</t>
  </si>
  <si>
    <r>
      <rPr>
        <sz val="10"/>
        <rFont val="Noto Sans CJK SC"/>
        <family val="2"/>
      </rPr>
      <t xml:space="preserve">경기도 성남시 중원구 황송로</t>
    </r>
    <r>
      <rPr>
        <sz val="10"/>
        <rFont val="맑은 고딕"/>
        <family val="0"/>
        <charset val="1"/>
      </rPr>
      <t xml:space="preserve">77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34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</si>
  <si>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숭신여자고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숭신고등학교</t>
    </r>
    <r>
      <rPr>
        <sz val="10"/>
        <rFont val="맑은 고딕"/>
        <family val="0"/>
        <charset val="1"/>
      </rPr>
      <t xml:space="preserve">"</t>
    </r>
  </si>
  <si>
    <t xml:space="preserve">위례한빛고등학교</t>
  </si>
  <si>
    <t xml:space="preserve">031-8038-1954</t>
  </si>
  <si>
    <t xml:space="preserve">http://wiryehanbit-h.goesn.kr</t>
  </si>
  <si>
    <r>
      <rPr>
        <sz val="10"/>
        <rFont val="Noto Sans CJK SC"/>
        <family val="2"/>
      </rPr>
      <t xml:space="preserve">경기도 성남시 수정구 위례동로 </t>
    </r>
    <r>
      <rPr>
        <sz val="10"/>
        <rFont val="맑은 고딕"/>
        <family val="0"/>
        <charset val="1"/>
      </rPr>
      <t xml:space="preserve">86</t>
    </r>
  </si>
  <si>
    <t xml:space="preserve">이매고등학교</t>
  </si>
  <si>
    <t xml:space="preserve">031-704-4042</t>
  </si>
  <si>
    <t xml:space="preserve">http://imae-h.goesn.kr</t>
  </si>
  <si>
    <r>
      <rPr>
        <sz val="10"/>
        <rFont val="Noto Sans CJK SC"/>
        <family val="2"/>
      </rPr>
      <t xml:space="preserve">경기도 성남시 분당구 탄천로 </t>
    </r>
    <r>
      <rPr>
        <sz val="10"/>
        <rFont val="맑은 고딕"/>
        <family val="0"/>
        <charset val="1"/>
      </rPr>
      <t xml:space="preserve">1</t>
    </r>
  </si>
  <si>
    <t xml:space="preserve">수원시</t>
  </si>
  <si>
    <t xml:space="preserve">고색고등학교</t>
  </si>
  <si>
    <t xml:space="preserve">031-8012-6887</t>
  </si>
  <si>
    <t xml:space="preserve">http://gosaek-h.goesw.kr</t>
  </si>
  <si>
    <r>
      <rPr>
        <sz val="10"/>
        <rFont val="Noto Sans CJK SC"/>
        <family val="2"/>
      </rPr>
      <t xml:space="preserve">경기도 수원시 권선구 서둔로</t>
    </r>
    <r>
      <rPr>
        <sz val="10"/>
        <rFont val="맑은 고딕"/>
        <family val="0"/>
        <charset val="1"/>
      </rPr>
      <t xml:space="preserve">17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32</t>
    </r>
  </si>
  <si>
    <t xml:space="preserve">대평고등학교</t>
  </si>
  <si>
    <t xml:space="preserve">031-259-3804</t>
  </si>
  <si>
    <t xml:space="preserve">http://daepyeong-h.goesw.kr/index.do</t>
  </si>
  <si>
    <r>
      <rPr>
        <sz val="10"/>
        <rFont val="Noto Sans CJK SC"/>
        <family val="2"/>
      </rPr>
      <t xml:space="preserve">경기도 수원시 장안구 천천로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21</t>
    </r>
  </si>
  <si>
    <t xml:space="preserve">매원고등학교</t>
  </si>
  <si>
    <t xml:space="preserve">031-218-1543</t>
  </si>
  <si>
    <t xml:space="preserve">http://maewon-h.goesw.kr</t>
  </si>
  <si>
    <r>
      <rPr>
        <sz val="10"/>
        <rFont val="Noto Sans CJK SC"/>
        <family val="2"/>
      </rPr>
      <t xml:space="preserve">경기도 수원시 영통구 삼성로</t>
    </r>
    <r>
      <rPr>
        <sz val="10"/>
        <rFont val="맑은 고딕"/>
        <family val="0"/>
        <charset val="1"/>
      </rPr>
      <t xml:space="preserve">213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120</t>
    </r>
  </si>
  <si>
    <t xml:space="preserve">경기이음온학교</t>
  </si>
  <si>
    <t xml:space="preserve">031-8019-9355</t>
  </si>
  <si>
    <t xml:space="preserve">http://gg-ieumon.goesw.kr</t>
  </si>
  <si>
    <r>
      <rPr>
        <sz val="10"/>
        <rFont val="Noto Sans CJK SC"/>
        <family val="2"/>
      </rPr>
      <t xml:space="preserve">경기도 수원시 팔달구 수성로</t>
    </r>
    <r>
      <rPr>
        <sz val="10"/>
        <rFont val="맑은 고딕"/>
        <family val="0"/>
        <charset val="1"/>
      </rPr>
      <t xml:space="preserve">244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37-52</t>
    </r>
  </si>
  <si>
    <t xml:space="preserve">시흥시</t>
  </si>
  <si>
    <t xml:space="preserve">정왕고등학교</t>
  </si>
  <si>
    <t xml:space="preserve">031-488-5310</t>
  </si>
  <si>
    <t xml:space="preserve">http://jwg-h.goesh.kr</t>
  </si>
  <si>
    <r>
      <rPr>
        <sz val="10"/>
        <rFont val="Noto Sans CJK SC"/>
        <family val="2"/>
      </rPr>
      <t xml:space="preserve">경기도 시흥시 정왕대로</t>
    </r>
    <r>
      <rPr>
        <sz val="10"/>
        <rFont val="맑은 고딕"/>
        <family val="0"/>
        <charset val="1"/>
      </rPr>
      <t xml:space="preserve">118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13</t>
    </r>
  </si>
  <si>
    <t xml:space="preserve">안산시</t>
  </si>
  <si>
    <t xml:space="preserve">성안고등학교</t>
  </si>
  <si>
    <t xml:space="preserve">031-363-0500</t>
  </si>
  <si>
    <t xml:space="preserve">http://seongan-h.goeas.kr</t>
  </si>
  <si>
    <r>
      <rPr>
        <sz val="10"/>
        <rFont val="Noto Sans CJK SC"/>
        <family val="2"/>
      </rPr>
      <t xml:space="preserve">경기도 안산시 상록구 용신로 </t>
    </r>
    <r>
      <rPr>
        <sz val="10"/>
        <rFont val="맑은 고딕"/>
        <family val="0"/>
        <charset val="1"/>
      </rPr>
      <t xml:space="preserve">170</t>
    </r>
  </si>
  <si>
    <t xml:space="preserve">안성시</t>
  </si>
  <si>
    <t xml:space="preserve">가온고등학교</t>
  </si>
  <si>
    <t xml:space="preserve">031-674-5022</t>
  </si>
  <si>
    <t xml:space="preserve">http://gaon-h.goean.kr</t>
  </si>
  <si>
    <r>
      <rPr>
        <sz val="10"/>
        <rFont val="Noto Sans CJK SC"/>
        <family val="2"/>
      </rPr>
      <t xml:space="preserve">경기도 안성시 샛터길 </t>
    </r>
    <r>
      <rPr>
        <sz val="10"/>
        <rFont val="맑은 고딕"/>
        <family val="0"/>
        <charset val="1"/>
      </rPr>
      <t xml:space="preserve">46</t>
    </r>
  </si>
  <si>
    <t xml:space="preserve">안양시</t>
  </si>
  <si>
    <t xml:space="preserve">관양고등학교</t>
  </si>
  <si>
    <t xml:space="preserve">031-420-9440</t>
  </si>
  <si>
    <t xml:space="preserve">http://gwanyang-h.goeay.kr</t>
  </si>
  <si>
    <r>
      <rPr>
        <sz val="10"/>
        <rFont val="Noto Sans CJK SC"/>
        <family val="2"/>
      </rPr>
      <t xml:space="preserve">경기도 안양시 동안구 일동로 </t>
    </r>
    <r>
      <rPr>
        <sz val="10"/>
        <rFont val="맑은 고딕"/>
        <family val="0"/>
        <charset val="1"/>
      </rPr>
      <t xml:space="preserve">115</t>
    </r>
  </si>
  <si>
    <t xml:space="preserve">성문고등학교</t>
  </si>
  <si>
    <t xml:space="preserve">031-449-3607</t>
  </si>
  <si>
    <t xml:space="preserve">http://www.sungmoon.hs.kr</t>
  </si>
  <si>
    <r>
      <rPr>
        <sz val="10"/>
        <rFont val="Noto Sans CJK SC"/>
        <family val="2"/>
      </rPr>
      <t xml:space="preserve">경기도 안양시 만안구 성문길 </t>
    </r>
    <r>
      <rPr>
        <sz val="10"/>
        <rFont val="맑은 고딕"/>
        <family val="0"/>
        <charset val="1"/>
      </rPr>
      <t xml:space="preserve">1</t>
    </r>
  </si>
  <si>
    <t xml:space="preserve">신성고등학교</t>
  </si>
  <si>
    <t xml:space="preserve">031-469-1414</t>
  </si>
  <si>
    <t xml:space="preserve">http://shinsung-h.goeay.kr</t>
  </si>
  <si>
    <r>
      <rPr>
        <sz val="10"/>
        <rFont val="Noto Sans CJK SC"/>
        <family val="2"/>
      </rPr>
      <t xml:space="preserve">경기도 안양시 만안구 소곡로 </t>
    </r>
    <r>
      <rPr>
        <sz val="10"/>
        <rFont val="맑은 고딕"/>
        <family val="0"/>
        <charset val="1"/>
      </rPr>
      <t xml:space="preserve">93</t>
    </r>
  </si>
  <si>
    <t xml:space="preserve">양명여자고등학교</t>
  </si>
  <si>
    <t xml:space="preserve">031-470-3600</t>
  </si>
  <si>
    <t xml:space="preserve">http://ymgh-h.goeay.kr/ymgh-h/main.do</t>
  </si>
  <si>
    <r>
      <rPr>
        <sz val="10"/>
        <rFont val="Noto Sans CJK SC"/>
        <family val="2"/>
      </rPr>
      <t xml:space="preserve">경기도 안양시 만안구 경수대로</t>
    </r>
    <r>
      <rPr>
        <sz val="10"/>
        <rFont val="맑은 고딕"/>
        <family val="0"/>
        <charset val="1"/>
      </rPr>
      <t xml:space="preserve">1001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150</t>
    </r>
  </si>
  <si>
    <t xml:space="preserve">양주시</t>
  </si>
  <si>
    <t xml:space="preserve">덕현고등학교</t>
  </si>
  <si>
    <t xml:space="preserve">031-850-2600</t>
  </si>
  <si>
    <t xml:space="preserve">http://deokhyeon-h.goedy.kr</t>
  </si>
  <si>
    <r>
      <rPr>
        <sz val="10"/>
        <rFont val="Noto Sans CJK SC"/>
        <family val="2"/>
      </rPr>
      <t xml:space="preserve">경기도 양주시 고읍북로 </t>
    </r>
    <r>
      <rPr>
        <sz val="10"/>
        <rFont val="맑은 고딕"/>
        <family val="0"/>
        <charset val="1"/>
      </rPr>
      <t xml:space="preserve">36</t>
    </r>
  </si>
  <si>
    <t xml:space="preserve">양주고등학교</t>
  </si>
  <si>
    <t xml:space="preserve">031-843-1203</t>
  </si>
  <si>
    <t xml:space="preserve">http://yangju-h.goedy.kr/yangju-h/main.do</t>
  </si>
  <si>
    <r>
      <rPr>
        <sz val="10"/>
        <rFont val="Noto Sans CJK SC"/>
        <family val="2"/>
      </rPr>
      <t xml:space="preserve">경기도 양주시 삼숭로</t>
    </r>
    <r>
      <rPr>
        <sz val="10"/>
        <rFont val="맑은 고딕"/>
        <family val="0"/>
        <charset val="1"/>
      </rPr>
      <t xml:space="preserve">38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78-52</t>
    </r>
  </si>
  <si>
    <t xml:space="preserve">옥빛고등학교</t>
  </si>
  <si>
    <t xml:space="preserve">031-894-1800</t>
  </si>
  <si>
    <t xml:space="preserve">http://okbit-h.goedy.kr</t>
  </si>
  <si>
    <r>
      <rPr>
        <sz val="10"/>
        <rFont val="Noto Sans CJK SC"/>
        <family val="2"/>
      </rPr>
      <t xml:space="preserve">경기도 양주시 옥정로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12</t>
    </r>
  </si>
  <si>
    <t xml:space="preserve">양평군</t>
  </si>
  <si>
    <t xml:space="preserve">지평고등학교</t>
  </si>
  <si>
    <t xml:space="preserve">031-773-7842</t>
  </si>
  <si>
    <t xml:space="preserve">http://jp-h.goeyp.kr</t>
  </si>
  <si>
    <r>
      <rPr>
        <sz val="10"/>
        <rFont val="Noto Sans CJK SC"/>
        <family val="2"/>
      </rPr>
      <t xml:space="preserve">경기도 양평군 지평면 지평로 </t>
    </r>
    <r>
      <rPr>
        <sz val="10"/>
        <rFont val="맑은 고딕"/>
        <family val="0"/>
        <charset val="1"/>
      </rPr>
      <t xml:space="preserve">418</t>
    </r>
  </si>
  <si>
    <t xml:space="preserve">오산시</t>
  </si>
  <si>
    <t xml:space="preserve">세교고등학교</t>
  </si>
  <si>
    <t xml:space="preserve">031-8077-8100</t>
  </si>
  <si>
    <t xml:space="preserve">http://segyo-h.goehs.kr</t>
  </si>
  <si>
    <r>
      <rPr>
        <sz val="10"/>
        <rFont val="Noto Sans CJK SC"/>
        <family val="2"/>
      </rPr>
      <t xml:space="preserve">경기도 오산시 수청로 </t>
    </r>
    <r>
      <rPr>
        <sz val="10"/>
        <rFont val="맑은 고딕"/>
        <family val="0"/>
        <charset val="1"/>
      </rPr>
      <t xml:space="preserve">112</t>
    </r>
  </si>
  <si>
    <t xml:space="preserve">용인시</t>
  </si>
  <si>
    <t xml:space="preserve">서원고등학교</t>
  </si>
  <si>
    <t xml:space="preserve">031-276-7022</t>
  </si>
  <si>
    <t xml:space="preserve">http://seowon-h.goeyi.kr</t>
  </si>
  <si>
    <r>
      <rPr>
        <sz val="10"/>
        <rFont val="Noto Sans CJK SC"/>
        <family val="2"/>
      </rPr>
      <t xml:space="preserve">경기도 용인시 수지구 상현로</t>
    </r>
    <r>
      <rPr>
        <sz val="10"/>
        <rFont val="맑은 고딕"/>
        <family val="0"/>
        <charset val="1"/>
      </rPr>
      <t xml:space="preserve">42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26-7</t>
    </r>
  </si>
  <si>
    <t xml:space="preserve">용인한국외국어대학교부설고등학교</t>
  </si>
  <si>
    <t xml:space="preserve">확인필요</t>
  </si>
  <si>
    <t xml:space="preserve">031-332-0700</t>
  </si>
  <si>
    <t xml:space="preserve">http://www.hafs.hs.kr</t>
  </si>
  <si>
    <r>
      <rPr>
        <sz val="10"/>
        <rFont val="Noto Sans CJK SC"/>
        <family val="2"/>
      </rPr>
      <t xml:space="preserve">경기도 용인시 처인구 모현읍 외대로</t>
    </r>
    <r>
      <rPr>
        <sz val="10"/>
        <rFont val="맑은 고딕"/>
        <family val="0"/>
        <charset val="1"/>
      </rPr>
      <t xml:space="preserve">54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50</t>
    </r>
  </si>
  <si>
    <t xml:space="preserve">의정부시</t>
  </si>
  <si>
    <t xml:space="preserve">부용고등학교</t>
  </si>
  <si>
    <t xml:space="preserve">031-820-8500</t>
  </si>
  <si>
    <t xml:space="preserve">http://buyong-h.goeujb.kr</t>
  </si>
  <si>
    <r>
      <rPr>
        <sz val="10"/>
        <rFont val="Noto Sans CJK SC"/>
        <family val="2"/>
      </rPr>
      <t xml:space="preserve">경기도 의정부시 오목로 </t>
    </r>
    <r>
      <rPr>
        <sz val="10"/>
        <rFont val="맑은 고딕"/>
        <family val="0"/>
        <charset val="1"/>
      </rPr>
      <t xml:space="preserve">96</t>
    </r>
  </si>
  <si>
    <t xml:space="preserve">송현고등학교</t>
  </si>
  <si>
    <t xml:space="preserve">031-850-8325</t>
  </si>
  <si>
    <t xml:space="preserve">http://songhyun-h.goeujb.kr</t>
  </si>
  <si>
    <r>
      <rPr>
        <sz val="10"/>
        <rFont val="Noto Sans CJK SC"/>
        <family val="2"/>
      </rPr>
      <t xml:space="preserve">경기도 의정부시 용민로 </t>
    </r>
    <r>
      <rPr>
        <sz val="10"/>
        <rFont val="맑은 고딕"/>
        <family val="0"/>
        <charset val="1"/>
      </rPr>
      <t xml:space="preserve">159</t>
    </r>
  </si>
  <si>
    <t xml:space="preserve">이천시</t>
  </si>
  <si>
    <t xml:space="preserve">이천고등학교</t>
  </si>
  <si>
    <t xml:space="preserve">031-645-0800</t>
  </si>
  <si>
    <t xml:space="preserve">http://icheonhs.goeic.kr</t>
  </si>
  <si>
    <r>
      <rPr>
        <sz val="10"/>
        <rFont val="Noto Sans CJK SC"/>
        <family val="2"/>
      </rPr>
      <t xml:space="preserve">경기도 이천시 아리역로</t>
    </r>
    <r>
      <rPr>
        <sz val="10"/>
        <rFont val="맑은 고딕"/>
        <family val="0"/>
        <charset val="1"/>
      </rPr>
      <t xml:space="preserve">16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</t>
    </r>
  </si>
  <si>
    <t xml:space="preserve">파주시</t>
  </si>
  <si>
    <t xml:space="preserve">광탄고등학교</t>
  </si>
  <si>
    <t xml:space="preserve">031-956-0000</t>
  </si>
  <si>
    <t xml:space="preserve">http://gtan-h.goepj.kr</t>
  </si>
  <si>
    <r>
      <rPr>
        <sz val="10"/>
        <rFont val="Noto Sans CJK SC"/>
        <family val="2"/>
      </rPr>
      <t xml:space="preserve">경기도 파주시 광탄면 혜음로</t>
    </r>
    <r>
      <rPr>
        <sz val="10"/>
        <rFont val="맑은 고딕"/>
        <family val="0"/>
        <charset val="1"/>
      </rPr>
      <t xml:space="preserve">1128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16</t>
    </r>
  </si>
  <si>
    <t xml:space="preserve">파주고등학교</t>
  </si>
  <si>
    <t xml:space="preserve">031-952-2648</t>
  </si>
  <si>
    <t xml:space="preserve">http://paju-coh-h.goepj.kr</t>
  </si>
  <si>
    <r>
      <rPr>
        <sz val="10"/>
        <rFont val="Noto Sans CJK SC"/>
        <family val="2"/>
      </rPr>
      <t xml:space="preserve">경기도 파주시 문산읍 독산로</t>
    </r>
    <r>
      <rPr>
        <sz val="10"/>
        <rFont val="맑은 고딕"/>
        <family val="0"/>
        <charset val="1"/>
      </rPr>
      <t xml:space="preserve">31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39</t>
    </r>
  </si>
  <si>
    <t xml:space="preserve">한빛고등학교</t>
  </si>
  <si>
    <t xml:space="preserve">031-946-7012</t>
  </si>
  <si>
    <t xml:space="preserve">http://hanbit-h.goepj.kr</t>
  </si>
  <si>
    <r>
      <rPr>
        <sz val="10"/>
        <rFont val="Noto Sans CJK SC"/>
        <family val="2"/>
      </rPr>
      <t xml:space="preserve">경기도 파주시 한빛로 </t>
    </r>
    <r>
      <rPr>
        <sz val="10"/>
        <rFont val="맑은 고딕"/>
        <family val="0"/>
        <charset val="1"/>
      </rPr>
      <t xml:space="preserve">36</t>
    </r>
  </si>
  <si>
    <t xml:space="preserve">평택시</t>
  </si>
  <si>
    <t xml:space="preserve">진위고등학교</t>
  </si>
  <si>
    <t xml:space="preserve">031-646-0200</t>
  </si>
  <si>
    <t xml:space="preserve">http://jinwee-h.goept.kr</t>
  </si>
  <si>
    <r>
      <rPr>
        <sz val="10"/>
        <rFont val="Noto Sans CJK SC"/>
        <family val="2"/>
      </rPr>
      <t xml:space="preserve">경기도 평택시 진위면 진위서로 </t>
    </r>
    <r>
      <rPr>
        <sz val="10"/>
        <rFont val="맑은 고딕"/>
        <family val="0"/>
        <charset val="1"/>
      </rPr>
      <t xml:space="preserve">47</t>
    </r>
  </si>
  <si>
    <t xml:space="preserve">청북고등학교</t>
  </si>
  <si>
    <t xml:space="preserve">031-647-5119</t>
  </si>
  <si>
    <t xml:space="preserve">http://cheongbuk-h.goept.kr</t>
  </si>
  <si>
    <r>
      <rPr>
        <sz val="10"/>
        <rFont val="Noto Sans CJK SC"/>
        <family val="2"/>
      </rPr>
      <t xml:space="preserve">경기도 평택시 청북읍 안청로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55</t>
    </r>
  </si>
  <si>
    <t xml:space="preserve">평택여자고등학교</t>
  </si>
  <si>
    <t xml:space="preserve">031-690-0690</t>
  </si>
  <si>
    <t xml:space="preserve">http://pyeongtaek-gh-h.goept.kr</t>
  </si>
  <si>
    <r>
      <rPr>
        <sz val="10"/>
        <rFont val="Noto Sans CJK SC"/>
        <family val="2"/>
      </rPr>
      <t xml:space="preserve">경기도 평택시 영신로 </t>
    </r>
    <r>
      <rPr>
        <sz val="10"/>
        <rFont val="맑은 고딕"/>
        <family val="0"/>
        <charset val="1"/>
      </rPr>
      <t xml:space="preserve">220</t>
    </r>
  </si>
  <si>
    <t xml:space="preserve">현화고등학교</t>
  </si>
  <si>
    <t xml:space="preserve">031-612-5603</t>
  </si>
  <si>
    <t xml:space="preserve">http://hyeonhwa-h.goept.kr</t>
  </si>
  <si>
    <r>
      <rPr>
        <sz val="10"/>
        <rFont val="Noto Sans CJK SC"/>
        <family val="2"/>
      </rPr>
      <t xml:space="preserve">경기도 평택시 안중읍 안현로서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65</t>
    </r>
  </si>
  <si>
    <t xml:space="preserve">포천시</t>
  </si>
  <si>
    <t xml:space="preserve">포천고등학교</t>
  </si>
  <si>
    <t xml:space="preserve">031-535-1601</t>
  </si>
  <si>
    <t xml:space="preserve">http://pocheon-h.goepc.kr</t>
  </si>
  <si>
    <r>
      <rPr>
        <sz val="10"/>
        <rFont val="Noto Sans CJK SC"/>
        <family val="2"/>
      </rPr>
      <t xml:space="preserve">경기도 포천시 원모루로 </t>
    </r>
    <r>
      <rPr>
        <sz val="10"/>
        <rFont val="맑은 고딕"/>
        <family val="0"/>
        <charset val="1"/>
      </rPr>
      <t xml:space="preserve">40</t>
    </r>
  </si>
  <si>
    <t xml:space="preserve">감일고등학교</t>
  </si>
  <si>
    <t xml:space="preserve">02-480-7390</t>
  </si>
  <si>
    <t xml:space="preserve">http://www.goegh.kr/gamil-h/main.do</t>
  </si>
  <si>
    <r>
      <rPr>
        <sz val="10"/>
        <rFont val="Noto Sans CJK SC"/>
        <family val="2"/>
      </rPr>
      <t xml:space="preserve">경기도 하남시 감일순환로 </t>
    </r>
    <r>
      <rPr>
        <sz val="10"/>
        <rFont val="맑은 고딕"/>
        <family val="0"/>
        <charset val="1"/>
      </rPr>
      <t xml:space="preserve">165</t>
    </r>
  </si>
  <si>
    <t xml:space="preserve">화성시</t>
  </si>
  <si>
    <t xml:space="preserve">와우고등학교</t>
  </si>
  <si>
    <t xml:space="preserve">031-210-9515</t>
  </si>
  <si>
    <t xml:space="preserve">http://wawoo-h.goehs.kr</t>
  </si>
  <si>
    <r>
      <rPr>
        <sz val="10"/>
        <rFont val="Noto Sans CJK SC"/>
        <family val="2"/>
      </rPr>
      <t xml:space="preserve">경기도 화성시 봉담읍 동화서북안길 </t>
    </r>
    <r>
      <rPr>
        <sz val="10"/>
        <rFont val="맑은 고딕"/>
        <family val="0"/>
        <charset val="1"/>
      </rPr>
      <t xml:space="preserve">5</t>
    </r>
  </si>
  <si>
    <t xml:space="preserve">화담고등학교</t>
  </si>
  <si>
    <t xml:space="preserve">031-8067-6171</t>
  </si>
  <si>
    <t xml:space="preserve">http://hwadam-h.goehs.kr</t>
  </si>
  <si>
    <r>
      <rPr>
        <sz val="10"/>
        <rFont val="Noto Sans CJK SC"/>
        <family val="2"/>
      </rPr>
      <t xml:space="preserve">경기도 화성시 효행구 봉담읍 상리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128</t>
    </r>
  </si>
  <si>
    <t xml:space="preserve">구리남양주교육지원청</t>
  </si>
  <si>
    <t xml:space="preserve">가곡초등학교</t>
  </si>
  <si>
    <t xml:space="preserve">031-593-0576</t>
  </si>
  <si>
    <t xml:space="preserve">http://gagok-e.goegn.kr</t>
  </si>
  <si>
    <r>
      <rPr>
        <sz val="10"/>
        <rFont val="Noto Sans CJK SC"/>
        <family val="2"/>
      </rPr>
      <t xml:space="preserve">경기도 남양주시 화도읍 비룡로</t>
    </r>
    <r>
      <rPr>
        <sz val="10"/>
        <rFont val="맑은 고딕"/>
        <family val="0"/>
        <charset val="1"/>
      </rPr>
      <t xml:space="preserve">379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</t>
    </r>
  </si>
  <si>
    <t xml:space="preserve">남양주샛별초등학교</t>
  </si>
  <si>
    <t xml:space="preserve">031-570-5400</t>
  </si>
  <si>
    <t xml:space="preserve">http://nyjsaetbyeol-e.goegn.kr</t>
  </si>
  <si>
    <r>
      <rPr>
        <sz val="10"/>
        <rFont val="Noto Sans CJK SC"/>
        <family val="2"/>
      </rPr>
      <t xml:space="preserve">경기도 남양주시 송산로</t>
    </r>
    <r>
      <rPr>
        <sz val="10"/>
        <rFont val="맑은 고딕"/>
        <family val="0"/>
        <charset val="1"/>
      </rPr>
      <t xml:space="preserve">307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50</t>
    </r>
  </si>
  <si>
    <t xml:space="preserve">별가람초등학교</t>
  </si>
  <si>
    <t xml:space="preserve">031-522-2500</t>
  </si>
  <si>
    <t xml:space="preserve">http://byeolgaram-e.goegn.kr</t>
  </si>
  <si>
    <r>
      <rPr>
        <sz val="10"/>
        <rFont val="Noto Sans CJK SC"/>
        <family val="2"/>
      </rPr>
      <t xml:space="preserve">경기도 남양주시 별내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173</t>
    </r>
  </si>
  <si>
    <t xml:space="preserve">부평초등학교</t>
  </si>
  <si>
    <t xml:space="preserve">031-571-0094</t>
  </si>
  <si>
    <t xml:space="preserve">http://www.nyjbp.es.kr</t>
  </si>
  <si>
    <r>
      <rPr>
        <sz val="10"/>
        <rFont val="Noto Sans CJK SC"/>
        <family val="2"/>
      </rPr>
      <t xml:space="preserve">경기도 남양주시 진접읍 부평로</t>
    </r>
    <r>
      <rPr>
        <sz val="10"/>
        <rFont val="맑은 고딕"/>
        <family val="0"/>
        <charset val="1"/>
      </rPr>
      <t xml:space="preserve">48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27</t>
    </r>
  </si>
  <si>
    <t xml:space="preserve">심석초등학교</t>
  </si>
  <si>
    <t xml:space="preserve">031-594-1947</t>
  </si>
  <si>
    <t xml:space="preserve">http://simseok-e.goegn.kr/simseok-e/main.do</t>
  </si>
  <si>
    <r>
      <rPr>
        <sz val="10"/>
        <rFont val="Noto Sans CJK SC"/>
        <family val="2"/>
      </rPr>
      <t xml:space="preserve">경기도 남양주시 화도읍 마석로</t>
    </r>
    <r>
      <rPr>
        <sz val="10"/>
        <rFont val="맑은 고딕"/>
        <family val="0"/>
        <charset val="1"/>
      </rPr>
      <t xml:space="preserve">76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10</t>
    </r>
  </si>
  <si>
    <t xml:space="preserve">오남초등학교</t>
  </si>
  <si>
    <t xml:space="preserve">031-575-3987</t>
  </si>
  <si>
    <t xml:space="preserve">http://onam-e.goegn.kr</t>
  </si>
  <si>
    <r>
      <rPr>
        <sz val="10"/>
        <rFont val="Noto Sans CJK SC"/>
        <family val="2"/>
      </rPr>
      <t xml:space="preserve">경기도 남양주시 오남읍 진건오남로 </t>
    </r>
    <r>
      <rPr>
        <sz val="10"/>
        <rFont val="맑은 고딕"/>
        <family val="0"/>
        <charset val="1"/>
      </rPr>
      <t xml:space="preserve">696</t>
    </r>
  </si>
  <si>
    <t xml:space="preserve">와부초등학교</t>
  </si>
  <si>
    <t xml:space="preserve">031-576-4260</t>
  </si>
  <si>
    <t xml:space="preserve">http://wabu-e.goegn.kr/wabu-e/main.do</t>
  </si>
  <si>
    <r>
      <rPr>
        <sz val="10"/>
        <rFont val="Noto Sans CJK SC"/>
        <family val="2"/>
      </rPr>
      <t xml:space="preserve">경기도 남양주시 와부읍 월문천로 </t>
    </r>
    <r>
      <rPr>
        <sz val="10"/>
        <rFont val="맑은 고딕"/>
        <family val="0"/>
        <charset val="1"/>
      </rPr>
      <t xml:space="preserve">63</t>
    </r>
  </si>
  <si>
    <t xml:space="preserve">해밀초등학교</t>
  </si>
  <si>
    <t xml:space="preserve">031-570-3600</t>
  </si>
  <si>
    <t xml:space="preserve">http://haemil-e.goegn.kr</t>
  </si>
  <si>
    <r>
      <rPr>
        <sz val="10"/>
        <rFont val="Noto Sans CJK SC"/>
        <family val="2"/>
      </rPr>
      <t xml:space="preserve">경기도 남양주시 진접읍 해밀예당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103</t>
    </r>
  </si>
  <si>
    <t xml:space="preserve">풍양중학교</t>
  </si>
  <si>
    <t xml:space="preserve">031-574-9023</t>
  </si>
  <si>
    <t xml:space="preserve">http://pungyang-m.goegn.kr</t>
  </si>
  <si>
    <r>
      <rPr>
        <sz val="10"/>
        <rFont val="Noto Sans CJK SC"/>
        <family val="2"/>
      </rPr>
      <t xml:space="preserve">경기도 남양주시 진접읍 해밀예당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109</t>
    </r>
  </si>
  <si>
    <t xml:space="preserve">군포의왕교육지원청</t>
  </si>
  <si>
    <t xml:space="preserve">군포초등학교</t>
  </si>
  <si>
    <t xml:space="preserve">031-398-4237</t>
  </si>
  <si>
    <t xml:space="preserve">http://gunpocho.goegu.kr</t>
  </si>
  <si>
    <r>
      <rPr>
        <sz val="10"/>
        <rFont val="Noto Sans CJK SC"/>
        <family val="2"/>
      </rPr>
      <t xml:space="preserve">경기도 군포시 군포로 </t>
    </r>
    <r>
      <rPr>
        <sz val="10"/>
        <rFont val="맑은 고딕"/>
        <family val="0"/>
        <charset val="1"/>
      </rPr>
      <t xml:space="preserve">463</t>
    </r>
  </si>
  <si>
    <t xml:space="preserve">궁내초등학교</t>
  </si>
  <si>
    <t xml:space="preserve">031-396-0072</t>
  </si>
  <si>
    <t xml:space="preserve">http://gungnaecho.goegu.kr</t>
  </si>
  <si>
    <r>
      <rPr>
        <sz val="10"/>
        <rFont val="Noto Sans CJK SC"/>
        <family val="2"/>
      </rPr>
      <t xml:space="preserve">경기도 군포시 수리산로 </t>
    </r>
    <r>
      <rPr>
        <sz val="10"/>
        <rFont val="맑은 고딕"/>
        <family val="0"/>
        <charset val="1"/>
      </rPr>
      <t xml:space="preserve">187</t>
    </r>
  </si>
  <si>
    <t xml:space="preserve">산본초등학교</t>
  </si>
  <si>
    <t xml:space="preserve">031-394-6512</t>
  </si>
  <si>
    <t xml:space="preserve">http://sanboncho.goegu.kr/index.do</t>
  </si>
  <si>
    <r>
      <rPr>
        <sz val="10"/>
        <rFont val="Noto Sans CJK SC"/>
        <family val="2"/>
      </rPr>
      <t xml:space="preserve">경기도 군포시 산본로</t>
    </r>
    <r>
      <rPr>
        <sz val="10"/>
        <rFont val="맑은 고딕"/>
        <family val="0"/>
        <charset val="1"/>
      </rPr>
      <t xml:space="preserve">386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60</t>
    </r>
  </si>
  <si>
    <t xml:space="preserve">한얼초등학교</t>
  </si>
  <si>
    <t xml:space="preserve">031-397-8712</t>
  </si>
  <si>
    <t xml:space="preserve">http://haneolcho.goegu.kr</t>
  </si>
  <si>
    <r>
      <rPr>
        <sz val="10"/>
        <rFont val="Noto Sans CJK SC"/>
        <family val="2"/>
      </rPr>
      <t xml:space="preserve">경기도 군포시 산본천로 </t>
    </r>
    <r>
      <rPr>
        <sz val="10"/>
        <rFont val="맑은 고딕"/>
        <family val="0"/>
        <charset val="1"/>
      </rPr>
      <t xml:space="preserve">136</t>
    </r>
  </si>
  <si>
    <t xml:space="preserve">도장중학교</t>
  </si>
  <si>
    <t xml:space="preserve">031-5183-2311</t>
  </si>
  <si>
    <t xml:space="preserve">http://dojangjung.goegu.kr</t>
  </si>
  <si>
    <r>
      <rPr>
        <sz val="10"/>
        <rFont val="Noto Sans CJK SC"/>
        <family val="2"/>
      </rPr>
      <t xml:space="preserve">경기도 군포시 고산로 </t>
    </r>
    <r>
      <rPr>
        <sz val="10"/>
        <rFont val="맑은 고딕"/>
        <family val="0"/>
        <charset val="1"/>
      </rPr>
      <t xml:space="preserve">460</t>
    </r>
  </si>
  <si>
    <t xml:space="preserve">김포교육지원청</t>
  </si>
  <si>
    <t xml:space="preserve">사우초등학교</t>
  </si>
  <si>
    <t xml:space="preserve">031-998-4053</t>
  </si>
  <si>
    <t xml:space="preserve">http://sawoo-e.gpoe.kr</t>
  </si>
  <si>
    <r>
      <rPr>
        <sz val="10"/>
        <rFont val="Noto Sans CJK SC"/>
        <family val="2"/>
      </rPr>
      <t xml:space="preserve">경기도 김포시 사우로 </t>
    </r>
    <r>
      <rPr>
        <sz val="10"/>
        <rFont val="맑은 고딕"/>
        <family val="0"/>
        <charset val="1"/>
      </rPr>
      <t xml:space="preserve">20</t>
    </r>
  </si>
  <si>
    <t xml:space="preserve">신곡초등학교</t>
  </si>
  <si>
    <t xml:space="preserve">031-986-9532</t>
  </si>
  <si>
    <t xml:space="preserve">http://singok-e.gpoe.kr</t>
  </si>
  <si>
    <r>
      <rPr>
        <sz val="10"/>
        <rFont val="Noto Sans CJK SC"/>
        <family val="2"/>
      </rPr>
      <t xml:space="preserve">경기도 김포시 고촌읍 수기로 </t>
    </r>
    <r>
      <rPr>
        <sz val="10"/>
        <rFont val="맑은 고딕"/>
        <family val="0"/>
        <charset val="1"/>
      </rPr>
      <t xml:space="preserve">67-30</t>
    </r>
  </si>
  <si>
    <t xml:space="preserve">운유초등학교</t>
  </si>
  <si>
    <t xml:space="preserve">031-996-2741</t>
  </si>
  <si>
    <t xml:space="preserve">http://unyu-e.gpoe.kr</t>
  </si>
  <si>
    <r>
      <rPr>
        <sz val="10"/>
        <rFont val="Noto Sans CJK SC"/>
        <family val="2"/>
      </rPr>
      <t xml:space="preserve">경기도 김포시 김포한강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239</t>
    </r>
  </si>
  <si>
    <t xml:space="preserve">통진중학교</t>
  </si>
  <si>
    <t xml:space="preserve">031-987-1122</t>
  </si>
  <si>
    <t xml:space="preserve">http://tongjin-m.gpoe.kr</t>
  </si>
  <si>
    <r>
      <rPr>
        <sz val="10"/>
        <rFont val="Noto Sans CJK SC"/>
        <family val="2"/>
      </rPr>
      <t xml:space="preserve">경기도 김포시 통진읍 김포대로 </t>
    </r>
    <r>
      <rPr>
        <sz val="10"/>
        <rFont val="맑은 고딕"/>
        <family val="0"/>
        <charset val="1"/>
      </rPr>
      <t xml:space="preserve">2165</t>
    </r>
  </si>
  <si>
    <t xml:space="preserve">동두천양주교육지원청</t>
  </si>
  <si>
    <t xml:space="preserve">동두천시</t>
  </si>
  <si>
    <t xml:space="preserve">031-862-1033</t>
  </si>
  <si>
    <t xml:space="preserve">http://www.sh.ms.kr</t>
  </si>
  <si>
    <r>
      <rPr>
        <sz val="10"/>
        <rFont val="Noto Sans CJK SC"/>
        <family val="2"/>
      </rPr>
      <t xml:space="preserve">경기도 동두천시 신천로 </t>
    </r>
    <r>
      <rPr>
        <sz val="10"/>
        <rFont val="맑은 고딕"/>
        <family val="0"/>
        <charset val="1"/>
      </rPr>
      <t xml:space="preserve">159</t>
    </r>
  </si>
  <si>
    <t xml:space="preserve">가납초등학교</t>
  </si>
  <si>
    <t xml:space="preserve">031-836-3009</t>
  </si>
  <si>
    <t xml:space="preserve">http://ganap-e.goedy.kr/ganap-e/main.do</t>
  </si>
  <si>
    <r>
      <rPr>
        <sz val="10"/>
        <rFont val="Noto Sans CJK SC"/>
        <family val="2"/>
      </rPr>
      <t xml:space="preserve">경기도 양주시 광적면 부흥로 </t>
    </r>
    <r>
      <rPr>
        <sz val="10"/>
        <rFont val="맑은 고딕"/>
        <family val="0"/>
        <charset val="1"/>
      </rPr>
      <t xml:space="preserve">793</t>
    </r>
  </si>
  <si>
    <t xml:space="preserve">고암초등학교</t>
  </si>
  <si>
    <t xml:space="preserve">031-858-5434</t>
  </si>
  <si>
    <t xml:space="preserve">http://koam-e.goedy.kr/koam-e/main.do</t>
  </si>
  <si>
    <r>
      <rPr>
        <sz val="10"/>
        <rFont val="Noto Sans CJK SC"/>
        <family val="2"/>
      </rPr>
      <t xml:space="preserve">경기도 양주시 고암길 </t>
    </r>
    <r>
      <rPr>
        <sz val="10"/>
        <rFont val="맑은 고딕"/>
        <family val="0"/>
        <charset val="1"/>
      </rPr>
      <t xml:space="preserve">320</t>
    </r>
  </si>
  <si>
    <t xml:space="preserve">상패초등학교</t>
  </si>
  <si>
    <t xml:space="preserve">031-863-5104</t>
  </si>
  <si>
    <t xml:space="preserve">http://sangpae-e.goedy.kr</t>
  </si>
  <si>
    <r>
      <rPr>
        <sz val="10"/>
        <rFont val="Noto Sans CJK SC"/>
        <family val="2"/>
      </rPr>
      <t xml:space="preserve">경기도 양주시 은현면 은현로</t>
    </r>
    <r>
      <rPr>
        <sz val="10"/>
        <rFont val="맑은 고딕"/>
        <family val="0"/>
        <charset val="1"/>
      </rPr>
      <t xml:space="preserve">312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121-208</t>
    </r>
  </si>
  <si>
    <t xml:space="preserve">부천교육지원청</t>
  </si>
  <si>
    <t xml:space="preserve">도원초등학교</t>
  </si>
  <si>
    <t xml:space="preserve">070-5008-1604</t>
  </si>
  <si>
    <t xml:space="preserve">http://dowon-e.goebc.kr</t>
  </si>
  <si>
    <r>
      <rPr>
        <sz val="10"/>
        <rFont val="Noto Sans CJK SC"/>
        <family val="2"/>
      </rPr>
      <t xml:space="preserve">경기도 부천시 마니로 </t>
    </r>
    <r>
      <rPr>
        <sz val="10"/>
        <rFont val="맑은 고딕"/>
        <family val="0"/>
        <charset val="1"/>
      </rPr>
      <t xml:space="preserve">13</t>
    </r>
  </si>
  <si>
    <t xml:space="preserve">상원초등학교</t>
  </si>
  <si>
    <t xml:space="preserve">032-221-7800</t>
  </si>
  <si>
    <t xml:space="preserve">http://angelschool-e.goebc.kr</t>
  </si>
  <si>
    <r>
      <rPr>
        <sz val="10"/>
        <rFont val="Noto Sans CJK SC"/>
        <family val="2"/>
      </rPr>
      <t xml:space="preserve">경기도 부천시 부흥로 </t>
    </r>
    <r>
      <rPr>
        <sz val="10"/>
        <rFont val="맑은 고딕"/>
        <family val="0"/>
        <charset val="1"/>
      </rPr>
      <t xml:space="preserve">93</t>
    </r>
  </si>
  <si>
    <t xml:space="preserve">신도초등학교</t>
  </si>
  <si>
    <t xml:space="preserve">070-7099-2003</t>
  </si>
  <si>
    <t xml:space="preserve">http://sindoedu-e.goebc.kr</t>
  </si>
  <si>
    <r>
      <rPr>
        <sz val="10"/>
        <rFont val="Noto Sans CJK SC"/>
        <family val="2"/>
      </rPr>
      <t xml:space="preserve">경기도 부천시 부흥로 </t>
    </r>
    <r>
      <rPr>
        <sz val="10"/>
        <rFont val="맑은 고딕"/>
        <family val="0"/>
        <charset val="1"/>
      </rPr>
      <t xml:space="preserve">137</t>
    </r>
  </si>
  <si>
    <t xml:space="preserve">원미초등학교</t>
  </si>
  <si>
    <t xml:space="preserve">070-7096-6659</t>
  </si>
  <si>
    <t xml:space="preserve">http://wmi-e.goebc.kr</t>
  </si>
  <si>
    <r>
      <rPr>
        <sz val="10"/>
        <rFont val="Noto Sans CJK SC"/>
        <family val="2"/>
      </rPr>
      <t xml:space="preserve">경기도 부천시 부흥로 </t>
    </r>
    <r>
      <rPr>
        <sz val="10"/>
        <rFont val="맑은 고딕"/>
        <family val="0"/>
        <charset val="1"/>
      </rPr>
      <t xml:space="preserve">423</t>
    </r>
  </si>
  <si>
    <t xml:space="preserve">중흥초등학교</t>
  </si>
  <si>
    <t xml:space="preserve">070-7095-9003</t>
  </si>
  <si>
    <t xml:space="preserve">http://jungheung-e.goebc.kr</t>
  </si>
  <si>
    <r>
      <rPr>
        <sz val="10"/>
        <rFont val="Noto Sans CJK SC"/>
        <family val="2"/>
      </rPr>
      <t xml:space="preserve">경기도 부천시 계남로 </t>
    </r>
    <r>
      <rPr>
        <sz val="10"/>
        <rFont val="맑은 고딕"/>
        <family val="0"/>
        <charset val="1"/>
      </rPr>
      <t xml:space="preserve">214</t>
    </r>
  </si>
  <si>
    <t xml:space="preserve">범박중학교</t>
  </si>
  <si>
    <t xml:space="preserve">032-610-2700</t>
  </si>
  <si>
    <t xml:space="preserve">http://beombak-m.goebc.kr</t>
  </si>
  <si>
    <r>
      <rPr>
        <sz val="10"/>
        <rFont val="Noto Sans CJK SC"/>
        <family val="2"/>
      </rPr>
      <t xml:space="preserve">경기도 부천시 양지남로 </t>
    </r>
    <r>
      <rPr>
        <sz val="10"/>
        <rFont val="맑은 고딕"/>
        <family val="0"/>
        <charset val="1"/>
      </rPr>
      <t xml:space="preserve">69-16</t>
    </r>
  </si>
  <si>
    <t xml:space="preserve">중흥중학교</t>
  </si>
  <si>
    <t xml:space="preserve">032-204-1094</t>
  </si>
  <si>
    <t xml:space="preserve">http://jh-m.goebc.kr</t>
  </si>
  <si>
    <r>
      <rPr>
        <sz val="10"/>
        <rFont val="Noto Sans CJK SC"/>
        <family val="2"/>
      </rPr>
      <t xml:space="preserve">경기도 부천시 원미구 신흥로 </t>
    </r>
    <r>
      <rPr>
        <sz val="10"/>
        <rFont val="맑은 고딕"/>
        <family val="0"/>
        <charset val="1"/>
      </rPr>
      <t xml:space="preserve">245</t>
    </r>
  </si>
  <si>
    <t xml:space="preserve">성남교육지원청</t>
  </si>
  <si>
    <t xml:space="preserve">당촌초등학교</t>
  </si>
  <si>
    <t xml:space="preserve">031-702-4006</t>
  </si>
  <si>
    <t xml:space="preserve">http://dangchon-e.goesn.kr</t>
  </si>
  <si>
    <r>
      <rPr>
        <sz val="10"/>
        <rFont val="Noto Sans CJK SC"/>
        <family val="2"/>
      </rPr>
      <t xml:space="preserve">경기도 성남시 분당구 분당로 </t>
    </r>
    <r>
      <rPr>
        <sz val="10"/>
        <rFont val="맑은 고딕"/>
        <family val="0"/>
        <charset val="1"/>
      </rPr>
      <t xml:space="preserve">196</t>
    </r>
  </si>
  <si>
    <t xml:space="preserve">성남송현초등학교</t>
  </si>
  <si>
    <t xml:space="preserve">031-8016-2002</t>
  </si>
  <si>
    <t xml:space="preserve">http://snsonghyeon-e.goesn.kr</t>
  </si>
  <si>
    <r>
      <rPr>
        <sz val="10"/>
        <rFont val="Noto Sans CJK SC"/>
        <family val="2"/>
      </rPr>
      <t xml:space="preserve">경기도 성남시 분당구 동판교로 </t>
    </r>
    <r>
      <rPr>
        <sz val="10"/>
        <rFont val="맑은 고딕"/>
        <family val="0"/>
        <charset val="1"/>
      </rPr>
      <t xml:space="preserve">258</t>
    </r>
  </si>
  <si>
    <t xml:space="preserve">성남장안초등학교</t>
  </si>
  <si>
    <t xml:space="preserve">031-701-7074</t>
  </si>
  <si>
    <t xml:space="preserve">http://snjangan-e.goesn.kr</t>
  </si>
  <si>
    <r>
      <rPr>
        <sz val="10"/>
        <rFont val="Noto Sans CJK SC"/>
        <family val="2"/>
      </rPr>
      <t xml:space="preserve">경기도 성남시 분당구 장안로</t>
    </r>
    <r>
      <rPr>
        <sz val="10"/>
        <rFont val="맑은 고딕"/>
        <family val="0"/>
        <charset val="1"/>
      </rPr>
      <t xml:space="preserve">51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10</t>
    </r>
  </si>
  <si>
    <t xml:space="preserve">위례중앙초등학교</t>
  </si>
  <si>
    <t xml:space="preserve">031-759-9060</t>
  </si>
  <si>
    <t xml:space="preserve">http://wrjungang-e.goesn.kr</t>
  </si>
  <si>
    <r>
      <rPr>
        <sz val="10"/>
        <rFont val="Noto Sans CJK SC"/>
        <family val="2"/>
      </rPr>
      <t xml:space="preserve">경기도 성남시 수정구 위례순환로 </t>
    </r>
    <r>
      <rPr>
        <sz val="10"/>
        <rFont val="맑은 고딕"/>
        <family val="0"/>
        <charset val="1"/>
      </rPr>
      <t xml:space="preserve">71</t>
    </r>
  </si>
  <si>
    <t xml:space="preserve">이매초등학교</t>
  </si>
  <si>
    <t xml:space="preserve">031-704-4086</t>
  </si>
  <si>
    <t xml:space="preserve">http://imae-e.goesn.kr</t>
  </si>
  <si>
    <r>
      <rPr>
        <sz val="10"/>
        <rFont val="Noto Sans CJK SC"/>
        <family val="2"/>
      </rPr>
      <t xml:space="preserve">경기도 성남시 분당구 양현로 </t>
    </r>
    <r>
      <rPr>
        <sz val="10"/>
        <rFont val="맑은 고딕"/>
        <family val="0"/>
        <charset val="1"/>
      </rPr>
      <t xml:space="preserve">146</t>
    </r>
  </si>
  <si>
    <t xml:space="preserve">양영중학교</t>
  </si>
  <si>
    <t xml:space="preserve">031-701-4470</t>
  </si>
  <si>
    <t xml:space="preserve">http://yangyoung-m.goesn.kr</t>
  </si>
  <si>
    <r>
      <rPr>
        <sz val="10"/>
        <rFont val="Noto Sans CJK SC"/>
        <family val="2"/>
      </rPr>
      <t xml:space="preserve">경기도 성남시 분당구 돌마로</t>
    </r>
    <r>
      <rPr>
        <sz val="10"/>
        <rFont val="맑은 고딕"/>
        <family val="0"/>
        <charset val="1"/>
      </rPr>
      <t xml:space="preserve">486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23</t>
    </r>
  </si>
  <si>
    <t xml:space="preserve">수원교육지원청</t>
  </si>
  <si>
    <t xml:space="preserve">규장초등학교</t>
  </si>
  <si>
    <t xml:space="preserve">031-8067-7620</t>
  </si>
  <si>
    <t xml:space="preserve">http://gyujang-e.goesw.kr</t>
  </si>
  <si>
    <r>
      <rPr>
        <sz val="10"/>
        <rFont val="Noto Sans CJK SC"/>
        <family val="2"/>
      </rPr>
      <t xml:space="preserve">경기도 수원시 권선구 덕영대로</t>
    </r>
    <r>
      <rPr>
        <sz val="10"/>
        <rFont val="맑은 고딕"/>
        <family val="0"/>
        <charset val="1"/>
      </rPr>
      <t xml:space="preserve">1190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152</t>
    </r>
  </si>
  <si>
    <t xml:space="preserve">산의초등학교</t>
  </si>
  <si>
    <t xml:space="preserve">031-880-8200</t>
  </si>
  <si>
    <t xml:space="preserve">http://sanui-e.goesw.kr/sanui-e/main.do</t>
  </si>
  <si>
    <r>
      <rPr>
        <sz val="10"/>
        <rFont val="Noto Sans CJK SC"/>
        <family val="2"/>
      </rPr>
      <t xml:space="preserve">경기도 수원시 영통구 센트럴타운로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25</t>
    </r>
  </si>
  <si>
    <t xml:space="preserve">수원매화초등학교</t>
  </si>
  <si>
    <t xml:space="preserve">031-216-4083</t>
  </si>
  <si>
    <t xml:space="preserve">http://swmaehwa-e.goesw.kr/index.do</t>
  </si>
  <si>
    <r>
      <rPr>
        <sz val="10"/>
        <rFont val="Noto Sans CJK SC"/>
        <family val="2"/>
      </rPr>
      <t xml:space="preserve">경기도 수원시 영통구 권광로</t>
    </r>
    <r>
      <rPr>
        <sz val="10"/>
        <rFont val="맑은 고딕"/>
        <family val="0"/>
        <charset val="1"/>
      </rPr>
      <t xml:space="preserve">304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47-17</t>
    </r>
  </si>
  <si>
    <t xml:space="preserve">이의초등학교</t>
  </si>
  <si>
    <t xml:space="preserve">031-8006-1800</t>
  </si>
  <si>
    <t xml:space="preserve">http://eui-e.goesw.kr</t>
  </si>
  <si>
    <r>
      <rPr>
        <sz val="10"/>
        <rFont val="Noto Sans CJK SC"/>
        <family val="2"/>
      </rPr>
      <t xml:space="preserve">경기도 수원시 영통구 법조로 </t>
    </r>
    <r>
      <rPr>
        <sz val="10"/>
        <rFont val="맑은 고딕"/>
        <family val="0"/>
        <charset val="1"/>
      </rPr>
      <t xml:space="preserve">150</t>
    </r>
  </si>
  <si>
    <t xml:space="preserve">입북초등학교</t>
  </si>
  <si>
    <t xml:space="preserve">031-294-4986</t>
  </si>
  <si>
    <t xml:space="preserve">http://ipbuk-e.goesw.kr</t>
  </si>
  <si>
    <r>
      <rPr>
        <sz val="10"/>
        <rFont val="Noto Sans CJK SC"/>
        <family val="2"/>
      </rPr>
      <t xml:space="preserve">경기도 수원시 권선구 율전로 </t>
    </r>
    <r>
      <rPr>
        <sz val="10"/>
        <rFont val="맑은 고딕"/>
        <family val="0"/>
        <charset val="1"/>
      </rPr>
      <t xml:space="preserve">10</t>
    </r>
  </si>
  <si>
    <t xml:space="preserve">잠원초등학교</t>
  </si>
  <si>
    <t xml:space="preserve">031-273-0883</t>
  </si>
  <si>
    <t xml:space="preserve">http://jamwon-e.goesw.kr</t>
  </si>
  <si>
    <r>
      <rPr>
        <sz val="10"/>
        <rFont val="Noto Sans CJK SC"/>
        <family val="2"/>
      </rPr>
      <t xml:space="preserve">경기도 수원시 영통구 태장로</t>
    </r>
    <r>
      <rPr>
        <sz val="10"/>
        <rFont val="맑은 고딕"/>
        <family val="0"/>
        <charset val="1"/>
      </rPr>
      <t xml:space="preserve">54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11</t>
    </r>
  </si>
  <si>
    <t xml:space="preserve">정천초등학교</t>
  </si>
  <si>
    <t xml:space="preserve">031-294-3257</t>
  </si>
  <si>
    <t xml:space="preserve">http://jungchun-e.goesw.kr/jungchun-e/main.do</t>
  </si>
  <si>
    <r>
      <rPr>
        <sz val="10"/>
        <rFont val="Noto Sans CJK SC"/>
        <family val="2"/>
      </rPr>
      <t xml:space="preserve">경기도 수원시 장안구 화산로 </t>
    </r>
    <r>
      <rPr>
        <sz val="10"/>
        <rFont val="맑은 고딕"/>
        <family val="0"/>
        <charset val="1"/>
      </rPr>
      <t xml:space="preserve">83</t>
    </r>
  </si>
  <si>
    <t xml:space="preserve">남수원중학교</t>
  </si>
  <si>
    <t xml:space="preserve">031-233-9732</t>
  </si>
  <si>
    <t xml:space="preserve">http://namsuwon-m.goesw.kr</t>
  </si>
  <si>
    <r>
      <rPr>
        <sz val="10"/>
        <rFont val="Noto Sans CJK SC"/>
        <family val="2"/>
      </rPr>
      <t xml:space="preserve">경기도 수원시 권선구 권중로 </t>
    </r>
    <r>
      <rPr>
        <sz val="10"/>
        <rFont val="맑은 고딕"/>
        <family val="0"/>
        <charset val="1"/>
      </rPr>
      <t xml:space="preserve">162</t>
    </r>
  </si>
  <si>
    <t xml:space="preserve">송원중학교</t>
  </si>
  <si>
    <t xml:space="preserve">031-252-3545</t>
  </si>
  <si>
    <t xml:space="preserve">http://songwon-m.goesw.kr</t>
  </si>
  <si>
    <r>
      <rPr>
        <sz val="10"/>
        <rFont val="Noto Sans CJK SC"/>
        <family val="2"/>
      </rPr>
      <t xml:space="preserve">경기도 수원시 장안구 송정로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42</t>
    </r>
  </si>
  <si>
    <t xml:space="preserve">숙지중학교</t>
  </si>
  <si>
    <t xml:space="preserve">031-369-5600</t>
  </si>
  <si>
    <t xml:space="preserve">http://sukji-m.goesw.kr</t>
  </si>
  <si>
    <r>
      <rPr>
        <sz val="10"/>
        <rFont val="Noto Sans CJK SC"/>
        <family val="2"/>
      </rPr>
      <t xml:space="preserve">경기도 수원시 팔달구 덕영대로</t>
    </r>
    <r>
      <rPr>
        <sz val="10"/>
        <rFont val="맑은 고딕"/>
        <family val="0"/>
        <charset val="1"/>
      </rPr>
      <t xml:space="preserve">735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23</t>
    </r>
  </si>
  <si>
    <t xml:space="preserve">시흥교육지원청</t>
  </si>
  <si>
    <t xml:space="preserve">생금초등학교</t>
  </si>
  <si>
    <t xml:space="preserve">070-7016-3004</t>
  </si>
  <si>
    <t xml:space="preserve">http://saenggeum-e.goesh.kr</t>
  </si>
  <si>
    <r>
      <rPr>
        <sz val="10"/>
        <rFont val="Noto Sans CJK SC"/>
        <family val="2"/>
      </rPr>
      <t xml:space="preserve">경기도 시흥시 죽율로 </t>
    </r>
    <r>
      <rPr>
        <sz val="10"/>
        <rFont val="맑은 고딕"/>
        <family val="0"/>
        <charset val="1"/>
      </rPr>
      <t xml:space="preserve">45-42</t>
    </r>
  </si>
  <si>
    <t xml:space="preserve">서촌초등학교</t>
  </si>
  <si>
    <t xml:space="preserve">031-433-0032</t>
  </si>
  <si>
    <t xml:space="preserve">http://sechon-e.goesh.kr</t>
  </si>
  <si>
    <r>
      <rPr>
        <sz val="10"/>
        <rFont val="Noto Sans CJK SC"/>
        <family val="2"/>
      </rPr>
      <t xml:space="preserve">경기도 시흥시 정왕대로</t>
    </r>
    <r>
      <rPr>
        <sz val="10"/>
        <rFont val="맑은 고딕"/>
        <family val="0"/>
        <charset val="1"/>
      </rPr>
      <t xml:space="preserve">118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27</t>
    </r>
  </si>
  <si>
    <t xml:space="preserve">시화초등학교</t>
  </si>
  <si>
    <t xml:space="preserve">031-503-0650</t>
  </si>
  <si>
    <t xml:space="preserve">http://sihwa-e.goesh.kr</t>
  </si>
  <si>
    <r>
      <rPr>
        <sz val="10"/>
        <rFont val="Noto Sans CJK SC"/>
        <family val="2"/>
      </rPr>
      <t xml:space="preserve">경기도 시흥시 큰솔로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10</t>
    </r>
  </si>
  <si>
    <t xml:space="preserve">시흥초등학교</t>
  </si>
  <si>
    <t xml:space="preserve">031-504-8500</t>
  </si>
  <si>
    <t xml:space="preserve">http://siheung-e.goesh.kr</t>
  </si>
  <si>
    <r>
      <rPr>
        <sz val="10"/>
        <rFont val="Noto Sans CJK SC"/>
        <family val="2"/>
      </rPr>
      <t xml:space="preserve">경기도 시흥시 정왕대로</t>
    </r>
    <r>
      <rPr>
        <sz val="10"/>
        <rFont val="맑은 고딕"/>
        <family val="0"/>
        <charset val="1"/>
      </rPr>
      <t xml:space="preserve">143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15</t>
    </r>
  </si>
  <si>
    <t xml:space="preserve">서해중학교</t>
  </si>
  <si>
    <t xml:space="preserve">070-7097-1901</t>
  </si>
  <si>
    <t xml:space="preserve">http://seohae-m.goesh.kr</t>
  </si>
  <si>
    <r>
      <rPr>
        <sz val="10"/>
        <rFont val="Noto Sans CJK SC"/>
        <family val="2"/>
      </rPr>
      <t xml:space="preserve">경기도 시흥시 옥구천서로</t>
    </r>
    <r>
      <rPr>
        <sz val="10"/>
        <rFont val="맑은 고딕"/>
        <family val="0"/>
        <charset val="1"/>
      </rPr>
      <t xml:space="preserve">373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18</t>
    </r>
  </si>
  <si>
    <t xml:space="preserve">시흥가온중학교</t>
  </si>
  <si>
    <t xml:space="preserve">031-365-8200</t>
  </si>
  <si>
    <t xml:space="preserve">http://gaon21-m.goesh.kr</t>
  </si>
  <si>
    <r>
      <rPr>
        <sz val="10"/>
        <rFont val="Noto Sans CJK SC"/>
        <family val="2"/>
      </rPr>
      <t xml:space="preserve">경기도 시흥시 장현순환로 </t>
    </r>
    <r>
      <rPr>
        <sz val="10"/>
        <rFont val="맑은 고딕"/>
        <family val="0"/>
        <charset val="1"/>
      </rPr>
      <t xml:space="preserve">100</t>
    </r>
  </si>
  <si>
    <t xml:space="preserve">월곶중학교</t>
  </si>
  <si>
    <t xml:space="preserve">031-503-1700</t>
  </si>
  <si>
    <t xml:space="preserve">http://wolgot-m.goesh.kr</t>
  </si>
  <si>
    <r>
      <rPr>
        <sz val="10"/>
        <rFont val="Noto Sans CJK SC"/>
        <family val="2"/>
      </rPr>
      <t xml:space="preserve">경기도 시흥시 월곶해안로 </t>
    </r>
    <r>
      <rPr>
        <sz val="10"/>
        <rFont val="맑은 고딕"/>
        <family val="0"/>
        <charset val="1"/>
      </rPr>
      <t xml:space="preserve">63</t>
    </r>
  </si>
  <si>
    <t xml:space="preserve">안산교육지원청</t>
  </si>
  <si>
    <t xml:space="preserve">선부초등학교</t>
  </si>
  <si>
    <t xml:space="preserve">031-487-3647</t>
  </si>
  <si>
    <t xml:space="preserve">http://seonbu-e.goeas.kr/seonbu-e/main.do</t>
  </si>
  <si>
    <r>
      <rPr>
        <sz val="10"/>
        <rFont val="Noto Sans CJK SC"/>
        <family val="2"/>
      </rPr>
      <t xml:space="preserve">경기도 안산시 단원구 달미로 </t>
    </r>
    <r>
      <rPr>
        <sz val="10"/>
        <rFont val="맑은 고딕"/>
        <family val="0"/>
        <charset val="1"/>
      </rPr>
      <t xml:space="preserve">24</t>
    </r>
  </si>
  <si>
    <t xml:space="preserve">신길초등학교</t>
  </si>
  <si>
    <t xml:space="preserve">031-496-8090</t>
  </si>
  <si>
    <t xml:space="preserve">http://singil-e.goeas.kr</t>
  </si>
  <si>
    <r>
      <rPr>
        <sz val="10"/>
        <rFont val="Noto Sans CJK SC"/>
        <family val="2"/>
      </rPr>
      <t xml:space="preserve">경기도 안산시 단원구 새뿔길 </t>
    </r>
    <r>
      <rPr>
        <sz val="10"/>
        <rFont val="맑은 고딕"/>
        <family val="0"/>
        <charset val="1"/>
      </rPr>
      <t xml:space="preserve">100</t>
    </r>
  </si>
  <si>
    <t xml:space="preserve">안산서초등학교</t>
  </si>
  <si>
    <t xml:space="preserve">031-487-4550</t>
  </si>
  <si>
    <t xml:space="preserve">http://ansanseo-e.goeas.kr/ansanseo-e/main.do</t>
  </si>
  <si>
    <r>
      <rPr>
        <sz val="10"/>
        <rFont val="Noto Sans CJK SC"/>
        <family val="2"/>
      </rPr>
      <t xml:space="preserve">경기도 안산시 단원구 원선로 </t>
    </r>
    <r>
      <rPr>
        <sz val="10"/>
        <rFont val="맑은 고딕"/>
        <family val="0"/>
        <charset val="1"/>
      </rPr>
      <t xml:space="preserve">67</t>
    </r>
  </si>
  <si>
    <t xml:space="preserve">안산호원초등학교</t>
  </si>
  <si>
    <t xml:space="preserve">031-413-2861</t>
  </si>
  <si>
    <t xml:space="preserve">http://ansanhowon-e.goeas.kr</t>
  </si>
  <si>
    <r>
      <rPr>
        <sz val="10"/>
        <rFont val="Noto Sans CJK SC"/>
        <family val="2"/>
      </rPr>
      <t xml:space="preserve">경기도 안산시 단원구 초지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100</t>
    </r>
  </si>
  <si>
    <t xml:space="preserve">성안중학교</t>
  </si>
  <si>
    <t xml:space="preserve">031-362-4288</t>
  </si>
  <si>
    <t xml:space="preserve">http://seongan-m.goeas.kr</t>
  </si>
  <si>
    <r>
      <rPr>
        <sz val="10"/>
        <rFont val="Noto Sans CJK SC"/>
        <family val="2"/>
      </rPr>
      <t xml:space="preserve">경기도 안산시 상록구 석호로 </t>
    </r>
    <r>
      <rPr>
        <sz val="10"/>
        <rFont val="맑은 고딕"/>
        <family val="0"/>
        <charset val="1"/>
      </rPr>
      <t xml:space="preserve">81</t>
    </r>
  </si>
  <si>
    <t xml:space="preserve">안성교육지원청</t>
  </si>
  <si>
    <t xml:space="preserve">만정초등학교</t>
  </si>
  <si>
    <t xml:space="preserve">031-692-5612</t>
  </si>
  <si>
    <t xml:space="preserve">http://manjeong-e.goean.kr</t>
  </si>
  <si>
    <r>
      <rPr>
        <sz val="10"/>
        <rFont val="Noto Sans CJK SC"/>
        <family val="2"/>
      </rPr>
      <t xml:space="preserve">경기도 안성시 공도읍 송원길 </t>
    </r>
    <r>
      <rPr>
        <sz val="10"/>
        <rFont val="맑은 고딕"/>
        <family val="0"/>
        <charset val="1"/>
      </rPr>
      <t xml:space="preserve">12</t>
    </r>
  </si>
  <si>
    <t xml:space="preserve">안성초등학교</t>
  </si>
  <si>
    <t xml:space="preserve">031-674-5800</t>
  </si>
  <si>
    <t xml:space="preserve">http://anseong-e.goean.kr</t>
  </si>
  <si>
    <r>
      <rPr>
        <sz val="10"/>
        <rFont val="Noto Sans CJK SC"/>
        <family val="2"/>
      </rPr>
      <t xml:space="preserve">경기도 안성시 혜산로 </t>
    </r>
    <r>
      <rPr>
        <sz val="10"/>
        <rFont val="맑은 고딕"/>
        <family val="0"/>
        <charset val="1"/>
      </rPr>
      <t xml:space="preserve">13</t>
    </r>
  </si>
  <si>
    <t xml:space="preserve">공도중학교</t>
  </si>
  <si>
    <t xml:space="preserve">031-612-7270</t>
  </si>
  <si>
    <t xml:space="preserve">http://gongdo-m.goean.kr/gongdo-m/main.do</t>
  </si>
  <si>
    <r>
      <rPr>
        <sz val="10"/>
        <rFont val="Noto Sans CJK SC"/>
        <family val="2"/>
      </rPr>
      <t xml:space="preserve">경기도 안성시 공도읍 공도로 </t>
    </r>
    <r>
      <rPr>
        <sz val="10"/>
        <rFont val="맑은 고딕"/>
        <family val="0"/>
        <charset val="1"/>
      </rPr>
      <t xml:space="preserve">115-12</t>
    </r>
  </si>
  <si>
    <t xml:space="preserve">양진중학교</t>
  </si>
  <si>
    <t xml:space="preserve">031-8046-7703</t>
  </si>
  <si>
    <t xml:space="preserve">http://yangjin-m.goean.kr</t>
  </si>
  <si>
    <r>
      <rPr>
        <sz val="10"/>
        <rFont val="Noto Sans CJK SC"/>
        <family val="2"/>
      </rPr>
      <t xml:space="preserve">경기도 안성시 공도읍 진사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37</t>
    </r>
  </si>
  <si>
    <t xml:space="preserve">안양과천교육지원청</t>
  </si>
  <si>
    <t xml:space="preserve">과천시</t>
  </si>
  <si>
    <t xml:space="preserve">청계초등학교</t>
  </si>
  <si>
    <t xml:space="preserve">02-502-5579</t>
  </si>
  <si>
    <t xml:space="preserve">http://chonggye-e.goeay.kr</t>
  </si>
  <si>
    <r>
      <rPr>
        <sz val="10"/>
        <rFont val="Noto Sans CJK SC"/>
        <family val="2"/>
      </rPr>
      <t xml:space="preserve">경기도 과천시 꿈보람길 </t>
    </r>
    <r>
      <rPr>
        <sz val="10"/>
        <rFont val="맑은 고딕"/>
        <family val="0"/>
        <charset val="1"/>
      </rPr>
      <t xml:space="preserve">34</t>
    </r>
  </si>
  <si>
    <t xml:space="preserve">과천문원중학교</t>
  </si>
  <si>
    <t xml:space="preserve">02-507-4901</t>
  </si>
  <si>
    <t xml:space="preserve">http://gcmunwon-m.goeay.kr</t>
  </si>
  <si>
    <r>
      <rPr>
        <sz val="10"/>
        <rFont val="Noto Sans CJK SC"/>
        <family val="2"/>
      </rPr>
      <t xml:space="preserve">경기도 과천시 코오롱로 </t>
    </r>
    <r>
      <rPr>
        <sz val="10"/>
        <rFont val="맑은 고딕"/>
        <family val="0"/>
        <charset val="1"/>
      </rPr>
      <t xml:space="preserve">57</t>
    </r>
  </si>
  <si>
    <t xml:space="preserve">안양덕현초등학교</t>
  </si>
  <si>
    <t xml:space="preserve">031-456-8091</t>
  </si>
  <si>
    <t xml:space="preserve">http://aydh-e.goeay.kr/aydh-e/main.do</t>
  </si>
  <si>
    <r>
      <rPr>
        <sz val="10"/>
        <rFont val="Noto Sans CJK SC"/>
        <family val="2"/>
      </rPr>
      <t xml:space="preserve">경기도 안양시 동안구 갈산로 </t>
    </r>
    <r>
      <rPr>
        <sz val="10"/>
        <rFont val="맑은 고딕"/>
        <family val="0"/>
        <charset val="1"/>
      </rPr>
      <t xml:space="preserve">34</t>
    </r>
  </si>
  <si>
    <t xml:space="preserve">안양서중학교</t>
  </si>
  <si>
    <t xml:space="preserve">031-447-1147</t>
  </si>
  <si>
    <t xml:space="preserve">http://anyangseo-m.goeay.kr</t>
  </si>
  <si>
    <r>
      <rPr>
        <sz val="10"/>
        <rFont val="Noto Sans CJK SC"/>
        <family val="2"/>
      </rPr>
      <t xml:space="preserve">경기도 안양시 만안구 창박로 </t>
    </r>
    <r>
      <rPr>
        <sz val="10"/>
        <rFont val="맑은 고딕"/>
        <family val="0"/>
        <charset val="1"/>
      </rPr>
      <t xml:space="preserve">26</t>
    </r>
  </si>
  <si>
    <t xml:space="preserve">양평교육지원청</t>
  </si>
  <si>
    <t xml:space="preserve">강하중학교</t>
  </si>
  <si>
    <t xml:space="preserve">031-772-4067</t>
  </si>
  <si>
    <t xml:space="preserve">http://gangha-m.goeyp.kr</t>
  </si>
  <si>
    <r>
      <rPr>
        <sz val="10"/>
        <rFont val="Noto Sans CJK SC"/>
        <family val="2"/>
      </rPr>
      <t xml:space="preserve">경기도 양평군 강하면 왕창부로길 </t>
    </r>
    <r>
      <rPr>
        <sz val="10"/>
        <rFont val="맑은 고딕"/>
        <family val="0"/>
        <charset val="1"/>
      </rPr>
      <t xml:space="preserve">74-3</t>
    </r>
  </si>
  <si>
    <t xml:space="preserve">031-773-3535</t>
  </si>
  <si>
    <t xml:space="preserve">http://ym-m.goeyp.kr</t>
  </si>
  <si>
    <r>
      <rPr>
        <sz val="10"/>
        <rFont val="Noto Sans CJK SC"/>
        <family val="2"/>
      </rPr>
      <t xml:space="preserve">경기도 양평군 용문면 용문로 </t>
    </r>
    <r>
      <rPr>
        <sz val="10"/>
        <rFont val="맑은 고딕"/>
        <family val="0"/>
        <charset val="1"/>
      </rPr>
      <t xml:space="preserve">437</t>
    </r>
  </si>
  <si>
    <t xml:space="preserve">여주교육지원청</t>
  </si>
  <si>
    <t xml:space="preserve">여주시</t>
  </si>
  <si>
    <t xml:space="preserve">오학초등학교</t>
  </si>
  <si>
    <t xml:space="preserve">031-880-2500</t>
  </si>
  <si>
    <t xml:space="preserve">http://ohak-e.goeyj.kr</t>
  </si>
  <si>
    <r>
      <rPr>
        <sz val="10"/>
        <rFont val="Noto Sans CJK SC"/>
        <family val="2"/>
      </rPr>
      <t xml:space="preserve">경기도 여주시 도예로 </t>
    </r>
    <r>
      <rPr>
        <sz val="10"/>
        <rFont val="맑은 고딕"/>
        <family val="0"/>
        <charset val="1"/>
      </rPr>
      <t xml:space="preserve">117</t>
    </r>
  </si>
  <si>
    <t xml:space="preserve">세종중학교</t>
  </si>
  <si>
    <t xml:space="preserve">031-884-6175</t>
  </si>
  <si>
    <t xml:space="preserve">http://yjsejong-m.goeyj.kr</t>
  </si>
  <si>
    <r>
      <rPr>
        <sz val="10"/>
        <rFont val="Noto Sans CJK SC"/>
        <family val="2"/>
      </rPr>
      <t xml:space="preserve">경기도 여주시 세종로 </t>
    </r>
    <r>
      <rPr>
        <sz val="10"/>
        <rFont val="맑은 고딕"/>
        <family val="0"/>
        <charset val="1"/>
      </rPr>
      <t xml:space="preserve">204-17</t>
    </r>
  </si>
  <si>
    <t xml:space="preserve">여강중학교</t>
  </si>
  <si>
    <t xml:space="preserve">031-884-1470</t>
  </si>
  <si>
    <t xml:space="preserve">http://yeogang-m.goeyj.kr</t>
  </si>
  <si>
    <r>
      <rPr>
        <sz val="10"/>
        <rFont val="Noto Sans CJK SC"/>
        <family val="2"/>
      </rPr>
      <t xml:space="preserve">경기도 여주시 북내면 여강로 </t>
    </r>
    <r>
      <rPr>
        <sz val="10"/>
        <rFont val="맑은 고딕"/>
        <family val="0"/>
        <charset val="1"/>
      </rPr>
      <t xml:space="preserve">337-8</t>
    </r>
  </si>
  <si>
    <t xml:space="preserve">흥천중학교</t>
  </si>
  <si>
    <t xml:space="preserve">031-881-2302</t>
  </si>
  <si>
    <t xml:space="preserve">http://heungcheon-m.goeyj.kr/heungcheon-m/main.do</t>
  </si>
  <si>
    <r>
      <rPr>
        <sz val="10"/>
        <rFont val="Noto Sans CJK SC"/>
        <family val="2"/>
      </rPr>
      <t xml:space="preserve">경기도 여주시 흥천면 흥천로 </t>
    </r>
    <r>
      <rPr>
        <sz val="10"/>
        <rFont val="맑은 고딕"/>
        <family val="0"/>
        <charset val="1"/>
      </rPr>
      <t xml:space="preserve">308-27</t>
    </r>
  </si>
  <si>
    <t xml:space="preserve">연천교육지원청</t>
  </si>
  <si>
    <t xml:space="preserve">연천군</t>
  </si>
  <si>
    <t xml:space="preserve">군남초등학교</t>
  </si>
  <si>
    <t xml:space="preserve">031-833-2365</t>
  </si>
  <si>
    <t xml:space="preserve">http://gunnam-em.goeyc.kr/gunnam-em/main.do</t>
  </si>
  <si>
    <r>
      <rPr>
        <sz val="10"/>
        <rFont val="Noto Sans CJK SC"/>
        <family val="2"/>
      </rPr>
      <t xml:space="preserve">경기도 연천군 군남면 진상</t>
    </r>
    <r>
      <rPr>
        <sz val="10"/>
        <rFont val="맑은 고딕"/>
        <family val="0"/>
        <charset val="1"/>
      </rPr>
      <t xml:space="preserve">17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46</t>
    </r>
  </si>
  <si>
    <t xml:space="preserve">연천초등학교</t>
  </si>
  <si>
    <t xml:space="preserve">031-834-1430</t>
  </si>
  <si>
    <t xml:space="preserve">http://yeoncheon-e.goeyc.kr/yeoncheon-e/main.do</t>
  </si>
  <si>
    <r>
      <rPr>
        <sz val="10"/>
        <rFont val="Noto Sans CJK SC"/>
        <family val="2"/>
      </rPr>
      <t xml:space="preserve">경기도 연천군 연천읍 연천로 </t>
    </r>
    <r>
      <rPr>
        <sz val="10"/>
        <rFont val="맑은 고딕"/>
        <family val="0"/>
        <charset val="1"/>
      </rPr>
      <t xml:space="preserve">228</t>
    </r>
  </si>
  <si>
    <t xml:space="preserve">전곡초등학교</t>
  </si>
  <si>
    <t xml:space="preserve">031-832-2081</t>
  </si>
  <si>
    <t xml:space="preserve">http://jeongok-e.goeyc.kr/jeongok-e/main.do</t>
  </si>
  <si>
    <r>
      <rPr>
        <sz val="10"/>
        <rFont val="Noto Sans CJK SC"/>
        <family val="2"/>
      </rPr>
      <t xml:space="preserve">경기도 연천군 전곡읍 선사로 </t>
    </r>
    <r>
      <rPr>
        <sz val="10"/>
        <rFont val="맑은 고딕"/>
        <family val="0"/>
        <charset val="1"/>
      </rPr>
      <t xml:space="preserve">433</t>
    </r>
  </si>
  <si>
    <t xml:space="preserve">군남중학교</t>
  </si>
  <si>
    <t xml:space="preserve">031-833-8260</t>
  </si>
  <si>
    <t xml:space="preserve">용인교육지원청</t>
  </si>
  <si>
    <t xml:space="preserve">갈곡초등학교</t>
  </si>
  <si>
    <t xml:space="preserve">031-285-2459</t>
  </si>
  <si>
    <t xml:space="preserve">http://galgok-e.goeyi.kr/galgok-e/main.do</t>
  </si>
  <si>
    <r>
      <rPr>
        <sz val="10"/>
        <rFont val="Noto Sans CJK SC"/>
        <family val="2"/>
      </rPr>
      <t xml:space="preserve">경기도 용인시 기흥구 강남동로 </t>
    </r>
    <r>
      <rPr>
        <sz val="10"/>
        <rFont val="맑은 고딕"/>
        <family val="0"/>
        <charset val="1"/>
      </rPr>
      <t xml:space="preserve">61</t>
    </r>
  </si>
  <si>
    <t xml:space="preserve">매봉초등학교</t>
  </si>
  <si>
    <t xml:space="preserve">031-265-9403</t>
  </si>
  <si>
    <t xml:space="preserve">http://www.goeyi.kr/yimb-e/main.do</t>
  </si>
  <si>
    <r>
      <rPr>
        <sz val="10"/>
        <rFont val="Noto Sans CJK SC"/>
        <family val="2"/>
      </rPr>
      <t xml:space="preserve">경기도 용인시 수지구 수지로 </t>
    </r>
    <r>
      <rPr>
        <sz val="10"/>
        <rFont val="맑은 고딕"/>
        <family val="0"/>
        <charset val="1"/>
      </rPr>
      <t xml:space="preserve">75-1</t>
    </r>
  </si>
  <si>
    <t xml:space="preserve">서원초등학교</t>
  </si>
  <si>
    <t xml:space="preserve">031-266-2292</t>
  </si>
  <si>
    <t xml:space="preserve">http://seowon-e.goeyi.kr</t>
  </si>
  <si>
    <r>
      <rPr>
        <sz val="10"/>
        <rFont val="Noto Sans CJK SC"/>
        <family val="2"/>
      </rPr>
      <t xml:space="preserve">경기도 용인시 수지구 상현로 </t>
    </r>
    <r>
      <rPr>
        <sz val="10"/>
        <rFont val="맑은 고딕"/>
        <family val="0"/>
        <charset val="1"/>
      </rPr>
      <t xml:space="preserve">45</t>
    </r>
  </si>
  <si>
    <t xml:space="preserve">용인둔전초등학교</t>
  </si>
  <si>
    <t xml:space="preserve">031-323-3591</t>
  </si>
  <si>
    <t xml:space="preserve">http://dunjeon-e.goeyi.kr</t>
  </si>
  <si>
    <r>
      <rPr>
        <sz val="10"/>
        <rFont val="Noto Sans CJK SC"/>
        <family val="2"/>
      </rPr>
      <t xml:space="preserve">경기도 용인시 처인구 포곡읍 포곡로</t>
    </r>
    <r>
      <rPr>
        <sz val="10"/>
        <rFont val="맑은 고딕"/>
        <family val="0"/>
        <charset val="1"/>
      </rPr>
      <t xml:space="preserve">118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61</t>
    </r>
  </si>
  <si>
    <t xml:space="preserve">용천초등학교</t>
  </si>
  <si>
    <t xml:space="preserve">031-333-7004</t>
  </si>
  <si>
    <t xml:space="preserve">http://yong1000-e.goeyi.kr</t>
  </si>
  <si>
    <r>
      <rPr>
        <sz val="10"/>
        <rFont val="Noto Sans CJK SC"/>
        <family val="2"/>
      </rPr>
      <t xml:space="preserve">경기도 용인시 처인구 이동면 백옥대로 </t>
    </r>
    <r>
      <rPr>
        <sz val="10"/>
        <rFont val="맑은 고딕"/>
        <family val="0"/>
        <charset val="1"/>
      </rPr>
      <t xml:space="preserve">612</t>
    </r>
  </si>
  <si>
    <t xml:space="preserve">성지중학교</t>
  </si>
  <si>
    <t xml:space="preserve">031-547-5600</t>
  </si>
  <si>
    <t xml:space="preserve">http://yiseongji-m.goeyi.kr</t>
  </si>
  <si>
    <r>
      <rPr>
        <sz val="10"/>
        <rFont val="Noto Sans CJK SC"/>
        <family val="2"/>
      </rPr>
      <t xml:space="preserve">경기도 용인시 기흥구 강남서로 </t>
    </r>
    <r>
      <rPr>
        <sz val="10"/>
        <rFont val="맑은 고딕"/>
        <family val="0"/>
        <charset val="1"/>
      </rPr>
      <t xml:space="preserve">26</t>
    </r>
  </si>
  <si>
    <t xml:space="preserve">언동중학교</t>
  </si>
  <si>
    <t xml:space="preserve">031-283-9027</t>
  </si>
  <si>
    <t xml:space="preserve">http://eondong-m.goeyi.kr</t>
  </si>
  <si>
    <r>
      <rPr>
        <sz val="10"/>
        <rFont val="Noto Sans CJK SC"/>
        <family val="2"/>
      </rPr>
      <t xml:space="preserve">경기도 용인시 기흥구 언남로 </t>
    </r>
    <r>
      <rPr>
        <sz val="10"/>
        <rFont val="맑은 고딕"/>
        <family val="0"/>
        <charset val="1"/>
      </rPr>
      <t xml:space="preserve">41</t>
    </r>
  </si>
  <si>
    <t xml:space="preserve">용인대덕중학교</t>
  </si>
  <si>
    <t xml:space="preserve">031-896-3832</t>
  </si>
  <si>
    <t xml:space="preserve">http://yongindaedeok-m.goeyi.kr</t>
  </si>
  <si>
    <r>
      <rPr>
        <sz val="10"/>
        <rFont val="Noto Sans CJK SC"/>
        <family val="2"/>
      </rPr>
      <t xml:space="preserve">경기도 용인시 수지구 죽전로</t>
    </r>
    <r>
      <rPr>
        <sz val="10"/>
        <rFont val="맑은 고딕"/>
        <family val="0"/>
        <charset val="1"/>
      </rPr>
      <t xml:space="preserve">293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12</t>
    </r>
  </si>
  <si>
    <t xml:space="preserve">용인신촌중학교</t>
  </si>
  <si>
    <t xml:space="preserve">031-8025-4890</t>
  </si>
  <si>
    <t xml:space="preserve">http://yshinchon-m.goeyi.kr</t>
  </si>
  <si>
    <r>
      <rPr>
        <sz val="10"/>
        <rFont val="Noto Sans CJK SC"/>
        <family val="2"/>
      </rPr>
      <t xml:space="preserve">경기도 용인시 기흥구 보정로 </t>
    </r>
    <r>
      <rPr>
        <sz val="10"/>
        <rFont val="맑은 고딕"/>
        <family val="0"/>
        <charset val="1"/>
      </rPr>
      <t xml:space="preserve">71</t>
    </r>
  </si>
  <si>
    <t xml:space="preserve">이현중학교</t>
  </si>
  <si>
    <t xml:space="preserve">031-266-8032</t>
  </si>
  <si>
    <t xml:space="preserve">http://www.goeyi.kr/e-hyun-m/main.do</t>
  </si>
  <si>
    <r>
      <rPr>
        <sz val="10"/>
        <rFont val="Noto Sans CJK SC"/>
        <family val="2"/>
      </rPr>
      <t xml:space="preserve">경기도 용인시 수지구 진산로</t>
    </r>
    <r>
      <rPr>
        <sz val="10"/>
        <rFont val="맑은 고딕"/>
        <family val="0"/>
        <charset val="1"/>
      </rPr>
      <t xml:space="preserve">34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39</t>
    </r>
  </si>
  <si>
    <t xml:space="preserve">의정부교육지원청</t>
  </si>
  <si>
    <t xml:space="preserve">고산초등학교</t>
  </si>
  <si>
    <t xml:space="preserve">031-870-9800</t>
  </si>
  <si>
    <t xml:space="preserve">http://kosan-e.goeujb.kr</t>
  </si>
  <si>
    <r>
      <rPr>
        <sz val="10"/>
        <rFont val="Noto Sans CJK SC"/>
        <family val="2"/>
      </rPr>
      <t xml:space="preserve">경기도 의정부시 문화로 </t>
    </r>
    <r>
      <rPr>
        <sz val="10"/>
        <rFont val="맑은 고딕"/>
        <family val="0"/>
        <charset val="1"/>
      </rPr>
      <t xml:space="preserve">41</t>
    </r>
  </si>
  <si>
    <t xml:space="preserve">버들개초등학교</t>
  </si>
  <si>
    <t xml:space="preserve">031-878-3421</t>
  </si>
  <si>
    <t xml:space="preserve">http://beodeulgae-e.goeujb.kr</t>
  </si>
  <si>
    <r>
      <rPr>
        <sz val="10"/>
        <rFont val="Noto Sans CJK SC"/>
        <family val="2"/>
      </rPr>
      <t xml:space="preserve">경기도 의정부시 체육로 </t>
    </r>
    <r>
      <rPr>
        <sz val="10"/>
        <rFont val="맑은 고딕"/>
        <family val="0"/>
        <charset val="1"/>
      </rPr>
      <t xml:space="preserve">201</t>
    </r>
  </si>
  <si>
    <t xml:space="preserve">신동초등학교</t>
  </si>
  <si>
    <t xml:space="preserve">031-840-4360</t>
  </si>
  <si>
    <t xml:space="preserve">http://sindong-e.goeujb.kr</t>
  </si>
  <si>
    <r>
      <rPr>
        <sz val="10"/>
        <rFont val="Noto Sans CJK SC"/>
        <family val="2"/>
      </rPr>
      <t xml:space="preserve">경기도 의정부시 시민로</t>
    </r>
    <r>
      <rPr>
        <sz val="10"/>
        <rFont val="맑은 고딕"/>
        <family val="0"/>
        <charset val="1"/>
      </rPr>
      <t xml:space="preserve">179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42</t>
    </r>
  </si>
  <si>
    <t xml:space="preserve">의정부청룡초등학교</t>
  </si>
  <si>
    <t xml:space="preserve">031-826-6012</t>
  </si>
  <si>
    <t xml:space="preserve">http://ujbcheongryong-e.goeujb.kr</t>
  </si>
  <si>
    <r>
      <rPr>
        <sz val="10"/>
        <rFont val="Noto Sans CJK SC"/>
        <family val="2"/>
      </rPr>
      <t xml:space="preserve">경기도 의정부시 장곡로</t>
    </r>
    <r>
      <rPr>
        <sz val="10"/>
        <rFont val="맑은 고딕"/>
        <family val="0"/>
        <charset val="1"/>
      </rPr>
      <t xml:space="preserve">322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21</t>
    </r>
  </si>
  <si>
    <t xml:space="preserve">의정부여자중학교</t>
  </si>
  <si>
    <t xml:space="preserve">031-873-8612</t>
  </si>
  <si>
    <t xml:space="preserve">http://ujbg-m.goeujb.kr</t>
  </si>
  <si>
    <r>
      <rPr>
        <sz val="10"/>
        <rFont val="Noto Sans CJK SC"/>
        <family val="2"/>
      </rPr>
      <t xml:space="preserve">경기도 의정부시 신흥로</t>
    </r>
    <r>
      <rPr>
        <sz val="10"/>
        <rFont val="맑은 고딕"/>
        <family val="0"/>
        <charset val="1"/>
      </rPr>
      <t xml:space="preserve">365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40</t>
    </r>
  </si>
  <si>
    <t xml:space="preserve">이천교육지원청</t>
  </si>
  <si>
    <t xml:space="preserve">도암초등학교</t>
  </si>
  <si>
    <t xml:space="preserve">031-632-7016</t>
  </si>
  <si>
    <t xml:space="preserve">http://doam.goeic.kr</t>
  </si>
  <si>
    <r>
      <rPr>
        <sz val="10"/>
        <rFont val="Noto Sans CJK SC"/>
        <family val="2"/>
      </rPr>
      <t xml:space="preserve">경기도 이천시 신둔면 증신로 </t>
    </r>
    <r>
      <rPr>
        <sz val="10"/>
        <rFont val="맑은 고딕"/>
        <family val="0"/>
        <charset val="1"/>
      </rPr>
      <t xml:space="preserve">550</t>
    </r>
  </si>
  <si>
    <t xml:space="preserve">마장초등학교</t>
  </si>
  <si>
    <t xml:space="preserve">031-633-2565</t>
  </si>
  <si>
    <t xml:space="preserve">http://majang.goeic.kr</t>
  </si>
  <si>
    <r>
      <rPr>
        <sz val="10"/>
        <rFont val="Noto Sans CJK SC"/>
        <family val="2"/>
      </rPr>
      <t xml:space="preserve">경기도 이천시 마장면 중앙로 </t>
    </r>
    <r>
      <rPr>
        <sz val="10"/>
        <rFont val="맑은 고딕"/>
        <family val="0"/>
        <charset val="1"/>
      </rPr>
      <t xml:space="preserve">25</t>
    </r>
  </si>
  <si>
    <t xml:space="preserve">이천가산초등학교</t>
  </si>
  <si>
    <t xml:space="preserve">031-636-5045</t>
  </si>
  <si>
    <t xml:space="preserve">http://icks.goeic.kr</t>
  </si>
  <si>
    <r>
      <rPr>
        <sz val="10"/>
        <rFont val="Noto Sans CJK SC"/>
        <family val="2"/>
      </rPr>
      <t xml:space="preserve">경기도 이천시 부발읍 황무로</t>
    </r>
    <r>
      <rPr>
        <sz val="10"/>
        <rFont val="맑은 고딕"/>
        <family val="0"/>
        <charset val="1"/>
      </rPr>
      <t xml:space="preserve">2065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112</t>
    </r>
  </si>
  <si>
    <t xml:space="preserve">대월중학교</t>
  </si>
  <si>
    <t xml:space="preserve">031-632-1006</t>
  </si>
  <si>
    <t xml:space="preserve">http://daewolms.goeic.kr</t>
  </si>
  <si>
    <r>
      <rPr>
        <sz val="10"/>
        <rFont val="Noto Sans CJK SC"/>
        <family val="2"/>
      </rPr>
      <t xml:space="preserve">경기도 이천시 대월면 대평로</t>
    </r>
    <r>
      <rPr>
        <sz val="10"/>
        <rFont val="맑은 고딕"/>
        <family val="0"/>
        <charset val="1"/>
      </rPr>
      <t xml:space="preserve">150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20</t>
    </r>
  </si>
  <si>
    <t xml:space="preserve">부발중학교</t>
  </si>
  <si>
    <t xml:space="preserve">031-631-9352</t>
  </si>
  <si>
    <t xml:space="preserve">http://bubal.ms.kr</t>
  </si>
  <si>
    <r>
      <rPr>
        <sz val="10"/>
        <rFont val="Noto Sans CJK SC"/>
        <family val="2"/>
      </rPr>
      <t xml:space="preserve">경기도 이천시 부발읍 죽당로 </t>
    </r>
    <r>
      <rPr>
        <sz val="10"/>
        <rFont val="맑은 고딕"/>
        <family val="0"/>
        <charset val="1"/>
      </rPr>
      <t xml:space="preserve">21</t>
    </r>
  </si>
  <si>
    <t xml:space="preserve">파주교육지원청</t>
  </si>
  <si>
    <t xml:space="preserve">다율초등학교</t>
  </si>
  <si>
    <t xml:space="preserve">031-550-0900</t>
  </si>
  <si>
    <t xml:space="preserve">http://dayul-e.goepj.kr/dayul-e/main.do</t>
  </si>
  <si>
    <r>
      <rPr>
        <sz val="10"/>
        <rFont val="Noto Sans CJK SC"/>
        <family val="2"/>
      </rPr>
      <t xml:space="preserve">경기도 파주시 다율로 </t>
    </r>
    <r>
      <rPr>
        <sz val="10"/>
        <rFont val="맑은 고딕"/>
        <family val="0"/>
        <charset val="1"/>
      </rPr>
      <t xml:space="preserve">30</t>
    </r>
  </si>
  <si>
    <t xml:space="preserve">새금초등학교</t>
  </si>
  <si>
    <t xml:space="preserve">031-8071-9505</t>
  </si>
  <si>
    <t xml:space="preserve">http://saegeum-e.goepj.kr/saegeum-e/main.do</t>
  </si>
  <si>
    <r>
      <rPr>
        <sz val="10"/>
        <rFont val="Noto Sans CJK SC"/>
        <family val="2"/>
      </rPr>
      <t xml:space="preserve">경기도 파주시 후곡로 </t>
    </r>
    <r>
      <rPr>
        <sz val="10"/>
        <rFont val="맑은 고딕"/>
        <family val="0"/>
        <charset val="1"/>
      </rPr>
      <t xml:space="preserve">104</t>
    </r>
  </si>
  <si>
    <t xml:space="preserve">자유초등학교</t>
  </si>
  <si>
    <t xml:space="preserve">031-954-3812</t>
  </si>
  <si>
    <t xml:space="preserve">http://jayu-e.goepj.kr/jayu-e/main.do</t>
  </si>
  <si>
    <r>
      <rPr>
        <sz val="10"/>
        <rFont val="Noto Sans CJK SC"/>
        <family val="2"/>
      </rPr>
      <t xml:space="preserve">경기도 파주시 문산읍 방촌로 </t>
    </r>
    <r>
      <rPr>
        <sz val="10"/>
        <rFont val="맑은 고딕"/>
        <family val="0"/>
        <charset val="1"/>
      </rPr>
      <t xml:space="preserve">1722</t>
    </r>
  </si>
  <si>
    <t xml:space="preserve">금릉중학교</t>
  </si>
  <si>
    <t xml:space="preserve">031-950-0327</t>
  </si>
  <si>
    <t xml:space="preserve">http://www.goepj.kr/gumrung-m/main.do</t>
  </si>
  <si>
    <r>
      <rPr>
        <sz val="10"/>
        <rFont val="Noto Sans CJK SC"/>
        <family val="2"/>
      </rPr>
      <t xml:space="preserve">경기도 파주시 후곡로 </t>
    </r>
    <r>
      <rPr>
        <sz val="10"/>
        <rFont val="맑은 고딕"/>
        <family val="0"/>
        <charset val="1"/>
      </rPr>
      <t xml:space="preserve">66</t>
    </r>
  </si>
  <si>
    <t xml:space="preserve">동패중학교</t>
  </si>
  <si>
    <t xml:space="preserve">031-8071-8175</t>
  </si>
  <si>
    <t xml:space="preserve">http://dongpae-m.goepj.kr</t>
  </si>
  <si>
    <r>
      <rPr>
        <sz val="10"/>
        <rFont val="Noto Sans CJK SC"/>
        <family val="2"/>
      </rPr>
      <t xml:space="preserve">경기도 파주시 교하로 </t>
    </r>
    <r>
      <rPr>
        <sz val="10"/>
        <rFont val="맑은 고딕"/>
        <family val="0"/>
        <charset val="1"/>
      </rPr>
      <t xml:space="preserve">381</t>
    </r>
  </si>
  <si>
    <t xml:space="preserve">산내중학교</t>
  </si>
  <si>
    <t xml:space="preserve">031-961-1605</t>
  </si>
  <si>
    <t xml:space="preserve">http://pjsn-m.goepj.kr</t>
  </si>
  <si>
    <r>
      <rPr>
        <sz val="10"/>
        <rFont val="Noto Sans CJK SC"/>
        <family val="2"/>
      </rPr>
      <t xml:space="preserve">경기도 파주시 산내로 </t>
    </r>
    <r>
      <rPr>
        <sz val="10"/>
        <rFont val="맑은 고딕"/>
        <family val="0"/>
        <charset val="1"/>
      </rPr>
      <t xml:space="preserve">15</t>
    </r>
  </si>
  <si>
    <t xml:space="preserve">평택교육지원청</t>
  </si>
  <si>
    <t xml:space="preserve">계성초등학교</t>
  </si>
  <si>
    <t xml:space="preserve">031-692-0150</t>
  </si>
  <si>
    <t xml:space="preserve">http://pt-kyesung-e.goept.kr</t>
  </si>
  <si>
    <r>
      <rPr>
        <sz val="10"/>
        <rFont val="Noto Sans CJK SC"/>
        <family val="2"/>
      </rPr>
      <t xml:space="preserve">경기도 평택시 팽성읍 계성새싹길 </t>
    </r>
    <r>
      <rPr>
        <sz val="10"/>
        <rFont val="맑은 고딕"/>
        <family val="0"/>
        <charset val="1"/>
      </rPr>
      <t xml:space="preserve">85</t>
    </r>
  </si>
  <si>
    <t xml:space="preserve">세아초등학교</t>
  </si>
  <si>
    <t xml:space="preserve">031-650-2100</t>
  </si>
  <si>
    <t xml:space="preserve">http://se-a-e.goept.kr/se-a-e/main.do</t>
  </si>
  <si>
    <r>
      <rPr>
        <sz val="10"/>
        <rFont val="Noto Sans CJK SC"/>
        <family val="2"/>
      </rPr>
      <t xml:space="preserve">경기도 평택시 세교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50</t>
    </r>
  </si>
  <si>
    <t xml:space="preserve">안중초등학교</t>
  </si>
  <si>
    <t xml:space="preserve">031-681-7882</t>
  </si>
  <si>
    <t xml:space="preserve">http://anjoong-e.goept.kr</t>
  </si>
  <si>
    <r>
      <rPr>
        <sz val="10"/>
        <rFont val="Noto Sans CJK SC"/>
        <family val="2"/>
      </rPr>
      <t xml:space="preserve">경기도 평택시 안중읍 안중로 </t>
    </r>
    <r>
      <rPr>
        <sz val="10"/>
        <rFont val="맑은 고딕"/>
        <family val="0"/>
        <charset val="1"/>
      </rPr>
      <t xml:space="preserve">89</t>
    </r>
  </si>
  <si>
    <t xml:space="preserve">평택송화초등학교</t>
  </si>
  <si>
    <t xml:space="preserve">031-658-1454</t>
  </si>
  <si>
    <t xml:space="preserve">http://ptsonghwa-e.goept.kr</t>
  </si>
  <si>
    <r>
      <rPr>
        <sz val="10"/>
        <rFont val="Noto Sans CJK SC"/>
        <family val="2"/>
      </rPr>
      <t xml:space="preserve">경기도 평택시 팽성읍 송화택지로</t>
    </r>
    <r>
      <rPr>
        <sz val="10"/>
        <rFont val="맑은 고딕"/>
        <family val="0"/>
        <charset val="1"/>
      </rPr>
      <t xml:space="preserve">25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14</t>
    </r>
  </si>
  <si>
    <t xml:space="preserve">평택영신초등학교</t>
  </si>
  <si>
    <t xml:space="preserve">031-647-6214</t>
  </si>
  <si>
    <t xml:space="preserve">http://ptyoungshin-e.goept.kr</t>
  </si>
  <si>
    <r>
      <rPr>
        <sz val="10"/>
        <rFont val="Noto Sans CJK SC"/>
        <family val="2"/>
      </rPr>
      <t xml:space="preserve">경기도 평택시 지제동삭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123</t>
    </r>
  </si>
  <si>
    <t xml:space="preserve">평택청아초등학교</t>
  </si>
  <si>
    <t xml:space="preserve">031-5182-0900</t>
  </si>
  <si>
    <t xml:space="preserve">http://ptcheonga-e.goept.kr</t>
  </si>
  <si>
    <r>
      <rPr>
        <sz val="10"/>
        <rFont val="Noto Sans CJK SC"/>
        <family val="2"/>
      </rPr>
      <t xml:space="preserve">경기도 평택시 청북읍 안청로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26</t>
    </r>
  </si>
  <si>
    <t xml:space="preserve">장당중학교</t>
  </si>
  <si>
    <t xml:space="preserve">031-615-3500</t>
  </si>
  <si>
    <t xml:space="preserve">http://jangdang-m.goept.kr</t>
  </si>
  <si>
    <r>
      <rPr>
        <sz val="10"/>
        <rFont val="Noto Sans CJK SC"/>
        <family val="2"/>
      </rPr>
      <t xml:space="preserve">경기도 평택시 장당길 </t>
    </r>
    <r>
      <rPr>
        <sz val="10"/>
        <rFont val="맑은 고딕"/>
        <family val="0"/>
        <charset val="1"/>
      </rPr>
      <t xml:space="preserve">40</t>
    </r>
  </si>
  <si>
    <t xml:space="preserve">포천교육지원청</t>
  </si>
  <si>
    <t xml:space="preserve">송우초등학교</t>
  </si>
  <si>
    <t xml:space="preserve">031-542-1584</t>
  </si>
  <si>
    <t xml:space="preserve">http://posongwoo-e.goepc.kr/posongwoo-e/main.do</t>
  </si>
  <si>
    <r>
      <rPr>
        <sz val="10"/>
        <rFont val="Noto Sans CJK SC"/>
        <family val="2"/>
      </rPr>
      <t xml:space="preserve">경기도 포천시 소흘읍 송우로 </t>
    </r>
    <r>
      <rPr>
        <sz val="10"/>
        <rFont val="맑은 고딕"/>
        <family val="0"/>
        <charset val="1"/>
      </rPr>
      <t xml:space="preserve">42</t>
    </r>
  </si>
  <si>
    <t xml:space="preserve">이동초등학교</t>
  </si>
  <si>
    <t xml:space="preserve">031-532-4281</t>
  </si>
  <si>
    <t xml:space="preserve">http://idong-e.goepc.kr/idong-e/main.do</t>
  </si>
  <si>
    <r>
      <rPr>
        <sz val="10"/>
        <rFont val="Noto Sans CJK SC"/>
        <family val="2"/>
      </rPr>
      <t xml:space="preserve">경기도 포천시 이동면 화동로 </t>
    </r>
    <r>
      <rPr>
        <sz val="10"/>
        <rFont val="맑은 고딕"/>
        <family val="0"/>
        <charset val="1"/>
      </rPr>
      <t xml:space="preserve">2034</t>
    </r>
  </si>
  <si>
    <t xml:space="preserve">축석초등학교</t>
  </si>
  <si>
    <t xml:space="preserve">031-542-1341</t>
  </si>
  <si>
    <t xml:space="preserve">http://chukseok-e.goepc.kr</t>
  </si>
  <si>
    <r>
      <rPr>
        <sz val="10"/>
        <rFont val="Noto Sans CJK SC"/>
        <family val="2"/>
      </rPr>
      <t xml:space="preserve">경기도 포천시 소흘읍 무란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25</t>
    </r>
  </si>
  <si>
    <t xml:space="preserve">태봉초등학교</t>
  </si>
  <si>
    <t xml:space="preserve">031-869-2801</t>
  </si>
  <si>
    <t xml:space="preserve">http://tb-e.goepc.kr</t>
  </si>
  <si>
    <r>
      <rPr>
        <sz val="10"/>
        <rFont val="Noto Sans CJK SC"/>
        <family val="2"/>
      </rPr>
      <t xml:space="preserve">경기도 포천시 소흘읍 송선로 </t>
    </r>
    <r>
      <rPr>
        <sz val="10"/>
        <rFont val="맑은 고딕"/>
        <family val="0"/>
        <charset val="1"/>
      </rPr>
      <t xml:space="preserve">8</t>
    </r>
  </si>
  <si>
    <t xml:space="preserve">화성오산교육지원청</t>
  </si>
  <si>
    <t xml:space="preserve">매홀초등학교</t>
  </si>
  <si>
    <t xml:space="preserve">031-374-0251</t>
  </si>
  <si>
    <t xml:space="preserve">http://maehol-e.goehs.kr/maehol-e/main.do</t>
  </si>
  <si>
    <r>
      <rPr>
        <sz val="10"/>
        <rFont val="Noto Sans CJK SC"/>
        <family val="2"/>
      </rPr>
      <t xml:space="preserve">경기도 오산시 청학로</t>
    </r>
    <r>
      <rPr>
        <sz val="10"/>
        <rFont val="맑은 고딕"/>
        <family val="0"/>
        <charset val="1"/>
      </rPr>
      <t xml:space="preserve">147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10</t>
    </r>
  </si>
  <si>
    <t xml:space="preserve">오산중학교</t>
  </si>
  <si>
    <t xml:space="preserve">031-371-9000</t>
  </si>
  <si>
    <t xml:space="preserve">http://osan-m.goehs.kr</t>
  </si>
  <si>
    <r>
      <rPr>
        <sz val="10"/>
        <rFont val="Noto Sans CJK SC"/>
        <family val="2"/>
      </rPr>
      <t xml:space="preserve">경기도 오산시 청학로 </t>
    </r>
    <r>
      <rPr>
        <sz val="10"/>
        <rFont val="맑은 고딕"/>
        <family val="0"/>
        <charset val="1"/>
      </rPr>
      <t xml:space="preserve">43</t>
    </r>
  </si>
  <si>
    <t xml:space="preserve">늘봄초등학교</t>
  </si>
  <si>
    <t xml:space="preserve">031-8055-0276</t>
  </si>
  <si>
    <t xml:space="preserve">http://neulbom-e.goehs.kr</t>
  </si>
  <si>
    <r>
      <rPr>
        <sz val="10"/>
        <rFont val="Noto Sans CJK SC"/>
        <family val="2"/>
      </rPr>
      <t xml:space="preserve">경기도 화성시 동탄대로</t>
    </r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51</t>
    </r>
  </si>
  <si>
    <t xml:space="preserve">방교초등학교</t>
  </si>
  <si>
    <t xml:space="preserve">031-378-5670</t>
  </si>
  <si>
    <t xml:space="preserve">http://banggyo-e.goehs.kr</t>
  </si>
  <si>
    <r>
      <rPr>
        <sz val="10"/>
        <rFont val="Noto Sans CJK SC"/>
        <family val="2"/>
      </rPr>
      <t xml:space="preserve">경기도 화성시 동탄산척로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</t>
    </r>
  </si>
  <si>
    <t xml:space="preserve">이솔초등학교</t>
  </si>
  <si>
    <t xml:space="preserve">031-371-0400</t>
  </si>
  <si>
    <t xml:space="preserve">http://esol-e.goehs.kr</t>
  </si>
  <si>
    <r>
      <rPr>
        <sz val="10"/>
        <rFont val="Noto Sans CJK SC"/>
        <family val="2"/>
      </rPr>
      <t xml:space="preserve">경기도 화성시 동탄순환대로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26</t>
    </r>
  </si>
  <si>
    <t xml:space="preserve">정림초등학교</t>
  </si>
  <si>
    <t xml:space="preserve">031-352-2176</t>
  </si>
  <si>
    <t xml:space="preserve">http://junglim-e.goehs.kr</t>
  </si>
  <si>
    <r>
      <rPr>
        <sz val="10"/>
        <rFont val="Noto Sans CJK SC"/>
        <family val="2"/>
      </rPr>
      <t xml:space="preserve">경기도 화성시 효행구 정남면 망월길 </t>
    </r>
    <r>
      <rPr>
        <sz val="10"/>
        <rFont val="맑은 고딕"/>
        <family val="0"/>
        <charset val="1"/>
      </rPr>
      <t xml:space="preserve">69</t>
    </r>
  </si>
  <si>
    <t xml:space="preserve">태안초등학교</t>
  </si>
  <si>
    <t xml:space="preserve">031-223-2384</t>
  </si>
  <si>
    <t xml:space="preserve">http://taean-hs-e.goehs.kr</t>
  </si>
  <si>
    <r>
      <rPr>
        <sz val="10"/>
        <rFont val="Noto Sans CJK SC"/>
        <family val="2"/>
      </rPr>
      <t xml:space="preserve">경기도 화성시 병점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77</t>
    </r>
  </si>
  <si>
    <t xml:space="preserve">행정초등학교</t>
  </si>
  <si>
    <t xml:space="preserve">031-8059-0151</t>
  </si>
  <si>
    <t xml:space="preserve">http://hj2008-e.goehs.kr</t>
  </si>
  <si>
    <r>
      <rPr>
        <sz val="10"/>
        <rFont val="Noto Sans CJK SC"/>
        <family val="2"/>
      </rPr>
      <t xml:space="preserve">경기도 화성시 만세구 향남읍 행정중앙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77</t>
    </r>
  </si>
  <si>
    <t xml:space="preserve">화원초등학교</t>
  </si>
  <si>
    <t xml:space="preserve">031-8055-8471</t>
  </si>
  <si>
    <t xml:space="preserve">http://hshwawon-e.goehs.kr</t>
  </si>
  <si>
    <r>
      <rPr>
        <sz val="10"/>
        <rFont val="Noto Sans CJK SC"/>
        <family val="2"/>
      </rPr>
      <t xml:space="preserve">경기도 화성시 향남읍 하길로 </t>
    </r>
    <r>
      <rPr>
        <sz val="10"/>
        <rFont val="맑은 고딕"/>
        <family val="0"/>
        <charset val="1"/>
      </rPr>
      <t xml:space="preserve">59</t>
    </r>
  </si>
  <si>
    <t xml:space="preserve">기안중학교</t>
  </si>
  <si>
    <t xml:space="preserve">031-290-1898</t>
  </si>
  <si>
    <t xml:space="preserve">http://kian-m.goehs.kr</t>
  </si>
  <si>
    <r>
      <rPr>
        <sz val="10"/>
        <rFont val="Noto Sans CJK SC"/>
        <family val="2"/>
      </rPr>
      <t xml:space="preserve">경기도 화성시 효행로</t>
    </r>
    <r>
      <rPr>
        <sz val="10"/>
        <rFont val="맑은 고딕"/>
        <family val="0"/>
        <charset val="1"/>
      </rPr>
      <t xml:space="preserve">291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29</t>
    </r>
  </si>
  <si>
    <t xml:space="preserve">능동중학교</t>
  </si>
  <si>
    <t xml:space="preserve">031-8003-7842</t>
  </si>
  <si>
    <t xml:space="preserve">http://neungdong-m.goehs.kr</t>
  </si>
  <si>
    <r>
      <rPr>
        <sz val="10"/>
        <rFont val="Noto Sans CJK SC"/>
        <family val="2"/>
      </rPr>
      <t xml:space="preserve">경기도 화성시 동탄원천로 </t>
    </r>
    <r>
      <rPr>
        <sz val="10"/>
        <rFont val="맑은 고딕"/>
        <family val="0"/>
        <charset val="1"/>
      </rPr>
      <t xml:space="preserve">289-17</t>
    </r>
  </si>
  <si>
    <t xml:space="preserve">방교중학교</t>
  </si>
  <si>
    <t xml:space="preserve">031-369-9300</t>
  </si>
  <si>
    <t xml:space="preserve">http://banggyo-m.goehs.kr</t>
  </si>
  <si>
    <r>
      <rPr>
        <sz val="10"/>
        <rFont val="Noto Sans CJK SC"/>
        <family val="2"/>
      </rPr>
      <t xml:space="preserve">경기도 화성시 동탄산척로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23</t>
    </r>
  </si>
  <si>
    <t xml:space="preserve">괴산증평교육지원청</t>
  </si>
  <si>
    <t xml:space="preserve">증평군</t>
  </si>
  <si>
    <t xml:space="preserve">도안초등학교</t>
  </si>
  <si>
    <t xml:space="preserve">043-836-8015</t>
  </si>
  <si>
    <t xml:space="preserve">http://school.cbe.go.kr/doan-e/M01</t>
  </si>
  <si>
    <r>
      <rPr>
        <sz val="10"/>
        <rFont val="Noto Sans CJK SC"/>
        <family val="2"/>
      </rPr>
      <t xml:space="preserve">충청북도 증평군 도안면 화성로 </t>
    </r>
    <r>
      <rPr>
        <sz val="10"/>
        <rFont val="맑은 고딕"/>
        <family val="0"/>
        <charset val="1"/>
      </rPr>
      <t xml:space="preserve">101</t>
    </r>
  </si>
  <si>
    <t xml:space="preserve">죽리초등학교</t>
  </si>
  <si>
    <t xml:space="preserve">043-838-8891</t>
  </si>
  <si>
    <t xml:space="preserve">http://school.cbe.go.kr/jukri-e/M01</t>
  </si>
  <si>
    <r>
      <rPr>
        <sz val="10"/>
        <rFont val="Noto Sans CJK SC"/>
        <family val="2"/>
      </rPr>
      <t xml:space="preserve">충청북도 증평군 증평읍 남하길 </t>
    </r>
    <r>
      <rPr>
        <sz val="10"/>
        <rFont val="맑은 고딕"/>
        <family val="0"/>
        <charset val="1"/>
      </rPr>
      <t xml:space="preserve">233</t>
    </r>
  </si>
  <si>
    <t xml:space="preserve">음성군</t>
  </si>
  <si>
    <t xml:space="preserve">음성고등학교</t>
  </si>
  <si>
    <t xml:space="preserve">043-871-7740</t>
  </si>
  <si>
    <t xml:space="preserve">http://school.cbe.go.kr/eumseong-h/M01</t>
  </si>
  <si>
    <r>
      <rPr>
        <sz val="10"/>
        <rFont val="Noto Sans CJK SC"/>
        <family val="2"/>
      </rPr>
      <t xml:space="preserve">충청북도 음성군 음성읍 중앙로 </t>
    </r>
    <r>
      <rPr>
        <sz val="10"/>
        <rFont val="맑은 고딕"/>
        <family val="0"/>
        <charset val="1"/>
      </rPr>
      <t xml:space="preserve">109-16</t>
    </r>
  </si>
  <si>
    <t xml:space="preserve">진천군</t>
  </si>
  <si>
    <t xml:space="preserve">진천고등학교</t>
  </si>
  <si>
    <t xml:space="preserve">043-530-3600</t>
  </si>
  <si>
    <t xml:space="preserve">http://school.cbe.go.kr/jcg-h</t>
  </si>
  <si>
    <r>
      <rPr>
        <sz val="10"/>
        <rFont val="Noto Sans CJK SC"/>
        <family val="2"/>
      </rPr>
      <t xml:space="preserve">충청북도 진천군 진천읍 문화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48</t>
    </r>
  </si>
  <si>
    <t xml:space="preserve">청주시</t>
  </si>
  <si>
    <t xml:space="preserve">금천고등학교</t>
  </si>
  <si>
    <t xml:space="preserve">043-286-4012</t>
  </si>
  <si>
    <t xml:space="preserve">http://school.cbe.go.kr/kch-h</t>
  </si>
  <si>
    <r>
      <rPr>
        <sz val="10"/>
        <rFont val="Noto Sans CJK SC"/>
        <family val="2"/>
      </rPr>
      <t xml:space="preserve">충청북도 청주시 상당구 호미로</t>
    </r>
    <r>
      <rPr>
        <sz val="10"/>
        <rFont val="맑은 고딕"/>
        <family val="0"/>
        <charset val="1"/>
      </rPr>
      <t xml:space="preserve">233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65</t>
    </r>
  </si>
  <si>
    <t xml:space="preserve">봉명고등학교</t>
  </si>
  <si>
    <t xml:space="preserve">043-299-0100</t>
  </si>
  <si>
    <t xml:space="preserve">http://school.cbe.go.kr/cbm-h/M01</t>
  </si>
  <si>
    <r>
      <rPr>
        <sz val="10"/>
        <rFont val="Noto Sans CJK SC"/>
        <family val="2"/>
      </rPr>
      <t xml:space="preserve">충청북도 청주시 흥덕구 월명로</t>
    </r>
    <r>
      <rPr>
        <sz val="10"/>
        <rFont val="맑은 고딕"/>
        <family val="0"/>
        <charset val="1"/>
      </rPr>
      <t xml:space="preserve">220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19</t>
    </r>
  </si>
  <si>
    <t xml:space="preserve">산남고등학교</t>
  </si>
  <si>
    <t xml:space="preserve">043-715-6300</t>
  </si>
  <si>
    <t xml:space="preserve">http://school.cbe.go.kr/sannam-h</t>
  </si>
  <si>
    <r>
      <rPr>
        <sz val="10"/>
        <rFont val="Noto Sans CJK SC"/>
        <family val="2"/>
      </rPr>
      <t xml:space="preserve">충청북도 청주시 서원구 두꺼비로 </t>
    </r>
    <r>
      <rPr>
        <sz val="10"/>
        <rFont val="맑은 고딕"/>
        <family val="0"/>
        <charset val="1"/>
      </rPr>
      <t xml:space="preserve">7</t>
    </r>
  </si>
  <si>
    <t xml:space="preserve">오송고등학교</t>
  </si>
  <si>
    <t xml:space="preserve">043-238-8902</t>
  </si>
  <si>
    <t xml:space="preserve">http://school.cbe.go.kr/os-h</t>
  </si>
  <si>
    <r>
      <rPr>
        <sz val="10"/>
        <rFont val="Noto Sans CJK SC"/>
        <family val="2"/>
      </rPr>
      <t xml:space="preserve">충청북도 청주시 흥덕구 오송읍 오송생명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95</t>
    </r>
  </si>
  <si>
    <t xml:space="preserve">운호고등학교</t>
  </si>
  <si>
    <t xml:space="preserve">043-287-7912</t>
  </si>
  <si>
    <t xml:space="preserve">http://school.cbe.go.kr/unho-h</t>
  </si>
  <si>
    <r>
      <rPr>
        <sz val="10"/>
        <rFont val="Noto Sans CJK SC"/>
        <family val="2"/>
      </rPr>
      <t xml:space="preserve">충청북도 청주시 서원구 무심서로 </t>
    </r>
    <r>
      <rPr>
        <sz val="10"/>
        <rFont val="맑은 고딕"/>
        <family val="0"/>
        <charset val="1"/>
      </rPr>
      <t xml:space="preserve">375</t>
    </r>
  </si>
  <si>
    <t xml:space="preserve">주성고등학교</t>
  </si>
  <si>
    <t xml:space="preserve">043-240-5201</t>
  </si>
  <si>
    <t xml:space="preserve">http://school.cbe.go.kr/juseong-h</t>
  </si>
  <si>
    <r>
      <rPr>
        <sz val="10"/>
        <rFont val="Noto Sans CJK SC"/>
        <family val="2"/>
      </rPr>
      <t xml:space="preserve">충청북도 청주시 상당구 호미로 </t>
    </r>
    <r>
      <rPr>
        <sz val="10"/>
        <rFont val="맑은 고딕"/>
        <family val="0"/>
        <charset val="1"/>
      </rPr>
      <t xml:space="preserve">310</t>
    </r>
  </si>
  <si>
    <t xml:space="preserve">청주신흥고등학교</t>
  </si>
  <si>
    <t xml:space="preserve">043-211-8802</t>
  </si>
  <si>
    <t xml:space="preserve">http://shinheung.sc.kr</t>
  </si>
  <si>
    <r>
      <rPr>
        <sz val="10"/>
        <rFont val="Noto Sans CJK SC"/>
        <family val="2"/>
      </rPr>
      <t xml:space="preserve">충청북도 청주시 청원구 율봉로 </t>
    </r>
    <r>
      <rPr>
        <sz val="10"/>
        <rFont val="맑은 고딕"/>
        <family val="0"/>
        <charset val="1"/>
      </rPr>
      <t xml:space="preserve">229</t>
    </r>
  </si>
  <si>
    <t xml:space="preserve">흥덕고등학교</t>
  </si>
  <si>
    <t xml:space="preserve">043-236-9063</t>
  </si>
  <si>
    <t xml:space="preserve">http://school.cbe.go.kr/hds-h</t>
  </si>
  <si>
    <r>
      <rPr>
        <sz val="10"/>
        <rFont val="Noto Sans CJK SC"/>
        <family val="2"/>
      </rPr>
      <t xml:space="preserve">충청북도 청주시 흥덕구 증안로 </t>
    </r>
    <r>
      <rPr>
        <sz val="10"/>
        <rFont val="맑은 고딕"/>
        <family val="0"/>
        <charset val="1"/>
      </rPr>
      <t xml:space="preserve">9</t>
    </r>
  </si>
  <si>
    <t xml:space="preserve">충주시</t>
  </si>
  <si>
    <t xml:space="preserve">충주중산고등학교</t>
  </si>
  <si>
    <t xml:space="preserve">043-851-2783</t>
  </si>
  <si>
    <t xml:space="preserve">http://www.joongsan.hs.kr</t>
  </si>
  <si>
    <r>
      <rPr>
        <sz val="10"/>
        <rFont val="Noto Sans CJK SC"/>
        <family val="2"/>
      </rPr>
      <t xml:space="preserve">충청북도 충주시 방아길 </t>
    </r>
    <r>
      <rPr>
        <sz val="10"/>
        <rFont val="맑은 고딕"/>
        <family val="0"/>
        <charset val="1"/>
      </rPr>
      <t xml:space="preserve">20</t>
    </r>
  </si>
  <si>
    <t xml:space="preserve">충주성심학교</t>
  </si>
  <si>
    <t xml:space="preserve">043-847-3230</t>
  </si>
  <si>
    <t xml:space="preserve">http://school.cbe.go.kr/sungsim-s</t>
  </si>
  <si>
    <r>
      <rPr>
        <sz val="10"/>
        <rFont val="Noto Sans CJK SC"/>
        <family val="2"/>
      </rPr>
      <t xml:space="preserve">충청북도 충주시 봉현로 </t>
    </r>
    <r>
      <rPr>
        <sz val="10"/>
        <rFont val="맑은 고딕"/>
        <family val="0"/>
        <charset val="1"/>
      </rPr>
      <t xml:space="preserve">261</t>
    </r>
  </si>
  <si>
    <t xml:space="preserve">충주혜성학교</t>
  </si>
  <si>
    <t xml:space="preserve">043-870-4701</t>
  </si>
  <si>
    <t xml:space="preserve">http://school.cbe.go.kr/cjhs-s</t>
  </si>
  <si>
    <r>
      <rPr>
        <sz val="10"/>
        <rFont val="Noto Sans CJK SC"/>
        <family val="2"/>
      </rPr>
      <t xml:space="preserve">충청북도 충주시 노은면 감노로 </t>
    </r>
    <r>
      <rPr>
        <sz val="10"/>
        <rFont val="맑은 고딕"/>
        <family val="0"/>
        <charset val="1"/>
      </rPr>
      <t xml:space="preserve">1057</t>
    </r>
  </si>
  <si>
    <t xml:space="preserve">단양교육지원청</t>
  </si>
  <si>
    <t xml:space="preserve">단양군</t>
  </si>
  <si>
    <t xml:space="preserve">상진초등학교</t>
  </si>
  <si>
    <t xml:space="preserve">043-421-5301</t>
  </si>
  <si>
    <t xml:space="preserve">http://school.cbe.go.kr/sangjincho-e</t>
  </si>
  <si>
    <r>
      <rPr>
        <sz val="10"/>
        <rFont val="Noto Sans CJK SC"/>
        <family val="2"/>
      </rPr>
      <t xml:space="preserve">충청북도 단양군 단양읍 상진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17</t>
    </r>
  </si>
  <si>
    <t xml:space="preserve">보은교육지원청</t>
  </si>
  <si>
    <t xml:space="preserve">보은군</t>
  </si>
  <si>
    <t xml:space="preserve">세중초등학교</t>
  </si>
  <si>
    <t xml:space="preserve">043-542-3600</t>
  </si>
  <si>
    <t xml:space="preserve">http://school.cbe.go.kr/sejung-e</t>
  </si>
  <si>
    <r>
      <rPr>
        <sz val="10"/>
        <rFont val="Noto Sans CJK SC"/>
        <family val="2"/>
      </rPr>
      <t xml:space="preserve">충청북도 보은군 마로면 세중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</t>
    </r>
  </si>
  <si>
    <t xml:space="preserve">영동교육지원청</t>
  </si>
  <si>
    <t xml:space="preserve">영동군</t>
  </si>
  <si>
    <t xml:space="preserve">황간초등학교</t>
  </si>
  <si>
    <t xml:space="preserve">043-742-4088</t>
  </si>
  <si>
    <t xml:space="preserve">http://school.cbe.go.kr/hwanggan-e</t>
  </si>
  <si>
    <r>
      <rPr>
        <sz val="10"/>
        <rFont val="Noto Sans CJK SC"/>
        <family val="2"/>
      </rPr>
      <t xml:space="preserve">충청북도 영동군 황간면 남성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25</t>
    </r>
  </si>
  <si>
    <t xml:space="preserve">제천교육지원청</t>
  </si>
  <si>
    <t xml:space="preserve">제천시</t>
  </si>
  <si>
    <t xml:space="preserve">왕미초등학교</t>
  </si>
  <si>
    <t xml:space="preserve">043-653-4206</t>
  </si>
  <si>
    <t xml:space="preserve">http://school.cbe.go.kr/wangmi-e/M01</t>
  </si>
  <si>
    <r>
      <rPr>
        <sz val="10"/>
        <rFont val="Noto Sans CJK SC"/>
        <family val="2"/>
      </rPr>
      <t xml:space="preserve">충청북도 제천시 봉양읍 용두대로 </t>
    </r>
    <r>
      <rPr>
        <sz val="10"/>
        <rFont val="맑은 고딕"/>
        <family val="0"/>
        <charset val="1"/>
      </rPr>
      <t xml:space="preserve">575</t>
    </r>
  </si>
  <si>
    <t xml:space="preserve">대제중학교</t>
  </si>
  <si>
    <t xml:space="preserve">043-643-7282</t>
  </si>
  <si>
    <t xml:space="preserve">http://school.cbe.go.kr/daeje-m</t>
  </si>
  <si>
    <r>
      <rPr>
        <sz val="10"/>
        <rFont val="Noto Sans CJK SC"/>
        <family val="2"/>
      </rPr>
      <t xml:space="preserve">충청북도 제천시 청전대로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29</t>
    </r>
  </si>
  <si>
    <t xml:space="preserve">진천교육지원청</t>
  </si>
  <si>
    <t xml:space="preserve">금구초등학교</t>
  </si>
  <si>
    <t xml:space="preserve">043-536-7794</t>
  </si>
  <si>
    <t xml:space="preserve">http://school.cbe.go.kr/kumgu-e</t>
  </si>
  <si>
    <r>
      <rPr>
        <sz val="10"/>
        <rFont val="Noto Sans CJK SC"/>
        <family val="2"/>
      </rPr>
      <t xml:space="preserve">충청북도 진천군 이월면 진광로 </t>
    </r>
    <r>
      <rPr>
        <sz val="10"/>
        <rFont val="맑은 고딕"/>
        <family val="0"/>
        <charset val="1"/>
      </rPr>
      <t xml:space="preserve">972-12</t>
    </r>
  </si>
  <si>
    <t xml:space="preserve">성암초등학교</t>
  </si>
  <si>
    <t xml:space="preserve">043-532-9190</t>
  </si>
  <si>
    <t xml:space="preserve">http://school.cbe.go.kr/sungam-e</t>
  </si>
  <si>
    <r>
      <rPr>
        <sz val="10"/>
        <rFont val="Noto Sans CJK SC"/>
        <family val="2"/>
      </rPr>
      <t xml:space="preserve">충청북도 진천군 진천읍 금사로 </t>
    </r>
    <r>
      <rPr>
        <sz val="10"/>
        <rFont val="맑은 고딕"/>
        <family val="0"/>
        <charset val="1"/>
      </rPr>
      <t xml:space="preserve">359</t>
    </r>
  </si>
  <si>
    <t xml:space="preserve">진천상신초등학교</t>
  </si>
  <si>
    <t xml:space="preserve">043-536-7795</t>
  </si>
  <si>
    <t xml:space="preserve">http://school.cbe.go.kr/jcsangsin-e</t>
  </si>
  <si>
    <r>
      <rPr>
        <sz val="10"/>
        <rFont val="Noto Sans CJK SC"/>
        <family val="2"/>
      </rPr>
      <t xml:space="preserve">충청북도 진천군 덕산읍 대월로 </t>
    </r>
    <r>
      <rPr>
        <sz val="10"/>
        <rFont val="맑은 고딕"/>
        <family val="0"/>
        <charset val="1"/>
      </rPr>
      <t xml:space="preserve">107</t>
    </r>
  </si>
  <si>
    <t xml:space="preserve">초평초등학교</t>
  </si>
  <si>
    <t xml:space="preserve">043-532-6290</t>
  </si>
  <si>
    <t xml:space="preserve">http://school.cbe.go.kr/chopyong-e</t>
  </si>
  <si>
    <r>
      <rPr>
        <sz val="10"/>
        <rFont val="Noto Sans CJK SC"/>
        <family val="2"/>
      </rPr>
      <t xml:space="preserve">충청북도 진천군 초평면 초동로 </t>
    </r>
    <r>
      <rPr>
        <sz val="10"/>
        <rFont val="맑은 고딕"/>
        <family val="0"/>
        <charset val="1"/>
      </rPr>
      <t xml:space="preserve">143</t>
    </r>
  </si>
  <si>
    <t xml:space="preserve">서전중학교</t>
  </si>
  <si>
    <t xml:space="preserve">043-537-8229</t>
  </si>
  <si>
    <t xml:space="preserve">http://school.cbe.go.kr/seojeon-m</t>
  </si>
  <si>
    <r>
      <rPr>
        <sz val="10"/>
        <rFont val="Noto Sans CJK SC"/>
        <family val="2"/>
      </rPr>
      <t xml:space="preserve">충청북도 진천군 덕산읍 예지로 </t>
    </r>
    <r>
      <rPr>
        <sz val="10"/>
        <rFont val="맑은 고딕"/>
        <family val="0"/>
        <charset val="1"/>
      </rPr>
      <t xml:space="preserve">42</t>
    </r>
  </si>
  <si>
    <t xml:space="preserve">청주교육지원청</t>
  </si>
  <si>
    <t xml:space="preserve">경산초등학교</t>
  </si>
  <si>
    <t xml:space="preserve">043-233-3293</t>
  </si>
  <si>
    <t xml:space="preserve">http://school.cbe.go.kr/kyongsan-e</t>
  </si>
  <si>
    <r>
      <rPr>
        <sz val="10"/>
        <rFont val="Noto Sans CJK SC"/>
        <family val="2"/>
      </rPr>
      <t xml:space="preserve">충청북도 청주시 흥덕구 경산로 </t>
    </r>
    <r>
      <rPr>
        <sz val="10"/>
        <rFont val="맑은 고딕"/>
        <family val="0"/>
        <charset val="1"/>
      </rPr>
      <t xml:space="preserve">82-12</t>
    </r>
  </si>
  <si>
    <t xml:space="preserve">교동초등학교</t>
  </si>
  <si>
    <t xml:space="preserve">043-293-3105</t>
  </si>
  <si>
    <t xml:space="preserve">http://school.cbe.go.kr/gyodong-e/M01</t>
  </si>
  <si>
    <r>
      <rPr>
        <sz val="10"/>
        <rFont val="Noto Sans CJK SC"/>
        <family val="2"/>
      </rPr>
      <t xml:space="preserve">충청북도 청주시 상당구 용암로 </t>
    </r>
    <r>
      <rPr>
        <sz val="10"/>
        <rFont val="맑은 고딕"/>
        <family val="0"/>
        <charset val="1"/>
      </rPr>
      <t xml:space="preserve">6</t>
    </r>
  </si>
  <si>
    <t xml:space="preserve">덕성초등학교</t>
  </si>
  <si>
    <t xml:space="preserve">043-211-2891</t>
  </si>
  <si>
    <t xml:space="preserve">http://school.cbe.go.kr/deokseong-e</t>
  </si>
  <si>
    <r>
      <rPr>
        <sz val="10"/>
        <rFont val="Noto Sans CJK SC"/>
        <family val="2"/>
      </rPr>
      <t xml:space="preserve">충청북도 청주시 청원구 공항로 </t>
    </r>
    <r>
      <rPr>
        <sz val="10"/>
        <rFont val="맑은 고딕"/>
        <family val="0"/>
        <charset val="1"/>
      </rPr>
      <t xml:space="preserve">113</t>
    </r>
  </si>
  <si>
    <t xml:space="preserve">사직초등학교</t>
  </si>
  <si>
    <t xml:space="preserve">043-265-7382</t>
  </si>
  <si>
    <t xml:space="preserve">http://school.cbe.go.kr/sajig-e</t>
  </si>
  <si>
    <r>
      <rPr>
        <sz val="10"/>
        <rFont val="Noto Sans CJK SC"/>
        <family val="2"/>
      </rPr>
      <t xml:space="preserve">충청북도 청주시 서원구 남사로 </t>
    </r>
    <r>
      <rPr>
        <sz val="10"/>
        <rFont val="맑은 고딕"/>
        <family val="0"/>
        <charset val="1"/>
      </rPr>
      <t xml:space="preserve">25</t>
    </r>
  </si>
  <si>
    <t xml:space="preserve">사천초등학교</t>
  </si>
  <si>
    <t xml:space="preserve">043-212-1642</t>
  </si>
  <si>
    <t xml:space="preserve">http://school.cbe.go.kr/cbsachon-e</t>
  </si>
  <si>
    <r>
      <rPr>
        <sz val="10"/>
        <rFont val="Noto Sans CJK SC"/>
        <family val="2"/>
      </rPr>
      <t xml:space="preserve">충청북도 청주시 청원구 주성로 </t>
    </r>
    <r>
      <rPr>
        <sz val="10"/>
        <rFont val="맑은 고딕"/>
        <family val="0"/>
        <charset val="1"/>
      </rPr>
      <t xml:space="preserve">121</t>
    </r>
  </si>
  <si>
    <t xml:space="preserve">산남초등학교</t>
  </si>
  <si>
    <t xml:space="preserve">043-285-2562</t>
  </si>
  <si>
    <t xml:space="preserve">http://school.cbe.go.kr/sn-e</t>
  </si>
  <si>
    <r>
      <rPr>
        <sz val="10"/>
        <rFont val="Noto Sans CJK SC"/>
        <family val="2"/>
      </rPr>
      <t xml:space="preserve">충청북도 청주시 서원구 산남로 </t>
    </r>
    <r>
      <rPr>
        <sz val="10"/>
        <rFont val="맑은 고딕"/>
        <family val="0"/>
        <charset val="1"/>
      </rPr>
      <t xml:space="preserve">102</t>
    </r>
  </si>
  <si>
    <t xml:space="preserve">오송솔미초등학교</t>
  </si>
  <si>
    <t xml:space="preserve">043-231-7921</t>
  </si>
  <si>
    <t xml:space="preserve">http://school.cbe.go.kr/osongsolmi-e</t>
  </si>
  <si>
    <r>
      <rPr>
        <sz val="10"/>
        <rFont val="Noto Sans CJK SC"/>
        <family val="2"/>
      </rPr>
      <t xml:space="preserve">충청북도 청주시 흥덕구 오송읍 오송생명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83</t>
    </r>
  </si>
  <si>
    <t xml:space="preserve">오송초등학교</t>
  </si>
  <si>
    <t xml:space="preserve">043-239-6801</t>
  </si>
  <si>
    <t xml:space="preserve">http://school.cbe.go.kr/osong-e</t>
  </si>
  <si>
    <r>
      <rPr>
        <sz val="10"/>
        <rFont val="Noto Sans CJK SC"/>
        <family val="2"/>
      </rPr>
      <t xml:space="preserve">충청북도 청주시 흥덕구 오송읍 오송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26</t>
    </r>
  </si>
  <si>
    <t xml:space="preserve">청주중학교</t>
  </si>
  <si>
    <t xml:space="preserve">043-710-7800</t>
  </si>
  <si>
    <t xml:space="preserve">http://school.cbe.go.kr/cms-m</t>
  </si>
  <si>
    <r>
      <rPr>
        <sz val="10"/>
        <rFont val="Noto Sans CJK SC"/>
        <family val="2"/>
      </rPr>
      <t xml:space="preserve">충청북도 청주시 상당구 사직대로</t>
    </r>
    <r>
      <rPr>
        <sz val="10"/>
        <rFont val="맑은 고딕"/>
        <family val="0"/>
        <charset val="1"/>
      </rPr>
      <t xml:space="preserve">361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125</t>
    </r>
  </si>
  <si>
    <t xml:space="preserve">충주교육지원청</t>
  </si>
  <si>
    <t xml:space="preserve">주덕화곡초등학교</t>
  </si>
  <si>
    <t xml:space="preserve">043-724-0352</t>
  </si>
  <si>
    <t xml:space="preserve">http://school.cbe.go.kr/judeokhwagok-e/M01</t>
  </si>
  <si>
    <r>
      <rPr>
        <sz val="10"/>
        <rFont val="Noto Sans CJK SC"/>
        <family val="2"/>
      </rPr>
      <t xml:space="preserve">충청북도 충주시 주덕읍 화개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63</t>
    </r>
  </si>
  <si>
    <t xml:space="preserve">충주남산초등학교</t>
  </si>
  <si>
    <t xml:space="preserve">043-847-2834</t>
  </si>
  <si>
    <t xml:space="preserve">http://school.cbe.go.kr/cjnamsan-e</t>
  </si>
  <si>
    <r>
      <rPr>
        <sz val="10"/>
        <rFont val="Noto Sans CJK SC"/>
        <family val="2"/>
      </rPr>
      <t xml:space="preserve">충청북도 충주시 거룡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31</t>
    </r>
  </si>
  <si>
    <t xml:space="preserve">충주성남초등학교</t>
  </si>
  <si>
    <t xml:space="preserve">043-848-0043</t>
  </si>
  <si>
    <t xml:space="preserve">http://school.cbe.go.kr/cjsungnam-e</t>
  </si>
  <si>
    <r>
      <rPr>
        <sz val="10"/>
        <rFont val="Noto Sans CJK SC"/>
        <family val="2"/>
      </rPr>
      <t xml:space="preserve">충청북도 충주시 염밭로 </t>
    </r>
    <r>
      <rPr>
        <sz val="10"/>
        <rFont val="맑은 고딕"/>
        <family val="0"/>
        <charset val="1"/>
      </rPr>
      <t xml:space="preserve">101</t>
    </r>
  </si>
  <si>
    <t xml:space="preserve">충주용산초등학교</t>
  </si>
  <si>
    <t xml:space="preserve">043-847-1550</t>
  </si>
  <si>
    <t xml:space="preserve">http://school.cbe.go.kr/cjyongsan-e</t>
  </si>
  <si>
    <r>
      <rPr>
        <sz val="10"/>
        <rFont val="Noto Sans CJK SC"/>
        <family val="2"/>
      </rPr>
      <t xml:space="preserve">충청북도 충주시 남산로 </t>
    </r>
    <r>
      <rPr>
        <sz val="10"/>
        <rFont val="맑은 고딕"/>
        <family val="0"/>
        <charset val="1"/>
      </rPr>
      <t xml:space="preserve">109</t>
    </r>
  </si>
  <si>
    <t xml:space="preserve">신명중학교</t>
  </si>
  <si>
    <t xml:space="preserve">043-852-1524</t>
  </si>
  <si>
    <t xml:space="preserve">http://shinmyong.ms.kr</t>
  </si>
  <si>
    <r>
      <rPr>
        <sz val="10"/>
        <rFont val="Noto Sans CJK SC"/>
        <family val="2"/>
      </rPr>
      <t xml:space="preserve">충청북도 충주시 엄정면 동막강현길 </t>
    </r>
    <r>
      <rPr>
        <sz val="10"/>
        <rFont val="맑은 고딕"/>
        <family val="0"/>
        <charset val="1"/>
      </rPr>
      <t xml:space="preserve">377</t>
    </r>
  </si>
  <si>
    <t xml:space="preserve">충주미덕중학교</t>
  </si>
  <si>
    <t xml:space="preserve">043-848-1925</t>
  </si>
  <si>
    <t xml:space="preserve">http://school.cbe.go.kr/meeduck-m</t>
  </si>
  <si>
    <t xml:space="preserve">고창교육지원청</t>
  </si>
  <si>
    <t xml:space="preserve">고창군</t>
  </si>
  <si>
    <t xml:space="preserve">063-562-4167</t>
  </si>
  <si>
    <t xml:space="preserve">http://school.jbedu.kr/jb-gapyeong</t>
  </si>
  <si>
    <r>
      <rPr>
        <sz val="10"/>
        <rFont val="Noto Sans CJK SC"/>
        <family val="2"/>
      </rPr>
      <t xml:space="preserve">전북특별자치도 고창군 신림면 가평로 </t>
    </r>
    <r>
      <rPr>
        <sz val="10"/>
        <rFont val="맑은 고딕"/>
        <family val="0"/>
        <charset val="1"/>
      </rPr>
      <t xml:space="preserve">472</t>
    </r>
  </si>
  <si>
    <t xml:space="preserve">고수초등학교</t>
  </si>
  <si>
    <t xml:space="preserve">063-562-0005</t>
  </si>
  <si>
    <t xml:space="preserve">http://www.gosu.es.kr</t>
  </si>
  <si>
    <r>
      <rPr>
        <sz val="10"/>
        <rFont val="Noto Sans CJK SC"/>
        <family val="2"/>
      </rPr>
      <t xml:space="preserve">전북특별자치도 고창군 고수면 고수로 </t>
    </r>
    <r>
      <rPr>
        <sz val="10"/>
        <rFont val="맑은 고딕"/>
        <family val="0"/>
        <charset val="1"/>
      </rPr>
      <t xml:space="preserve">93</t>
    </r>
  </si>
  <si>
    <t xml:space="preserve">고창초등학교</t>
  </si>
  <si>
    <t xml:space="preserve">063-560-1703</t>
  </si>
  <si>
    <t xml:space="preserve">http://www.jb-gochang.es.kr</t>
  </si>
  <si>
    <r>
      <rPr>
        <sz val="10"/>
        <rFont val="Noto Sans CJK SC"/>
        <family val="2"/>
      </rPr>
      <t xml:space="preserve">전북특별자치도 고창군 고창읍 중앙로 </t>
    </r>
    <r>
      <rPr>
        <sz val="10"/>
        <rFont val="맑은 고딕"/>
        <family val="0"/>
        <charset val="1"/>
      </rPr>
      <t xml:space="preserve">259</t>
    </r>
  </si>
  <si>
    <t xml:space="preserve">고창남중학교</t>
  </si>
  <si>
    <t xml:space="preserve">063-563-1944</t>
  </si>
  <si>
    <t xml:space="preserve">http://www.gochangnam.ms.kr</t>
  </si>
  <si>
    <r>
      <rPr>
        <sz val="10"/>
        <rFont val="Noto Sans CJK SC"/>
        <family val="2"/>
      </rPr>
      <t xml:space="preserve">전북특별자치도 고창군 성송면 대성로 </t>
    </r>
    <r>
      <rPr>
        <sz val="10"/>
        <rFont val="맑은 고딕"/>
        <family val="0"/>
        <charset val="1"/>
      </rPr>
      <t xml:space="preserve">877</t>
    </r>
  </si>
  <si>
    <t xml:space="preserve">영선중학교</t>
  </si>
  <si>
    <t xml:space="preserve">063-562-9704</t>
  </si>
  <si>
    <t xml:space="preserve">http://www.ysite.ms.kr</t>
  </si>
  <si>
    <r>
      <rPr>
        <sz val="10"/>
        <rFont val="Noto Sans CJK SC"/>
        <family val="2"/>
      </rPr>
      <t xml:space="preserve">전북특별자치도 고창군 무장면 왕제산로 </t>
    </r>
    <r>
      <rPr>
        <sz val="10"/>
        <rFont val="맑은 고딕"/>
        <family val="0"/>
        <charset val="1"/>
      </rPr>
      <t xml:space="preserve">713</t>
    </r>
  </si>
  <si>
    <t xml:space="preserve">전북인공지능고등학교</t>
  </si>
  <si>
    <t xml:space="preserve">063-562-9703</t>
  </si>
  <si>
    <t xml:space="preserve">http://school.jbedu.kr/jbaihs</t>
  </si>
  <si>
    <t xml:space="preserve">군산시</t>
  </si>
  <si>
    <t xml:space="preserve">군산명화학교</t>
  </si>
  <si>
    <t xml:space="preserve">063-462-2159</t>
  </si>
  <si>
    <t xml:space="preserve">http://myounghwa.sc.kr</t>
  </si>
  <si>
    <r>
      <rPr>
        <sz val="10"/>
        <rFont val="Noto Sans CJK SC"/>
        <family val="2"/>
      </rPr>
      <t xml:space="preserve">전북특별자치도 군산시 상나운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37</t>
    </r>
  </si>
  <si>
    <t xml:space="preserve">남원시</t>
  </si>
  <si>
    <t xml:space="preserve">남원서진고등학교</t>
  </si>
  <si>
    <t xml:space="preserve">063-631-1333</t>
  </si>
  <si>
    <t xml:space="preserve">http://seojin.hs.kr</t>
  </si>
  <si>
    <r>
      <rPr>
        <sz val="10"/>
        <rFont val="Noto Sans CJK SC"/>
        <family val="2"/>
      </rPr>
      <t xml:space="preserve">전북특별자치도 남원시 낙현길 </t>
    </r>
    <r>
      <rPr>
        <sz val="10"/>
        <rFont val="맑은 고딕"/>
        <family val="0"/>
        <charset val="1"/>
      </rPr>
      <t xml:space="preserve">17-14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</si>
  <si>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남원서진여자고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현 교명</t>
    </r>
  </si>
  <si>
    <t xml:space="preserve">성원고등학교</t>
  </si>
  <si>
    <t xml:space="preserve">063-633-8581</t>
  </si>
  <si>
    <t xml:space="preserve">http://www.seongwon.hs.kr</t>
  </si>
  <si>
    <r>
      <rPr>
        <sz val="10"/>
        <rFont val="Noto Sans CJK SC"/>
        <family val="2"/>
      </rPr>
      <t xml:space="preserve">전북특별자치도 남원시 대복사길 </t>
    </r>
    <r>
      <rPr>
        <sz val="10"/>
        <rFont val="맑은 고딕"/>
        <family val="0"/>
        <charset val="1"/>
      </rPr>
      <t xml:space="preserve">41</t>
    </r>
  </si>
  <si>
    <t xml:space="preserve">완주군</t>
  </si>
  <si>
    <t xml:space="preserve">한국게임과학고등학교</t>
  </si>
  <si>
    <t xml:space="preserve">063-261-0700</t>
  </si>
  <si>
    <t xml:space="preserve">http://school.jbedu.kr/game</t>
  </si>
  <si>
    <r>
      <rPr>
        <sz val="10"/>
        <rFont val="Noto Sans CJK SC"/>
        <family val="2"/>
      </rPr>
      <t xml:space="preserve">전북특별자치도 완주군 운주면 대둔산로 </t>
    </r>
    <r>
      <rPr>
        <sz val="10"/>
        <rFont val="맑은 고딕"/>
        <family val="0"/>
        <charset val="1"/>
      </rPr>
      <t xml:space="preserve">1336</t>
    </r>
  </si>
  <si>
    <t xml:space="preserve">익산시</t>
  </si>
  <si>
    <t xml:space="preserve">전북과학고등학교</t>
  </si>
  <si>
    <t xml:space="preserve">063-830-2301</t>
  </si>
  <si>
    <t xml:space="preserve">http://school.jbedu.kr/ejbs</t>
  </si>
  <si>
    <r>
      <rPr>
        <sz val="10"/>
        <rFont val="Noto Sans CJK SC"/>
        <family val="2"/>
      </rPr>
      <t xml:space="preserve">전북특별자치도 익산시 금마면 용순신기길 </t>
    </r>
    <r>
      <rPr>
        <sz val="10"/>
        <rFont val="맑은 고딕"/>
        <family val="0"/>
        <charset val="1"/>
      </rPr>
      <t xml:space="preserve">48-69</t>
    </r>
  </si>
  <si>
    <t xml:space="preserve">함열여자고등학교</t>
  </si>
  <si>
    <t xml:space="preserve">063-861-1080</t>
  </si>
  <si>
    <t xml:space="preserve">http://school.jbedu.kr/hygchs</t>
  </si>
  <si>
    <r>
      <rPr>
        <sz val="10"/>
        <rFont val="Noto Sans CJK SC"/>
        <family val="2"/>
      </rPr>
      <t xml:space="preserve">전북특별자치도 익산시 익산대로 </t>
    </r>
    <r>
      <rPr>
        <sz val="10"/>
        <rFont val="맑은 고딕"/>
        <family val="0"/>
        <charset val="1"/>
      </rPr>
      <t xml:space="preserve">1852</t>
    </r>
  </si>
  <si>
    <t xml:space="preserve">전주시</t>
  </si>
  <si>
    <t xml:space="preserve">전주기전여자고등학교</t>
  </si>
  <si>
    <t xml:space="preserve">063-236-8930</t>
  </si>
  <si>
    <t xml:space="preserve">http://kijun.hs.kr</t>
  </si>
  <si>
    <r>
      <rPr>
        <sz val="10"/>
        <rFont val="Noto Sans CJK SC"/>
        <family val="2"/>
      </rPr>
      <t xml:space="preserve">전북특별자치도 전주시 완산구 유연로 </t>
    </r>
    <r>
      <rPr>
        <sz val="10"/>
        <rFont val="맑은 고딕"/>
        <family val="0"/>
        <charset val="1"/>
      </rPr>
      <t xml:space="preserve">133</t>
    </r>
  </si>
  <si>
    <t xml:space="preserve">전주신흥고등학교</t>
  </si>
  <si>
    <t xml:space="preserve">063-232-7070</t>
  </si>
  <si>
    <t xml:space="preserve">http://jsh.hs.kr</t>
  </si>
  <si>
    <r>
      <rPr>
        <sz val="10"/>
        <rFont val="Noto Sans CJK SC"/>
        <family val="2"/>
      </rPr>
      <t xml:space="preserve">전북특별자치도 전주시 완산구 서원로 </t>
    </r>
    <r>
      <rPr>
        <sz val="10"/>
        <rFont val="맑은 고딕"/>
        <family val="0"/>
        <charset val="1"/>
      </rPr>
      <t xml:space="preserve">399</t>
    </r>
  </si>
  <si>
    <t xml:space="preserve">전주중앙여자고등학교</t>
  </si>
  <si>
    <t xml:space="preserve">063-240-1800</t>
  </si>
  <si>
    <t xml:space="preserve">http://jungang.hs.kr</t>
  </si>
  <si>
    <r>
      <rPr>
        <sz val="10"/>
        <rFont val="Noto Sans CJK SC"/>
        <family val="2"/>
      </rPr>
      <t xml:space="preserve">전북특별자치도 전주시 덕진구 석소로 </t>
    </r>
    <r>
      <rPr>
        <sz val="10"/>
        <rFont val="맑은 고딕"/>
        <family val="0"/>
        <charset val="1"/>
      </rPr>
      <t xml:space="preserve">25</t>
    </r>
  </si>
  <si>
    <t xml:space="preserve">전주한일고등학교</t>
  </si>
  <si>
    <t xml:space="preserve">063-274-2161</t>
  </si>
  <si>
    <t xml:space="preserve">http://www.hanilgo.hs.kr</t>
  </si>
  <si>
    <r>
      <rPr>
        <sz val="10"/>
        <rFont val="Noto Sans CJK SC"/>
        <family val="2"/>
      </rPr>
      <t xml:space="preserve">전북특별자치도 전주시 완산구 백제대로 </t>
    </r>
    <r>
      <rPr>
        <sz val="10"/>
        <rFont val="맑은 고딕"/>
        <family val="0"/>
        <charset val="1"/>
      </rPr>
      <t xml:space="preserve">442</t>
    </r>
  </si>
  <si>
    <t xml:space="preserve">호남제일고등학교</t>
  </si>
  <si>
    <t xml:space="preserve">063-220-9000</t>
  </si>
  <si>
    <t xml:space="preserve">http://school.jbedu.kr/no1</t>
  </si>
  <si>
    <r>
      <rPr>
        <sz val="10"/>
        <rFont val="Noto Sans CJK SC"/>
        <family val="2"/>
      </rPr>
      <t xml:space="preserve">전북특별자치도 전주시 완산구 서원로 </t>
    </r>
    <r>
      <rPr>
        <sz val="10"/>
        <rFont val="맑은 고딕"/>
        <family val="0"/>
        <charset val="1"/>
      </rPr>
      <t xml:space="preserve">53</t>
    </r>
  </si>
  <si>
    <t xml:space="preserve">전주은화학교</t>
  </si>
  <si>
    <t xml:space="preserve">063-220-0902</t>
  </si>
  <si>
    <t xml:space="preserve">http://school.jbedu.kr/eunhwa</t>
  </si>
  <si>
    <r>
      <rPr>
        <sz val="10"/>
        <rFont val="Noto Sans CJK SC"/>
        <family val="2"/>
      </rPr>
      <t xml:space="preserve">전북특별자치도 전주시 완산구 효자로 </t>
    </r>
    <r>
      <rPr>
        <sz val="10"/>
        <rFont val="맑은 고딕"/>
        <family val="0"/>
        <charset val="1"/>
      </rPr>
      <t xml:space="preserve">28-20</t>
    </r>
  </si>
  <si>
    <t xml:space="preserve">정읍시</t>
  </si>
  <si>
    <t xml:space="preserve">배영고등학교</t>
  </si>
  <si>
    <t xml:space="preserve">063-533-4123</t>
  </si>
  <si>
    <t xml:space="preserve">http://www.baeyoung.hs.kr</t>
  </si>
  <si>
    <r>
      <rPr>
        <sz val="10"/>
        <rFont val="Noto Sans CJK SC"/>
        <family val="2"/>
      </rPr>
      <t xml:space="preserve">전북특별자치도 정읍시 동학로 </t>
    </r>
    <r>
      <rPr>
        <sz val="10"/>
        <rFont val="맑은 고딕"/>
        <family val="0"/>
        <charset val="1"/>
      </rPr>
      <t xml:space="preserve">243</t>
    </r>
  </si>
  <si>
    <t xml:space="preserve">호남고등학교</t>
  </si>
  <si>
    <t xml:space="preserve">063-570-7815</t>
  </si>
  <si>
    <t xml:space="preserve">http://www.honam.hs.kr</t>
  </si>
  <si>
    <r>
      <rPr>
        <sz val="10"/>
        <rFont val="Noto Sans CJK SC"/>
        <family val="2"/>
      </rPr>
      <t xml:space="preserve">전북특별자치도 정읍시 정읍남로 </t>
    </r>
    <r>
      <rPr>
        <sz val="10"/>
        <rFont val="맑은 고딕"/>
        <family val="0"/>
        <charset val="1"/>
      </rPr>
      <t xml:space="preserve">1364-13</t>
    </r>
  </si>
  <si>
    <t xml:space="preserve">군산교육지원청</t>
  </si>
  <si>
    <t xml:space="preserve">군산남초등학교</t>
  </si>
  <si>
    <t xml:space="preserve">063-462-2521</t>
  </si>
  <si>
    <t xml:space="preserve">http://www.ksnam.es.kr</t>
  </si>
  <si>
    <r>
      <rPr>
        <sz val="10"/>
        <rFont val="Noto Sans CJK SC"/>
        <family val="2"/>
      </rPr>
      <t xml:space="preserve">전북특별자치도 군산시 삼학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</t>
    </r>
  </si>
  <si>
    <t xml:space="preserve">군산월명초등학교</t>
  </si>
  <si>
    <t xml:space="preserve">063-472-3001</t>
  </si>
  <si>
    <t xml:space="preserve">http://www.kswm.es.kr</t>
  </si>
  <si>
    <r>
      <rPr>
        <sz val="10"/>
        <rFont val="Noto Sans CJK SC"/>
        <family val="2"/>
      </rPr>
      <t xml:space="preserve">전북특별자치도 군산시 수송동로 </t>
    </r>
    <r>
      <rPr>
        <sz val="10"/>
        <rFont val="맑은 고딕"/>
        <family val="0"/>
        <charset val="1"/>
      </rPr>
      <t xml:space="preserve">24</t>
    </r>
  </si>
  <si>
    <t xml:space="preserve">당북초등학교</t>
  </si>
  <si>
    <t xml:space="preserve">063-462-8983</t>
  </si>
  <si>
    <t xml:space="preserve">http://www.dangbuk.es.kr</t>
  </si>
  <si>
    <r>
      <rPr>
        <sz val="10"/>
        <rFont val="Noto Sans CJK SC"/>
        <family val="2"/>
      </rPr>
      <t xml:space="preserve">전북특별자치도 군산시 옥산면 백석로 </t>
    </r>
    <r>
      <rPr>
        <sz val="10"/>
        <rFont val="맑은 고딕"/>
        <family val="0"/>
        <charset val="1"/>
      </rPr>
      <t xml:space="preserve">40</t>
    </r>
  </si>
  <si>
    <t xml:space="preserve">새만금초등학교</t>
  </si>
  <si>
    <t xml:space="preserve">063-469-7602</t>
  </si>
  <si>
    <t xml:space="preserve">http://www.smg.es.kr</t>
  </si>
  <si>
    <r>
      <rPr>
        <sz val="10"/>
        <rFont val="Noto Sans CJK SC"/>
        <family val="2"/>
      </rPr>
      <t xml:space="preserve">전북특별자치도 군산시 요죽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42</t>
    </r>
  </si>
  <si>
    <t xml:space="preserve">서수초등학교</t>
  </si>
  <si>
    <t xml:space="preserve">063-453-3021</t>
  </si>
  <si>
    <t xml:space="preserve">http://www.seosu.es.kr</t>
  </si>
  <si>
    <r>
      <rPr>
        <sz val="10"/>
        <rFont val="Noto Sans CJK SC"/>
        <family val="2"/>
      </rPr>
      <t xml:space="preserve">전북특별자치도 군산시 서수면 항쟁로 </t>
    </r>
    <r>
      <rPr>
        <sz val="10"/>
        <rFont val="맑은 고딕"/>
        <family val="0"/>
        <charset val="1"/>
      </rPr>
      <t xml:space="preserve">199</t>
    </r>
  </si>
  <si>
    <t xml:space="preserve">오봉초등학교</t>
  </si>
  <si>
    <t xml:space="preserve">063-466-5323</t>
  </si>
  <si>
    <t xml:space="preserve">http://www.obong.es.kr</t>
  </si>
  <si>
    <r>
      <rPr>
        <sz val="10"/>
        <rFont val="Noto Sans CJK SC"/>
        <family val="2"/>
      </rPr>
      <t xml:space="preserve">전북특별자치도 군산시 회현면 오봉길 </t>
    </r>
    <r>
      <rPr>
        <sz val="10"/>
        <rFont val="맑은 고딕"/>
        <family val="0"/>
        <charset val="1"/>
      </rPr>
      <t xml:space="preserve">55</t>
    </r>
  </si>
  <si>
    <t xml:space="preserve">임피초등학교</t>
  </si>
  <si>
    <t xml:space="preserve">063-453-2676</t>
  </si>
  <si>
    <t xml:space="preserve">http://www.ksimpy.es.kr</t>
  </si>
  <si>
    <r>
      <rPr>
        <sz val="10"/>
        <rFont val="Noto Sans CJK SC"/>
        <family val="2"/>
      </rPr>
      <t xml:space="preserve">전북특별자치도 군산시 임피면 동헌길 </t>
    </r>
    <r>
      <rPr>
        <sz val="10"/>
        <rFont val="맑은 고딕"/>
        <family val="0"/>
        <charset val="1"/>
      </rPr>
      <t xml:space="preserve">38</t>
    </r>
  </si>
  <si>
    <t xml:space="preserve">군산대성중학교</t>
  </si>
  <si>
    <t xml:space="preserve">063-453-2027</t>
  </si>
  <si>
    <t xml:space="preserve">http://gd.ms.kr</t>
  </si>
  <si>
    <r>
      <rPr>
        <sz val="10"/>
        <rFont val="Noto Sans CJK SC"/>
        <family val="2"/>
      </rPr>
      <t xml:space="preserve">전북특별자치도 군산시 임피면 임피향교길 </t>
    </r>
    <r>
      <rPr>
        <sz val="10"/>
        <rFont val="맑은 고딕"/>
        <family val="0"/>
        <charset val="1"/>
      </rPr>
      <t xml:space="preserve">44-6</t>
    </r>
  </si>
  <si>
    <t xml:space="preserve">김제교육지원청</t>
  </si>
  <si>
    <t xml:space="preserve">김제시</t>
  </si>
  <si>
    <t xml:space="preserve">063-546-5711</t>
  </si>
  <si>
    <t xml:space="preserve">http://geumgu.kr</t>
  </si>
  <si>
    <r>
      <rPr>
        <sz val="10"/>
        <rFont val="Noto Sans CJK SC"/>
        <family val="2"/>
      </rPr>
      <t xml:space="preserve">전북특별자치도 김제시 금구면 금구로 </t>
    </r>
    <r>
      <rPr>
        <sz val="10"/>
        <rFont val="맑은 고딕"/>
        <family val="0"/>
        <charset val="1"/>
      </rPr>
      <t xml:space="preserve">40</t>
    </r>
  </si>
  <si>
    <t xml:space="preserve">김제검산초등학교</t>
  </si>
  <si>
    <t xml:space="preserve">063-546-0043</t>
  </si>
  <si>
    <t xml:space="preserve">http://www.geomsan.es.kr</t>
  </si>
  <si>
    <r>
      <rPr>
        <sz val="10"/>
        <rFont val="Noto Sans CJK SC"/>
        <family val="2"/>
      </rPr>
      <t xml:space="preserve">전북특별자치도 김제시 도작로 </t>
    </r>
    <r>
      <rPr>
        <sz val="10"/>
        <rFont val="맑은 고딕"/>
        <family val="0"/>
        <charset val="1"/>
      </rPr>
      <t xml:space="preserve">122</t>
    </r>
  </si>
  <si>
    <t xml:space="preserve">초처초등학교</t>
  </si>
  <si>
    <t xml:space="preserve">063-543-8062</t>
  </si>
  <si>
    <t xml:space="preserve">http://choche0123.es.kr</t>
  </si>
  <si>
    <r>
      <rPr>
        <sz val="10"/>
        <rFont val="Noto Sans CJK SC"/>
        <family val="2"/>
      </rPr>
      <t xml:space="preserve">전북특별자치도 김제시 봉남면 초처로 </t>
    </r>
    <r>
      <rPr>
        <sz val="10"/>
        <rFont val="맑은 고딕"/>
        <family val="0"/>
        <charset val="1"/>
      </rPr>
      <t xml:space="preserve">233</t>
    </r>
  </si>
  <si>
    <t xml:space="preserve">무주교육지원청</t>
  </si>
  <si>
    <t xml:space="preserve">무주군</t>
  </si>
  <si>
    <t xml:space="preserve">무주중앙초등학교</t>
  </si>
  <si>
    <t xml:space="preserve">063-322-2419</t>
  </si>
  <si>
    <t xml:space="preserve">http://school.jbedu.kr/mujuja</t>
  </si>
  <si>
    <r>
      <rPr>
        <sz val="10"/>
        <rFont val="Noto Sans CJK SC"/>
        <family val="2"/>
      </rPr>
      <t xml:space="preserve">전북특별자치도 무주군 무주읍 향학로 </t>
    </r>
    <r>
      <rPr>
        <sz val="10"/>
        <rFont val="맑은 고딕"/>
        <family val="0"/>
        <charset val="1"/>
      </rPr>
      <t xml:space="preserve">87</t>
    </r>
  </si>
  <si>
    <t xml:space="preserve">부안교육지원청</t>
  </si>
  <si>
    <t xml:space="preserve">부안군</t>
  </si>
  <si>
    <t xml:space="preserve">행안초등학교</t>
  </si>
  <si>
    <t xml:space="preserve">063-584-1205</t>
  </si>
  <si>
    <t xml:space="preserve">http://ha.es.kr</t>
  </si>
  <si>
    <r>
      <rPr>
        <sz val="10"/>
        <rFont val="Noto Sans CJK SC"/>
        <family val="2"/>
      </rPr>
      <t xml:space="preserve">전북특별자치도 부안군 행안면 월륜길 </t>
    </r>
    <r>
      <rPr>
        <sz val="10"/>
        <rFont val="맑은 고딕"/>
        <family val="0"/>
        <charset val="1"/>
      </rPr>
      <t xml:space="preserve">18</t>
    </r>
  </si>
  <si>
    <t xml:space="preserve">순창교육지원청</t>
  </si>
  <si>
    <t xml:space="preserve">순창군</t>
  </si>
  <si>
    <t xml:space="preserve">구림초등학교</t>
  </si>
  <si>
    <t xml:space="preserve">063-652-8424</t>
  </si>
  <si>
    <t xml:space="preserve">http://kurim.kr</t>
  </si>
  <si>
    <r>
      <rPr>
        <sz val="10"/>
        <rFont val="Noto Sans CJK SC"/>
        <family val="2"/>
      </rPr>
      <t xml:space="preserve">전북특별자치도 순창군 구림면 방화로 </t>
    </r>
    <r>
      <rPr>
        <sz val="10"/>
        <rFont val="맑은 고딕"/>
        <family val="0"/>
        <charset val="1"/>
      </rPr>
      <t xml:space="preserve">6</t>
    </r>
  </si>
  <si>
    <t xml:space="preserve">순창초등학교</t>
  </si>
  <si>
    <t xml:space="preserve">063-653-3162</t>
  </si>
  <si>
    <t xml:space="preserve">http://sunchang.es.kr</t>
  </si>
  <si>
    <r>
      <rPr>
        <sz val="10"/>
        <rFont val="Noto Sans CJK SC"/>
        <family val="2"/>
      </rPr>
      <t xml:space="preserve">전북특별자치도 순창군 순창읍 순창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40</t>
    </r>
  </si>
  <si>
    <t xml:space="preserve">완주교육지원청</t>
  </si>
  <si>
    <t xml:space="preserve">간중초등학교</t>
  </si>
  <si>
    <t xml:space="preserve">063-243-7012</t>
  </si>
  <si>
    <t xml:space="preserve">http://www.ganjung.es.kr</t>
  </si>
  <si>
    <r>
      <rPr>
        <sz val="10"/>
        <rFont val="Noto Sans CJK SC"/>
        <family val="2"/>
      </rPr>
      <t xml:space="preserve">전북특별자치도 완주군 용진읍 간중길 </t>
    </r>
    <r>
      <rPr>
        <sz val="10"/>
        <rFont val="맑은 고딕"/>
        <family val="0"/>
        <charset val="1"/>
      </rPr>
      <t xml:space="preserve">39</t>
    </r>
  </si>
  <si>
    <t xml:space="preserve">구이초등학교</t>
  </si>
  <si>
    <t xml:space="preserve">063-222-0025</t>
  </si>
  <si>
    <t xml:space="preserve">http://gui.es.kr</t>
  </si>
  <si>
    <r>
      <rPr>
        <sz val="10"/>
        <rFont val="Noto Sans CJK SC"/>
        <family val="2"/>
      </rPr>
      <t xml:space="preserve">전북특별자치도 완주군 구이면 구이로 </t>
    </r>
    <r>
      <rPr>
        <sz val="10"/>
        <rFont val="맑은 고딕"/>
        <family val="0"/>
        <charset val="1"/>
      </rPr>
      <t xml:space="preserve">1357</t>
    </r>
  </si>
  <si>
    <t xml:space="preserve">063-221-6049</t>
  </si>
  <si>
    <t xml:space="preserve">http://www.daedeok.es.kr</t>
  </si>
  <si>
    <r>
      <rPr>
        <sz val="10"/>
        <rFont val="Noto Sans CJK SC"/>
        <family val="2"/>
      </rPr>
      <t xml:space="preserve">전북특별자치도 완주군 구이면 구이로 </t>
    </r>
    <r>
      <rPr>
        <sz val="10"/>
        <rFont val="맑은 고딕"/>
        <family val="0"/>
        <charset val="1"/>
      </rPr>
      <t xml:space="preserve">641</t>
    </r>
  </si>
  <si>
    <t xml:space="preserve">삼례중앙초등학교</t>
  </si>
  <si>
    <t xml:space="preserve">063-291-2239</t>
  </si>
  <si>
    <t xml:space="preserve">http://www.jb-samjung.es.kr</t>
  </si>
  <si>
    <r>
      <rPr>
        <sz val="10"/>
        <rFont val="Noto Sans CJK SC"/>
        <family val="2"/>
      </rPr>
      <t xml:space="preserve">전북특별자치도 완주군 삼례읍 웃삼례길 </t>
    </r>
    <r>
      <rPr>
        <sz val="10"/>
        <rFont val="맑은 고딕"/>
        <family val="0"/>
        <charset val="1"/>
      </rPr>
      <t xml:space="preserve">17-10</t>
    </r>
  </si>
  <si>
    <t xml:space="preserve">삼례초등학교</t>
  </si>
  <si>
    <t xml:space="preserve">063-291-4788</t>
  </si>
  <si>
    <t xml:space="preserve">http://school.jbedu.kr/samrye</t>
  </si>
  <si>
    <r>
      <rPr>
        <sz val="10"/>
        <rFont val="Noto Sans CJK SC"/>
        <family val="2"/>
      </rPr>
      <t xml:space="preserve">전북특별자치도 완주군 삼례읍 후정로 </t>
    </r>
    <r>
      <rPr>
        <sz val="10"/>
        <rFont val="맑은 고딕"/>
        <family val="0"/>
        <charset val="1"/>
      </rPr>
      <t xml:space="preserve">30</t>
    </r>
  </si>
  <si>
    <t xml:space="preserve">용봉초등학교</t>
  </si>
  <si>
    <t xml:space="preserve">063-244-3022</t>
  </si>
  <si>
    <t xml:space="preserve">http://www.jb-yongbong.es.kr</t>
  </si>
  <si>
    <r>
      <rPr>
        <sz val="10"/>
        <rFont val="Noto Sans CJK SC"/>
        <family val="2"/>
      </rPr>
      <t xml:space="preserve">전북특별자치도 완주군 봉동읍 완주로 </t>
    </r>
    <r>
      <rPr>
        <sz val="10"/>
        <rFont val="맑은 고딕"/>
        <family val="0"/>
        <charset val="1"/>
      </rPr>
      <t xml:space="preserve">449</t>
    </r>
  </si>
  <si>
    <t xml:space="preserve">청완초등학교</t>
  </si>
  <si>
    <t xml:space="preserve">063-261-5618</t>
  </si>
  <si>
    <t xml:space="preserve">http://school.jbedu.kr/cheongwan</t>
  </si>
  <si>
    <r>
      <rPr>
        <sz val="10"/>
        <rFont val="Noto Sans CJK SC"/>
        <family val="2"/>
      </rPr>
      <t xml:space="preserve">전북특별자치도 완주군 봉동읍 완주산단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80</t>
    </r>
  </si>
  <si>
    <t xml:space="preserve">소양중학교</t>
  </si>
  <si>
    <t xml:space="preserve">063-243-8650</t>
  </si>
  <si>
    <t xml:space="preserve">http://jb-soyang.ms.kr</t>
  </si>
  <si>
    <r>
      <rPr>
        <sz val="10"/>
        <rFont val="Noto Sans CJK SC"/>
        <family val="2"/>
      </rPr>
      <t xml:space="preserve">전북특별자치도 완주군 소양면 소양로 </t>
    </r>
    <r>
      <rPr>
        <sz val="10"/>
        <rFont val="맑은 고딕"/>
        <family val="0"/>
        <charset val="1"/>
      </rPr>
      <t xml:space="preserve">223</t>
    </r>
  </si>
  <si>
    <t xml:space="preserve">익산교육지원청</t>
  </si>
  <si>
    <t xml:space="preserve">영만초등학교</t>
  </si>
  <si>
    <t xml:space="preserve">063-850-4800</t>
  </si>
  <si>
    <t xml:space="preserve">http://www.youngman.es.kr</t>
  </si>
  <si>
    <r>
      <rPr>
        <sz val="10"/>
        <rFont val="Noto Sans CJK SC"/>
        <family val="2"/>
      </rPr>
      <t xml:space="preserve">전북특별자치도 익산시 오산면 선화로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42-9</t>
    </r>
  </si>
  <si>
    <t xml:space="preserve">용산초등학교</t>
  </si>
  <si>
    <t xml:space="preserve">063-857-6826</t>
  </si>
  <si>
    <t xml:space="preserve">http://www.yongsan4u.es.kr</t>
  </si>
  <si>
    <r>
      <rPr>
        <sz val="10"/>
        <rFont val="Noto Sans CJK SC"/>
        <family val="2"/>
      </rPr>
      <t xml:space="preserve">전북특별자치도 익산시 황등면 용산로 </t>
    </r>
    <r>
      <rPr>
        <sz val="10"/>
        <rFont val="맑은 고딕"/>
        <family val="0"/>
        <charset val="1"/>
      </rPr>
      <t xml:space="preserve">193</t>
    </r>
  </si>
  <si>
    <t xml:space="preserve">이리남초등학교</t>
  </si>
  <si>
    <t xml:space="preserve">063-851-1413</t>
  </si>
  <si>
    <t xml:space="preserve">http://www.irinam.es.kr</t>
  </si>
  <si>
    <r>
      <rPr>
        <sz val="10"/>
        <rFont val="Noto Sans CJK SC"/>
        <family val="2"/>
      </rPr>
      <t xml:space="preserve">전북특별자치도 익산시 번영로 </t>
    </r>
    <r>
      <rPr>
        <sz val="10"/>
        <rFont val="맑은 고딕"/>
        <family val="0"/>
        <charset val="1"/>
      </rPr>
      <t xml:space="preserve">2040-9</t>
    </r>
  </si>
  <si>
    <t xml:space="preserve">이리영등초등학교</t>
  </si>
  <si>
    <t xml:space="preserve">063-720-2500</t>
  </si>
  <si>
    <t xml:space="preserve">http://www.iryd.es.kr</t>
  </si>
  <si>
    <r>
      <rPr>
        <sz val="10"/>
        <rFont val="Noto Sans CJK SC"/>
        <family val="2"/>
      </rPr>
      <t xml:space="preserve">전북특별자치도 익산시 동서로</t>
    </r>
    <r>
      <rPr>
        <sz val="10"/>
        <rFont val="맑은 고딕"/>
        <family val="0"/>
        <charset val="1"/>
      </rPr>
      <t xml:space="preserve">41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37</t>
    </r>
  </si>
  <si>
    <t xml:space="preserve">익산가온초등학교</t>
  </si>
  <si>
    <t xml:space="preserve">063-840-8205</t>
  </si>
  <si>
    <t xml:space="preserve">http://isgaon.es.kr</t>
  </si>
  <si>
    <r>
      <rPr>
        <sz val="10"/>
        <rFont val="Noto Sans CJK SC"/>
        <family val="2"/>
      </rPr>
      <t xml:space="preserve">전북특별자치도 익산시 선화로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106</t>
    </r>
  </si>
  <si>
    <t xml:space="preserve">춘포초등학교</t>
  </si>
  <si>
    <t xml:space="preserve">063-842-8211</t>
  </si>
  <si>
    <t xml:space="preserve">http://school.jbedu.kr/chunpo</t>
  </si>
  <si>
    <r>
      <rPr>
        <sz val="10"/>
        <rFont val="Noto Sans CJK SC"/>
        <family val="2"/>
      </rPr>
      <t xml:space="preserve">전북특별자치도 익산시 춘포면 춘포로 </t>
    </r>
    <r>
      <rPr>
        <sz val="10"/>
        <rFont val="맑은 고딕"/>
        <family val="0"/>
        <charset val="1"/>
      </rPr>
      <t xml:space="preserve">408</t>
    </r>
  </si>
  <si>
    <t xml:space="preserve">황등남초등학교</t>
  </si>
  <si>
    <t xml:space="preserve">063-856-6333</t>
  </si>
  <si>
    <t xml:space="preserve">http://www.hnam.es.kr</t>
  </si>
  <si>
    <r>
      <rPr>
        <sz val="10"/>
        <rFont val="Noto Sans CJK SC"/>
        <family val="2"/>
      </rPr>
      <t xml:space="preserve">전북특별자치도 익산시 황등면 황등서로 </t>
    </r>
    <r>
      <rPr>
        <sz val="10"/>
        <rFont val="맑은 고딕"/>
        <family val="0"/>
        <charset val="1"/>
      </rPr>
      <t xml:space="preserve">44</t>
    </r>
  </si>
  <si>
    <t xml:space="preserve">남성중학교</t>
  </si>
  <si>
    <t xml:space="preserve">063-841-3818</t>
  </si>
  <si>
    <t xml:space="preserve">http://jb-namsung.ms.kr</t>
  </si>
  <si>
    <r>
      <rPr>
        <sz val="10"/>
        <rFont val="Noto Sans CJK SC"/>
        <family val="2"/>
      </rPr>
      <t xml:space="preserve">전북특별자치도 익산시 동서로</t>
    </r>
    <r>
      <rPr>
        <sz val="10"/>
        <rFont val="맑은 고딕"/>
        <family val="0"/>
        <charset val="1"/>
      </rPr>
      <t xml:space="preserve">35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41</t>
    </r>
  </si>
  <si>
    <t xml:space="preserve">이일여자중학교</t>
  </si>
  <si>
    <t xml:space="preserve">063-720-5240</t>
  </si>
  <si>
    <t xml:space="preserve">http://www.i-il.ms.kr</t>
  </si>
  <si>
    <r>
      <rPr>
        <sz val="10"/>
        <rFont val="Noto Sans CJK SC"/>
        <family val="2"/>
      </rPr>
      <t xml:space="preserve">전북특별자치도 익산시 평동로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30</t>
    </r>
  </si>
  <si>
    <t xml:space="preserve">임실교육지원청</t>
  </si>
  <si>
    <t xml:space="preserve">임실군</t>
  </si>
  <si>
    <t xml:space="preserve">임실동중학교</t>
  </si>
  <si>
    <t xml:space="preserve">063-642-2537</t>
  </si>
  <si>
    <t xml:space="preserve">http://www.imsildong.ms.kr</t>
  </si>
  <si>
    <r>
      <rPr>
        <sz val="10"/>
        <rFont val="Noto Sans CJK SC"/>
        <family val="2"/>
      </rPr>
      <t xml:space="preserve">전북특별자치도 임실군 임실읍 봉황로 </t>
    </r>
    <r>
      <rPr>
        <sz val="10"/>
        <rFont val="맑은 고딕"/>
        <family val="0"/>
        <charset val="1"/>
      </rPr>
      <t xml:space="preserve">147</t>
    </r>
  </si>
  <si>
    <t xml:space="preserve">장수교육지원청</t>
  </si>
  <si>
    <t xml:space="preserve">장수군</t>
  </si>
  <si>
    <t xml:space="preserve">수남초등학교</t>
  </si>
  <si>
    <t xml:space="preserve">063-351-2511</t>
  </si>
  <si>
    <t xml:space="preserve">http://www.sunamcho.es.kr</t>
  </si>
  <si>
    <r>
      <rPr>
        <sz val="10"/>
        <rFont val="Noto Sans CJK SC"/>
        <family val="2"/>
      </rPr>
      <t xml:space="preserve">전북특별자치도 장수군 장수읍 장수로 </t>
    </r>
    <r>
      <rPr>
        <sz val="10"/>
        <rFont val="맑은 고딕"/>
        <family val="0"/>
        <charset val="1"/>
      </rPr>
      <t xml:space="preserve">1898</t>
    </r>
  </si>
  <si>
    <t xml:space="preserve">전주교육지원청</t>
  </si>
  <si>
    <t xml:space="preserve">전주대정초등학교</t>
  </si>
  <si>
    <t xml:space="preserve">063-236-9551</t>
  </si>
  <si>
    <t xml:space="preserve">http://school.jbedu.kr/jjdj</t>
  </si>
  <si>
    <r>
      <rPr>
        <sz val="10"/>
        <rFont val="Noto Sans CJK SC"/>
        <family val="2"/>
      </rPr>
      <t xml:space="preserve">전북특별자치도 전주시 완산구 맏내로 </t>
    </r>
    <r>
      <rPr>
        <sz val="10"/>
        <rFont val="맑은 고딕"/>
        <family val="0"/>
        <charset val="1"/>
      </rPr>
      <t xml:space="preserve">57</t>
    </r>
  </si>
  <si>
    <t xml:space="preserve">전주송원초등학교</t>
  </si>
  <si>
    <t xml:space="preserve">063-251-7155</t>
  </si>
  <si>
    <t xml:space="preserve">http://school.jbedu.kr/songwon</t>
  </si>
  <si>
    <r>
      <rPr>
        <sz val="10"/>
        <rFont val="Noto Sans CJK SC"/>
        <family val="2"/>
      </rPr>
      <t xml:space="preserve">전북특별자치도 전주시 덕진구 와룡로 </t>
    </r>
    <r>
      <rPr>
        <sz val="10"/>
        <rFont val="맑은 고딕"/>
        <family val="0"/>
        <charset val="1"/>
      </rPr>
      <t xml:space="preserve">25</t>
    </r>
  </si>
  <si>
    <t xml:space="preserve">전주여울초등학교</t>
  </si>
  <si>
    <t xml:space="preserve">063-255-9078</t>
  </si>
  <si>
    <t xml:space="preserve">http://www.yeoul.es.kr</t>
  </si>
  <si>
    <r>
      <rPr>
        <sz val="10"/>
        <rFont val="Noto Sans CJK SC"/>
        <family val="2"/>
      </rPr>
      <t xml:space="preserve">전북특별자치도 전주시 완산구 고사평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</t>
    </r>
  </si>
  <si>
    <t xml:space="preserve">전주완산서초등학교</t>
  </si>
  <si>
    <t xml:space="preserve">063-284-9303</t>
  </si>
  <si>
    <t xml:space="preserve">http://www.wss.es.kr</t>
  </si>
  <si>
    <r>
      <rPr>
        <sz val="10"/>
        <rFont val="Noto Sans CJK SC"/>
        <family val="2"/>
      </rPr>
      <t xml:space="preserve">전북특별자치도 전주시 완산구 안행로 </t>
    </r>
    <r>
      <rPr>
        <sz val="10"/>
        <rFont val="맑은 고딕"/>
        <family val="0"/>
        <charset val="1"/>
      </rPr>
      <t xml:space="preserve">129</t>
    </r>
  </si>
  <si>
    <t xml:space="preserve">전주용소초등학교</t>
  </si>
  <si>
    <t xml:space="preserve">063-270-0200</t>
  </si>
  <si>
    <t xml:space="preserve">http://school.jbedu.kr/yongso-e</t>
  </si>
  <si>
    <r>
      <rPr>
        <sz val="10"/>
        <rFont val="Noto Sans CJK SC"/>
        <family val="2"/>
      </rPr>
      <t xml:space="preserve">전북특별자치도 전주시 덕진구 송천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38</t>
    </r>
  </si>
  <si>
    <t xml:space="preserve">전주용와초등학교</t>
  </si>
  <si>
    <t xml:space="preserve">063-237-3142</t>
  </si>
  <si>
    <t xml:space="preserve">http://www.yongwa.es.kr</t>
  </si>
  <si>
    <r>
      <rPr>
        <sz val="10"/>
        <rFont val="Noto Sans CJK SC"/>
        <family val="2"/>
      </rPr>
      <t xml:space="preserve">전북특별자치도 전주시 완산구 장승배기로 </t>
    </r>
    <r>
      <rPr>
        <sz val="10"/>
        <rFont val="맑은 고딕"/>
        <family val="0"/>
        <charset val="1"/>
      </rPr>
      <t xml:space="preserve">14</t>
    </r>
  </si>
  <si>
    <t xml:space="preserve">전주우림초등학교</t>
  </si>
  <si>
    <t xml:space="preserve">063-715-1052</t>
  </si>
  <si>
    <t xml:space="preserve">http://school.jbedu.kr/jjwoolim</t>
  </si>
  <si>
    <r>
      <rPr>
        <sz val="10"/>
        <rFont val="Noto Sans CJK SC"/>
        <family val="2"/>
      </rPr>
      <t xml:space="preserve">전북특별자치도 전주시 완산구 소태정로 </t>
    </r>
    <r>
      <rPr>
        <sz val="10"/>
        <rFont val="맑은 고딕"/>
        <family val="0"/>
        <charset val="1"/>
      </rPr>
      <t xml:space="preserve">21</t>
    </r>
  </si>
  <si>
    <t xml:space="preserve">전주원동초등학교</t>
  </si>
  <si>
    <t xml:space="preserve">063-212-9119</t>
  </si>
  <si>
    <t xml:space="preserve">http://school.jbedu.kr/wondong</t>
  </si>
  <si>
    <r>
      <rPr>
        <sz val="10"/>
        <rFont val="Noto Sans CJK SC"/>
        <family val="2"/>
      </rPr>
      <t xml:space="preserve">전북특별자치도 전주시 덕진구 원동로 </t>
    </r>
    <r>
      <rPr>
        <sz val="10"/>
        <rFont val="맑은 고딕"/>
        <family val="0"/>
        <charset val="1"/>
      </rPr>
      <t xml:space="preserve">3</t>
    </r>
  </si>
  <si>
    <t xml:space="preserve">전주인봉초등학교</t>
  </si>
  <si>
    <t xml:space="preserve">063-240-1908</t>
  </si>
  <si>
    <t xml:space="preserve">http://www.inbong.es.kr</t>
  </si>
  <si>
    <r>
      <rPr>
        <sz val="10"/>
        <rFont val="Noto Sans CJK SC"/>
        <family val="2"/>
      </rPr>
      <t xml:space="preserve">전북특별자치도 전주시 덕진구 무삼지로 </t>
    </r>
    <r>
      <rPr>
        <sz val="10"/>
        <rFont val="맑은 고딕"/>
        <family val="0"/>
        <charset val="1"/>
      </rPr>
      <t xml:space="preserve">7</t>
    </r>
  </si>
  <si>
    <t xml:space="preserve">전주지곡초등학교</t>
  </si>
  <si>
    <t xml:space="preserve">063-280-0505</t>
  </si>
  <si>
    <t xml:space="preserve">http://school.jbedu.kr/jjjigok</t>
  </si>
  <si>
    <r>
      <rPr>
        <sz val="10"/>
        <rFont val="Noto Sans CJK SC"/>
        <family val="2"/>
      </rPr>
      <t xml:space="preserve">전북특별자치도 전주시 완산구 평화로 </t>
    </r>
    <r>
      <rPr>
        <sz val="10"/>
        <rFont val="맑은 고딕"/>
        <family val="0"/>
        <charset val="1"/>
      </rPr>
      <t xml:space="preserve">85</t>
    </r>
  </si>
  <si>
    <t xml:space="preserve">전주진북초등학교</t>
  </si>
  <si>
    <t xml:space="preserve">063-252-1102</t>
  </si>
  <si>
    <t xml:space="preserve">http://school.jbedu.kr/jb-jinbuk</t>
  </si>
  <si>
    <r>
      <rPr>
        <sz val="10"/>
        <rFont val="Noto Sans CJK SC"/>
        <family val="2"/>
      </rPr>
      <t xml:space="preserve">전북특별자치도 전주시 덕진구 진북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</t>
    </r>
  </si>
  <si>
    <t xml:space="preserve">전주팔복초등학교</t>
  </si>
  <si>
    <t xml:space="preserve">063-211-2774</t>
  </si>
  <si>
    <t xml:space="preserve">http://www.palbok.es.kr</t>
  </si>
  <si>
    <r>
      <rPr>
        <sz val="10"/>
        <rFont val="Noto Sans CJK SC"/>
        <family val="2"/>
      </rPr>
      <t xml:space="preserve">전북특별자치도 전주시 덕진구 팔과정로 </t>
    </r>
    <r>
      <rPr>
        <sz val="10"/>
        <rFont val="맑은 고딕"/>
        <family val="0"/>
        <charset val="1"/>
      </rPr>
      <t xml:space="preserve">181</t>
    </r>
  </si>
  <si>
    <t xml:space="preserve">전주평화초등학교</t>
  </si>
  <si>
    <t xml:space="preserve">063-284-9500</t>
  </si>
  <si>
    <t xml:space="preserve">http://school.jbedu.kr/pyeonghwa</t>
  </si>
  <si>
    <r>
      <rPr>
        <sz val="10"/>
        <rFont val="Noto Sans CJK SC"/>
        <family val="2"/>
      </rPr>
      <t xml:space="preserve">전북특별자치도 전주시 완산구 꽃밭정로 </t>
    </r>
    <r>
      <rPr>
        <sz val="10"/>
        <rFont val="맑은 고딕"/>
        <family val="0"/>
        <charset val="1"/>
      </rPr>
      <t xml:space="preserve">65</t>
    </r>
  </si>
  <si>
    <t xml:space="preserve">전주홍산초등학교</t>
  </si>
  <si>
    <t xml:space="preserve">063-230-5100</t>
  </si>
  <si>
    <t xml:space="preserve">http://school.jbedu.kr/hongsan-e</t>
  </si>
  <si>
    <r>
      <rPr>
        <sz val="10"/>
        <rFont val="Noto Sans CJK SC"/>
        <family val="2"/>
      </rPr>
      <t xml:space="preserve">전북특별자치도 전주시 완산구 마전들로 </t>
    </r>
    <r>
      <rPr>
        <sz val="10"/>
        <rFont val="맑은 고딕"/>
        <family val="0"/>
        <charset val="1"/>
      </rPr>
      <t xml:space="preserve">30</t>
    </r>
  </si>
  <si>
    <t xml:space="preserve">전주화정초등학교</t>
  </si>
  <si>
    <t xml:space="preserve">063-270-8403</t>
  </si>
  <si>
    <t xml:space="preserve">http://school.jbedu.kr/jhj</t>
  </si>
  <si>
    <r>
      <rPr>
        <sz val="10"/>
        <rFont val="Noto Sans CJK SC"/>
        <family val="2"/>
      </rPr>
      <t xml:space="preserve">전북특별자치도 전주시 덕진구 세병로 </t>
    </r>
    <r>
      <rPr>
        <sz val="10"/>
        <rFont val="맑은 고딕"/>
        <family val="0"/>
        <charset val="1"/>
      </rPr>
      <t xml:space="preserve">55</t>
    </r>
  </si>
  <si>
    <t xml:space="preserve">전주효림초등학교</t>
  </si>
  <si>
    <t xml:space="preserve">063-227-3522</t>
  </si>
  <si>
    <t xml:space="preserve">http://school.jbedu.kr/jjhyorim</t>
  </si>
  <si>
    <r>
      <rPr>
        <sz val="10"/>
        <rFont val="Noto Sans CJK SC"/>
        <family val="2"/>
      </rPr>
      <t xml:space="preserve">전북특별자치도 전주시 완산구 강변로 </t>
    </r>
    <r>
      <rPr>
        <sz val="10"/>
        <rFont val="맑은 고딕"/>
        <family val="0"/>
        <charset val="1"/>
      </rPr>
      <t xml:space="preserve">128</t>
    </r>
  </si>
  <si>
    <t xml:space="preserve">완산중학교</t>
  </si>
  <si>
    <t xml:space="preserve">063-227-0741</t>
  </si>
  <si>
    <t xml:space="preserve">http://www.wansan.ms.kr</t>
  </si>
  <si>
    <r>
      <rPr>
        <sz val="10"/>
        <rFont val="Noto Sans CJK SC"/>
        <family val="2"/>
      </rPr>
      <t xml:space="preserve">전북특별자치도 전주시 완산구 덕적골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60</t>
    </r>
  </si>
  <si>
    <t xml:space="preserve">전북중학교</t>
  </si>
  <si>
    <t xml:space="preserve">063-211-0993</t>
  </si>
  <si>
    <t xml:space="preserve">http://jeonbuk.ms.kr</t>
  </si>
  <si>
    <r>
      <rPr>
        <sz val="10"/>
        <rFont val="Noto Sans CJK SC"/>
        <family val="2"/>
      </rPr>
      <t xml:space="preserve">전북특별자치도 전주시 덕진구 쪽구름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22</t>
    </r>
  </si>
  <si>
    <t xml:space="preserve">전주덕진중학교</t>
  </si>
  <si>
    <t xml:space="preserve">063-276-1578</t>
  </si>
  <si>
    <t xml:space="preserve">http://school.jbedu.kr/deokjin</t>
  </si>
  <si>
    <r>
      <rPr>
        <sz val="10"/>
        <rFont val="Noto Sans CJK SC"/>
        <family val="2"/>
      </rPr>
      <t xml:space="preserve">전북특별자치도 전주시 덕진구 기린대로 </t>
    </r>
    <r>
      <rPr>
        <sz val="10"/>
        <rFont val="맑은 고딕"/>
        <family val="0"/>
        <charset val="1"/>
      </rPr>
      <t xml:space="preserve">541-48</t>
    </r>
  </si>
  <si>
    <t xml:space="preserve">전주만성중학교</t>
  </si>
  <si>
    <t xml:space="preserve">063-717-3007</t>
  </si>
  <si>
    <t xml:space="preserve">http://school.jbedu.kr/manseongms</t>
  </si>
  <si>
    <r>
      <rPr>
        <sz val="10"/>
        <rFont val="Noto Sans CJK SC"/>
        <family val="2"/>
      </rPr>
      <t xml:space="preserve">전북특별자치도 전주시 덕진구 오공로 </t>
    </r>
    <r>
      <rPr>
        <sz val="10"/>
        <rFont val="맑은 고딕"/>
        <family val="0"/>
        <charset val="1"/>
      </rPr>
      <t xml:space="preserve">99</t>
    </r>
  </si>
  <si>
    <t xml:space="preserve">전주신흥중학교</t>
  </si>
  <si>
    <t xml:space="preserve">063-287-2112</t>
  </si>
  <si>
    <t xml:space="preserve">http://www.jb-shinheung.ms.kr</t>
  </si>
  <si>
    <t xml:space="preserve">전주우아중학교</t>
  </si>
  <si>
    <t xml:space="preserve">063-241-2652</t>
  </si>
  <si>
    <t xml:space="preserve">http://www.wooa.ms.kr</t>
  </si>
  <si>
    <r>
      <rPr>
        <sz val="10"/>
        <rFont val="Noto Sans CJK SC"/>
        <family val="2"/>
      </rPr>
      <t xml:space="preserve">전북특별자치도 전주시 덕진구 호성로 </t>
    </r>
    <r>
      <rPr>
        <sz val="10"/>
        <rFont val="맑은 고딕"/>
        <family val="0"/>
        <charset val="1"/>
      </rPr>
      <t xml:space="preserve">6</t>
    </r>
  </si>
  <si>
    <t xml:space="preserve">전주효문중학교</t>
  </si>
  <si>
    <t xml:space="preserve">063-221-1131</t>
  </si>
  <si>
    <t xml:space="preserve">http://school.jbedu.kr/hyomoon-m</t>
  </si>
  <si>
    <r>
      <rPr>
        <sz val="10"/>
        <rFont val="Noto Sans CJK SC"/>
        <family val="2"/>
      </rPr>
      <t xml:space="preserve">전북특별자치도 전주시 완산구 용리로 </t>
    </r>
    <r>
      <rPr>
        <sz val="10"/>
        <rFont val="맑은 고딕"/>
        <family val="0"/>
        <charset val="1"/>
      </rPr>
      <t xml:space="preserve">92</t>
    </r>
  </si>
  <si>
    <t xml:space="preserve">정읍교육지원청</t>
  </si>
  <si>
    <t xml:space="preserve">이평초등학교</t>
  </si>
  <si>
    <t xml:space="preserve">063-534-1010</t>
  </si>
  <si>
    <t xml:space="preserve">http://school.jbedu.kr/ipyong</t>
  </si>
  <si>
    <r>
      <rPr>
        <sz val="10"/>
        <rFont val="Noto Sans CJK SC"/>
        <family val="2"/>
      </rPr>
      <t xml:space="preserve">전북특별자치도 정읍시 이평면 말목장터길 </t>
    </r>
    <r>
      <rPr>
        <sz val="10"/>
        <rFont val="맑은 고딕"/>
        <family val="0"/>
        <charset val="1"/>
      </rPr>
      <t xml:space="preserve">5-29</t>
    </r>
  </si>
  <si>
    <t xml:space="preserve">정읍북초등학교</t>
  </si>
  <si>
    <t xml:space="preserve">063-532-8127</t>
  </si>
  <si>
    <t xml:space="preserve">http://www.buksori.es.kr</t>
  </si>
  <si>
    <r>
      <rPr>
        <sz val="10"/>
        <rFont val="Noto Sans CJK SC"/>
        <family val="2"/>
      </rPr>
      <t xml:space="preserve">전북특별자치도 정읍시 명덕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41</t>
    </r>
  </si>
  <si>
    <t xml:space="preserve">왕신여자중학교</t>
  </si>
  <si>
    <t xml:space="preserve">063-571-2182</t>
  </si>
  <si>
    <t xml:space="preserve">http://www.wangsin.ms.kr</t>
  </si>
  <si>
    <r>
      <rPr>
        <sz val="10"/>
        <rFont val="Noto Sans CJK SC"/>
        <family val="2"/>
      </rPr>
      <t xml:space="preserve">전북특별자치도 정읍시 신태인읍 정신로 </t>
    </r>
    <r>
      <rPr>
        <sz val="10"/>
        <rFont val="맑은 고딕"/>
        <family val="0"/>
        <charset val="1"/>
      </rPr>
      <t xml:space="preserve">1094</t>
    </r>
  </si>
  <si>
    <t xml:space="preserve">진안교육지원청</t>
  </si>
  <si>
    <t xml:space="preserve">진안군</t>
  </si>
  <si>
    <t xml:space="preserve">진안초등학교</t>
  </si>
  <si>
    <t xml:space="preserve">063-432-6322</t>
  </si>
  <si>
    <t xml:space="preserve">http://www.jinan.es.kr</t>
  </si>
  <si>
    <r>
      <rPr>
        <sz val="10"/>
        <rFont val="Noto Sans CJK SC"/>
        <family val="2"/>
      </rPr>
      <t xml:space="preserve">전북특별자치도 진안군 진안읍 중앙로 </t>
    </r>
    <r>
      <rPr>
        <sz val="10"/>
        <rFont val="맑은 고딕"/>
        <family val="0"/>
        <charset val="1"/>
      </rPr>
      <t xml:space="preserve">55</t>
    </r>
  </si>
  <si>
    <t xml:space="preserve">광양교육지원청</t>
  </si>
  <si>
    <t xml:space="preserve">광양시</t>
  </si>
  <si>
    <t xml:space="preserve">광양중진초등학교</t>
  </si>
  <si>
    <t xml:space="preserve">061-797-0400</t>
  </si>
  <si>
    <t xml:space="preserve">http://jungjin.jge.es.kr</t>
  </si>
  <si>
    <r>
      <rPr>
        <sz val="10"/>
        <rFont val="Noto Sans CJK SC"/>
        <family val="2"/>
      </rPr>
      <t xml:space="preserve">전남광주통합특별시 광양시 광장로 </t>
    </r>
    <r>
      <rPr>
        <sz val="10"/>
        <rFont val="맑은 고딕"/>
        <family val="0"/>
        <charset val="1"/>
      </rPr>
      <t xml:space="preserve">75</t>
    </r>
  </si>
  <si>
    <t xml:space="preserve">광양백운고등학교</t>
  </si>
  <si>
    <t xml:space="preserve">061-798-9054</t>
  </si>
  <si>
    <t xml:space="preserve">http://gwangyangbaekun.jge.hs.kr</t>
  </si>
  <si>
    <r>
      <rPr>
        <sz val="10"/>
        <rFont val="Noto Sans CJK SC"/>
        <family val="2"/>
      </rPr>
      <t xml:space="preserve">전남광주통합특별시 광양시 중마로 </t>
    </r>
    <r>
      <rPr>
        <sz val="10"/>
        <rFont val="맑은 고딕"/>
        <family val="0"/>
        <charset val="1"/>
      </rPr>
      <t xml:space="preserve">250</t>
    </r>
  </si>
  <si>
    <t xml:space="preserve">구례군</t>
  </si>
  <si>
    <t xml:space="preserve">구례고등학교</t>
  </si>
  <si>
    <t xml:space="preserve">061-780-4700</t>
  </si>
  <si>
    <t xml:space="preserve">http://gurye.jge.hs.kr</t>
  </si>
  <si>
    <r>
      <rPr>
        <sz val="10"/>
        <rFont val="Noto Sans CJK SC"/>
        <family val="2"/>
      </rPr>
      <t xml:space="preserve">전남광주통합특별시 구례군 구례읍 봉성로 </t>
    </r>
    <r>
      <rPr>
        <sz val="10"/>
        <rFont val="맑은 고딕"/>
        <family val="0"/>
        <charset val="1"/>
      </rPr>
      <t xml:space="preserve">15-18</t>
    </r>
  </si>
  <si>
    <t xml:space="preserve">나주시</t>
  </si>
  <si>
    <t xml:space="preserve">매성고등학교</t>
  </si>
  <si>
    <t xml:space="preserve">061-320-7651</t>
  </si>
  <si>
    <t xml:space="preserve">http://maesung.jge.hs.kr</t>
  </si>
  <si>
    <r>
      <rPr>
        <sz val="10"/>
        <rFont val="Noto Sans CJK SC"/>
        <family val="2"/>
      </rPr>
      <t xml:space="preserve">전남광주통합특별시 나주시 쌍산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19</t>
    </r>
  </si>
  <si>
    <t xml:space="preserve">목포시</t>
  </si>
  <si>
    <t xml:space="preserve">목포덕인고등학교</t>
  </si>
  <si>
    <t xml:space="preserve">061-240-6400</t>
  </si>
  <si>
    <t xml:space="preserve">http://deogin.hs.jne.kr</t>
  </si>
  <si>
    <r>
      <rPr>
        <sz val="10"/>
        <rFont val="Noto Sans CJK SC"/>
        <family val="2"/>
      </rPr>
      <t xml:space="preserve">전남광주통합특별시 목포시 죽선로 </t>
    </r>
    <r>
      <rPr>
        <sz val="10"/>
        <rFont val="맑은 고딕"/>
        <family val="0"/>
        <charset val="1"/>
      </rPr>
      <t xml:space="preserve">39-2</t>
    </r>
  </si>
  <si>
    <t xml:space="preserve">목포혜인여자고등학교</t>
  </si>
  <si>
    <t xml:space="preserve">061-240-6680</t>
  </si>
  <si>
    <t xml:space="preserve">http://hyein.jge.hs.kr</t>
  </si>
  <si>
    <t xml:space="preserve">목포홍일고등학교</t>
  </si>
  <si>
    <t xml:space="preserve">061-242-7784</t>
  </si>
  <si>
    <t xml:space="preserve">http://hongil.jge.hs.kr</t>
  </si>
  <si>
    <r>
      <rPr>
        <sz val="10"/>
        <rFont val="Noto Sans CJK SC"/>
        <family val="2"/>
      </rPr>
      <t xml:space="preserve">전남광주통합특별시 목포시 북항로 </t>
    </r>
    <r>
      <rPr>
        <sz val="10"/>
        <rFont val="맑은 고딕"/>
        <family val="0"/>
        <charset val="1"/>
      </rPr>
      <t xml:space="preserve">88</t>
    </r>
  </si>
  <si>
    <t xml:space="preserve">문태고등학교</t>
  </si>
  <si>
    <t xml:space="preserve">061-803-3111</t>
  </si>
  <si>
    <t xml:space="preserve">http://moontae.jge.hs.kr</t>
  </si>
  <si>
    <r>
      <rPr>
        <sz val="10"/>
        <rFont val="Noto Sans CJK SC"/>
        <family val="2"/>
      </rPr>
      <t xml:space="preserve">전남광주통합특별시 목포시 용당로 </t>
    </r>
    <r>
      <rPr>
        <sz val="10"/>
        <rFont val="맑은 고딕"/>
        <family val="0"/>
        <charset val="1"/>
      </rPr>
      <t xml:space="preserve">138</t>
    </r>
  </si>
  <si>
    <t xml:space="preserve">무안군</t>
  </si>
  <si>
    <t xml:space="preserve">무안고등학교</t>
  </si>
  <si>
    <t xml:space="preserve">061-455-1000</t>
  </si>
  <si>
    <t xml:space="preserve">http://muan.hs.jne.kr</t>
  </si>
  <si>
    <r>
      <rPr>
        <sz val="10"/>
        <rFont val="Noto Sans CJK SC"/>
        <family val="2"/>
      </rPr>
      <t xml:space="preserve">전남광주통합특별시 무안군 무안읍 성남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61-1</t>
    </r>
  </si>
  <si>
    <t xml:space="preserve">보성군</t>
  </si>
  <si>
    <t xml:space="preserve">예당고등학교</t>
  </si>
  <si>
    <t xml:space="preserve">061-853-7885</t>
  </si>
  <si>
    <t xml:space="preserve">http://yedang.hs.jne.kr</t>
  </si>
  <si>
    <r>
      <rPr>
        <sz val="10"/>
        <rFont val="Noto Sans CJK SC"/>
        <family val="2"/>
      </rPr>
      <t xml:space="preserve">전남광주통합특별시 보성군 득량면 예당길 </t>
    </r>
    <r>
      <rPr>
        <sz val="10"/>
        <rFont val="맑은 고딕"/>
        <family val="0"/>
        <charset val="1"/>
      </rPr>
      <t xml:space="preserve">155-12</t>
    </r>
  </si>
  <si>
    <t xml:space="preserve">순천시</t>
  </si>
  <si>
    <t xml:space="preserve">순천금당고등학교</t>
  </si>
  <si>
    <t xml:space="preserve">061-729-6600</t>
  </si>
  <si>
    <t xml:space="preserve">http://geumdang.hs.jne.kr</t>
  </si>
  <si>
    <r>
      <rPr>
        <sz val="10"/>
        <rFont val="Noto Sans CJK SC"/>
        <family val="2"/>
      </rPr>
      <t xml:space="preserve">전남광주통합특별시 순천시 기적의도서관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34</t>
    </r>
  </si>
  <si>
    <t xml:space="preserve">순천매산고등학교</t>
  </si>
  <si>
    <t xml:space="preserve">061-750-0111</t>
  </si>
  <si>
    <t xml:space="preserve">http://maesan.hs.jne.kr</t>
  </si>
  <si>
    <r>
      <rPr>
        <sz val="10"/>
        <rFont val="Noto Sans CJK SC"/>
        <family val="2"/>
      </rPr>
      <t xml:space="preserve">전남광주통합특별시 순천시 영동길 </t>
    </r>
    <r>
      <rPr>
        <sz val="10"/>
        <rFont val="맑은 고딕"/>
        <family val="0"/>
        <charset val="1"/>
      </rPr>
      <t xml:space="preserve">58</t>
    </r>
  </si>
  <si>
    <t xml:space="preserve">순천매산여자고등학교</t>
  </si>
  <si>
    <t xml:space="preserve">061-752-6222</t>
  </si>
  <si>
    <t xml:space="preserve">http://msgh.hs.jne.kr</t>
  </si>
  <si>
    <r>
      <rPr>
        <sz val="10"/>
        <rFont val="Noto Sans CJK SC"/>
        <family val="2"/>
      </rPr>
      <t xml:space="preserve">전남광주통합특별시 순천시 매산길 </t>
    </r>
    <r>
      <rPr>
        <sz val="10"/>
        <rFont val="맑은 고딕"/>
        <family val="0"/>
        <charset val="1"/>
      </rPr>
      <t xml:space="preserve">43</t>
    </r>
  </si>
  <si>
    <t xml:space="preserve">순천복성고등학교</t>
  </si>
  <si>
    <t xml:space="preserve">061-720-4800</t>
  </si>
  <si>
    <t xml:space="preserve">http://bokseong.hs.jne.kr</t>
  </si>
  <si>
    <r>
      <rPr>
        <sz val="10"/>
        <rFont val="Noto Sans CJK SC"/>
        <family val="2"/>
      </rPr>
      <t xml:space="preserve">전남광주통합특별시 순천시 해룡면 복성길 </t>
    </r>
    <r>
      <rPr>
        <sz val="10"/>
        <rFont val="맑은 고딕"/>
        <family val="0"/>
        <charset val="1"/>
      </rPr>
      <t xml:space="preserve">17</t>
    </r>
  </si>
  <si>
    <t xml:space="preserve">여수시</t>
  </si>
  <si>
    <t xml:space="preserve">여수충무고등학교</t>
  </si>
  <si>
    <r>
      <rPr>
        <sz val="10"/>
        <rFont val="Noto Sans CJK SC"/>
        <family val="2"/>
      </rPr>
      <t xml:space="preserve">선도형</t>
    </r>
    <r>
      <rPr>
        <sz val="10"/>
        <rFont val="맑은 고딕"/>
        <family val="0"/>
        <charset val="1"/>
      </rPr>
      <t xml:space="preserve">(AI</t>
    </r>
    <r>
      <rPr>
        <sz val="10"/>
        <rFont val="Noto Sans CJK SC"/>
        <family val="2"/>
      </rPr>
      <t xml:space="preserve">교실</t>
    </r>
    <r>
      <rPr>
        <sz val="10"/>
        <rFont val="맑은 고딕"/>
        <family val="0"/>
        <charset val="1"/>
      </rPr>
      <t xml:space="preserve">)</t>
    </r>
  </si>
  <si>
    <t xml:space="preserve">061-650-3001</t>
  </si>
  <si>
    <t xml:space="preserve">http://yschungmu.hs.jne.kr</t>
  </si>
  <si>
    <r>
      <rPr>
        <sz val="10"/>
        <rFont val="Noto Sans CJK SC"/>
        <family val="2"/>
      </rPr>
      <t xml:space="preserve">전남광주통합특별시 여수시 미평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16</t>
    </r>
  </si>
  <si>
    <t xml:space="preserve">완도군</t>
  </si>
  <si>
    <t xml:space="preserve">완도고등학교</t>
  </si>
  <si>
    <t xml:space="preserve">061-550-0313</t>
  </si>
  <si>
    <t xml:space="preserve">http://wando.hs.jne.kr</t>
  </si>
  <si>
    <r>
      <rPr>
        <sz val="10"/>
        <rFont val="Noto Sans CJK SC"/>
        <family val="2"/>
      </rPr>
      <t xml:space="preserve">전남광주통합특별시 완도군 완도읍 개포로</t>
    </r>
    <r>
      <rPr>
        <sz val="10"/>
        <rFont val="맑은 고딕"/>
        <family val="0"/>
        <charset val="1"/>
      </rPr>
      <t xml:space="preserve">135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55</t>
    </r>
  </si>
  <si>
    <t xml:space="preserve">화순군</t>
  </si>
  <si>
    <t xml:space="preserve">능주고등학교</t>
  </si>
  <si>
    <t xml:space="preserve">061-372-1193</t>
  </si>
  <si>
    <t xml:space="preserve">http://neungju.jge.hs.kr</t>
  </si>
  <si>
    <r>
      <rPr>
        <sz val="10"/>
        <rFont val="Noto Sans CJK SC"/>
        <family val="2"/>
      </rPr>
      <t xml:space="preserve">전남광주통합특별시 화순군 능주면 죽수길 </t>
    </r>
    <r>
      <rPr>
        <sz val="10"/>
        <rFont val="맑은 고딕"/>
        <family val="0"/>
        <charset val="1"/>
      </rPr>
      <t xml:space="preserve">31-2</t>
    </r>
  </si>
  <si>
    <t xml:space="preserve">나주교육지원청</t>
  </si>
  <si>
    <t xml:space="preserve">다시초등학교</t>
  </si>
  <si>
    <t xml:space="preserve">061-335-4214</t>
  </si>
  <si>
    <t xml:space="preserve">http://najudasi.es.jne.kr</t>
  </si>
  <si>
    <r>
      <rPr>
        <sz val="10"/>
        <rFont val="Noto Sans CJK SC"/>
        <family val="2"/>
      </rPr>
      <t xml:space="preserve">전남광주통합특별시 나주시 다시면 다시로 </t>
    </r>
    <r>
      <rPr>
        <sz val="10"/>
        <rFont val="맑은 고딕"/>
        <family val="0"/>
        <charset val="1"/>
      </rPr>
      <t xml:space="preserve">203</t>
    </r>
  </si>
  <si>
    <t xml:space="preserve">라온초등학교</t>
  </si>
  <si>
    <t xml:space="preserve">061-339-1800</t>
  </si>
  <si>
    <t xml:space="preserve">http://raon.jge.es.kr</t>
  </si>
  <si>
    <r>
      <rPr>
        <sz val="10"/>
        <rFont val="Noto Sans CJK SC"/>
        <family val="2"/>
      </rPr>
      <t xml:space="preserve">전남광주통합특별시 나주시 그린로 </t>
    </r>
    <r>
      <rPr>
        <sz val="10"/>
        <rFont val="맑은 고딕"/>
        <family val="0"/>
        <charset val="1"/>
      </rPr>
      <t xml:space="preserve">93</t>
    </r>
  </si>
  <si>
    <t xml:space="preserve">양산초등학교</t>
  </si>
  <si>
    <t xml:space="preserve">061-337-2088</t>
  </si>
  <si>
    <t xml:space="preserve">http://najuyangsan.es.jne.kr</t>
  </si>
  <si>
    <r>
      <rPr>
        <sz val="10"/>
        <rFont val="Noto Sans CJK SC"/>
        <family val="2"/>
      </rPr>
      <t xml:space="preserve">전남광주통합특별시 나주시 왕곡면 고분로 </t>
    </r>
    <r>
      <rPr>
        <sz val="10"/>
        <rFont val="맑은 고딕"/>
        <family val="0"/>
        <charset val="1"/>
      </rPr>
      <t xml:space="preserve">1560</t>
    </r>
  </si>
  <si>
    <t xml:space="preserve">노안중학교</t>
  </si>
  <si>
    <t xml:space="preserve">061-335-2852</t>
  </si>
  <si>
    <t xml:space="preserve">http://noan.jge.ms.kr</t>
  </si>
  <si>
    <r>
      <rPr>
        <sz val="10"/>
        <rFont val="Noto Sans CJK SC"/>
        <family val="2"/>
      </rPr>
      <t xml:space="preserve">전남광주통합특별시 나주시 노안면 노안로 </t>
    </r>
    <r>
      <rPr>
        <sz val="10"/>
        <rFont val="맑은 고딕"/>
        <family val="0"/>
        <charset val="1"/>
      </rPr>
      <t xml:space="preserve">373</t>
    </r>
  </si>
  <si>
    <t xml:space="preserve">빛가람중학교</t>
  </si>
  <si>
    <t xml:space="preserve">061-820-4111</t>
  </si>
  <si>
    <t xml:space="preserve">http://bitgaram.ms.jne.kr</t>
  </si>
  <si>
    <r>
      <rPr>
        <sz val="10"/>
        <rFont val="Noto Sans CJK SC"/>
        <family val="2"/>
      </rPr>
      <t xml:space="preserve">전남광주통합특별시 나주시 월정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12</t>
    </r>
  </si>
  <si>
    <t xml:space="preserve">목포교육지원청</t>
  </si>
  <si>
    <t xml:space="preserve">목포덕인중학교</t>
  </si>
  <si>
    <t xml:space="preserve">061-240-6303</t>
  </si>
  <si>
    <t xml:space="preserve">http://mokpodeogin.ms.jne.kr</t>
  </si>
  <si>
    <t xml:space="preserve">목포영화중학교</t>
  </si>
  <si>
    <t xml:space="preserve">061-800-8114</t>
  </si>
  <si>
    <t xml:space="preserve">http://mokpoyounghwa.jge.ms.kr</t>
  </si>
  <si>
    <r>
      <rPr>
        <sz val="10"/>
        <rFont val="Noto Sans CJK SC"/>
        <family val="2"/>
      </rPr>
      <t xml:space="preserve">전남광주통합특별시 목포시 영산로 </t>
    </r>
    <r>
      <rPr>
        <sz val="10"/>
        <rFont val="맑은 고딕"/>
        <family val="0"/>
        <charset val="1"/>
      </rPr>
      <t xml:space="preserve">413-2</t>
    </r>
  </si>
  <si>
    <t xml:space="preserve">목포정명여자중학교</t>
  </si>
  <si>
    <t xml:space="preserve">061-240-3103</t>
  </si>
  <si>
    <t xml:space="preserve">http://jeongmyeong.ms.jne.kr</t>
  </si>
  <si>
    <r>
      <rPr>
        <sz val="10"/>
        <rFont val="Noto Sans CJK SC"/>
        <family val="2"/>
      </rPr>
      <t xml:space="preserve">전남광주통합특별시 목포시 삼일로 </t>
    </r>
    <r>
      <rPr>
        <sz val="10"/>
        <rFont val="맑은 고딕"/>
        <family val="0"/>
        <charset val="1"/>
      </rPr>
      <t xml:space="preserve">45</t>
    </r>
  </si>
  <si>
    <t xml:space="preserve">목포항도여자중학교</t>
  </si>
  <si>
    <t xml:space="preserve">061-279-1451</t>
  </si>
  <si>
    <t xml:space="preserve">http://mokpohangdo.ms.jne.kr</t>
  </si>
  <si>
    <r>
      <rPr>
        <sz val="10"/>
        <rFont val="Noto Sans CJK SC"/>
        <family val="2"/>
      </rPr>
      <t xml:space="preserve">전남광주통합특별시 목포시 상동로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111</t>
    </r>
  </si>
  <si>
    <t xml:space="preserve">목포혜인여자중학교</t>
  </si>
  <si>
    <t xml:space="preserve">061-240-6580</t>
  </si>
  <si>
    <t xml:space="preserve">http://mokpohyein.ms.jne.kr</t>
  </si>
  <si>
    <t xml:space="preserve">목포홍일중학교</t>
  </si>
  <si>
    <t xml:space="preserve">061-242-7783</t>
  </si>
  <si>
    <t xml:space="preserve">http://mokpohongil.ms.jne.kr</t>
  </si>
  <si>
    <t xml:space="preserve">문태중학교</t>
  </si>
  <si>
    <t xml:space="preserve">061-277-7535</t>
  </si>
  <si>
    <t xml:space="preserve">http://moontae.ms.jne.kr</t>
  </si>
  <si>
    <t xml:space="preserve">무안교육지원청</t>
  </si>
  <si>
    <t xml:space="preserve">무안사랑초등학교</t>
  </si>
  <si>
    <t xml:space="preserve">061-981-0170</t>
  </si>
  <si>
    <t xml:space="preserve">http://muansarang.es.jne.kr</t>
  </si>
  <si>
    <r>
      <rPr>
        <sz val="10"/>
        <rFont val="Noto Sans CJK SC"/>
        <family val="2"/>
      </rPr>
      <t xml:space="preserve">전남광주통합특별시 무안군 일로읍 오룡남로 </t>
    </r>
    <r>
      <rPr>
        <sz val="10"/>
        <rFont val="맑은 고딕"/>
        <family val="0"/>
        <charset val="1"/>
      </rPr>
      <t xml:space="preserve">89</t>
    </r>
  </si>
  <si>
    <t xml:space="preserve">오룡초등학교</t>
  </si>
  <si>
    <t xml:space="preserve">061-281-6183</t>
  </si>
  <si>
    <t xml:space="preserve">http://oryong.jge.es.kr</t>
  </si>
  <si>
    <r>
      <rPr>
        <sz val="10"/>
        <rFont val="Noto Sans CJK SC"/>
        <family val="2"/>
      </rPr>
      <t xml:space="preserve">전남광주통합특별시 무안군 삼향읍 남악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로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34</t>
    </r>
  </si>
  <si>
    <t xml:space="preserve">무안행복중학교</t>
  </si>
  <si>
    <t xml:space="preserve">061-280-9800</t>
  </si>
  <si>
    <t xml:space="preserve">http://muanhaengbok.ms.jne.kr</t>
  </si>
  <si>
    <r>
      <rPr>
        <sz val="10"/>
        <rFont val="Noto Sans CJK SC"/>
        <family val="2"/>
      </rPr>
      <t xml:space="preserve">전남광주통합특별시 무안군 일로읍 오룡번영로 </t>
    </r>
    <r>
      <rPr>
        <sz val="10"/>
        <rFont val="맑은 고딕"/>
        <family val="0"/>
        <charset val="1"/>
      </rPr>
      <t xml:space="preserve">110</t>
    </r>
  </si>
  <si>
    <t xml:space="preserve">무안희망중학교</t>
  </si>
  <si>
    <t xml:space="preserve">061-941-9840</t>
  </si>
  <si>
    <t xml:space="preserve">http://muanhuimang.jge.ms.kr</t>
  </si>
  <si>
    <r>
      <rPr>
        <sz val="10"/>
        <rFont val="Noto Sans CJK SC"/>
        <family val="2"/>
      </rPr>
      <t xml:space="preserve">전남광주통합특별시 무안군 일로읍 오룡중앙남로 </t>
    </r>
    <r>
      <rPr>
        <sz val="10"/>
        <rFont val="맑은 고딕"/>
        <family val="0"/>
        <charset val="1"/>
      </rPr>
      <t xml:space="preserve">63</t>
    </r>
  </si>
  <si>
    <t xml:space="preserve">보성교육지원청</t>
  </si>
  <si>
    <t xml:space="preserve">낙성초등학교</t>
  </si>
  <si>
    <t xml:space="preserve">061-857-0933</t>
  </si>
  <si>
    <t xml:space="preserve">http://nakseong.es.jne.kr</t>
  </si>
  <si>
    <r>
      <rPr>
        <sz val="10"/>
        <rFont val="Noto Sans CJK SC"/>
        <family val="2"/>
      </rPr>
      <t xml:space="preserve">전남광주통합특별시 보성군 벌교읍 채동선로 </t>
    </r>
    <r>
      <rPr>
        <sz val="10"/>
        <rFont val="맑은 고딕"/>
        <family val="0"/>
        <charset val="1"/>
      </rPr>
      <t xml:space="preserve">706</t>
    </r>
  </si>
  <si>
    <t xml:space="preserve">보성남초등학교</t>
  </si>
  <si>
    <t xml:space="preserve">061-853-5249</t>
  </si>
  <si>
    <t xml:space="preserve">http://boseongnam.es.jne.kr</t>
  </si>
  <si>
    <r>
      <rPr>
        <sz val="10"/>
        <rFont val="Noto Sans CJK SC"/>
        <family val="2"/>
      </rPr>
      <t xml:space="preserve">전남광주통합특별시 보성군 보성읍 새싹길 </t>
    </r>
    <r>
      <rPr>
        <sz val="10"/>
        <rFont val="맑은 고딕"/>
        <family val="0"/>
        <charset val="1"/>
      </rPr>
      <t xml:space="preserve">12</t>
    </r>
  </si>
  <si>
    <t xml:space="preserve">보성초등학교</t>
  </si>
  <si>
    <t xml:space="preserve">061-850-6302</t>
  </si>
  <si>
    <t xml:space="preserve">http://boseong10.es.jne.kr</t>
  </si>
  <si>
    <r>
      <rPr>
        <sz val="10"/>
        <rFont val="Noto Sans CJK SC"/>
        <family val="2"/>
      </rPr>
      <t xml:space="preserve">전남광주통합특별시 보성군 보성읍 송재로 </t>
    </r>
    <r>
      <rPr>
        <sz val="10"/>
        <rFont val="맑은 고딕"/>
        <family val="0"/>
        <charset val="1"/>
      </rPr>
      <t xml:space="preserve">161-8</t>
    </r>
  </si>
  <si>
    <t xml:space="preserve">예당중학교</t>
  </si>
  <si>
    <t xml:space="preserve">061-853-7883</t>
  </si>
  <si>
    <t xml:space="preserve">http://yedang.ms.jne.kr</t>
  </si>
  <si>
    <r>
      <rPr>
        <sz val="10"/>
        <rFont val="Noto Sans CJK SC"/>
        <family val="2"/>
      </rPr>
      <t xml:space="preserve">전남광주통합특별시 보성군 득량면 예당길 </t>
    </r>
    <r>
      <rPr>
        <sz val="10"/>
        <rFont val="맑은 고딕"/>
        <family val="0"/>
        <charset val="1"/>
      </rPr>
      <t xml:space="preserve">155-14</t>
    </r>
  </si>
  <si>
    <t xml:space="preserve">순천교육지원청</t>
  </si>
  <si>
    <t xml:space="preserve">순천도사초등학교</t>
  </si>
  <si>
    <t xml:space="preserve">061-745-7102</t>
  </si>
  <si>
    <t xml:space="preserve">http://dosa.es.jne.kr</t>
  </si>
  <si>
    <r>
      <rPr>
        <sz val="10"/>
        <rFont val="Noto Sans CJK SC"/>
        <family val="2"/>
      </rPr>
      <t xml:space="preserve">전남광주통합특별시 순천시 순천만길 </t>
    </r>
    <r>
      <rPr>
        <sz val="10"/>
        <rFont val="맑은 고딕"/>
        <family val="0"/>
        <charset val="1"/>
      </rPr>
      <t xml:space="preserve">166</t>
    </r>
  </si>
  <si>
    <t xml:space="preserve">순천왕지초등학교</t>
  </si>
  <si>
    <t xml:space="preserve">061-724-9506</t>
  </si>
  <si>
    <t xml:space="preserve">http://wangji.es.jne.kr</t>
  </si>
  <si>
    <r>
      <rPr>
        <sz val="10"/>
        <rFont val="Noto Sans CJK SC"/>
        <family val="2"/>
      </rPr>
      <t xml:space="preserve">전남광주통합특별시 순천시 연동남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8</t>
    </r>
  </si>
  <si>
    <t xml:space="preserve">신안교육지원청</t>
  </si>
  <si>
    <t xml:space="preserve">신안군</t>
  </si>
  <si>
    <t xml:space="preserve">신안신의중학교</t>
  </si>
  <si>
    <t xml:space="preserve">061-271-6567</t>
  </si>
  <si>
    <t xml:space="preserve">http://shinui.ms.jne.kr</t>
  </si>
  <si>
    <r>
      <rPr>
        <sz val="10"/>
        <rFont val="Noto Sans CJK SC"/>
        <family val="2"/>
      </rPr>
      <t xml:space="preserve">전남광주통합특별시 신안군 신의면 상서길 </t>
    </r>
    <r>
      <rPr>
        <sz val="10"/>
        <rFont val="맑은 고딕"/>
        <family val="0"/>
        <charset val="1"/>
      </rPr>
      <t xml:space="preserve">94</t>
    </r>
  </si>
  <si>
    <t xml:space="preserve">여수교육지원청</t>
  </si>
  <si>
    <t xml:space="preserve">여수진남초등학교</t>
  </si>
  <si>
    <t xml:space="preserve">061-642-1190</t>
  </si>
  <si>
    <t xml:space="preserve">http://jinnam.es.jne.kr</t>
  </si>
  <si>
    <r>
      <rPr>
        <sz val="10"/>
        <rFont val="Noto Sans CJK SC"/>
        <family val="2"/>
      </rPr>
      <t xml:space="preserve">전남광주통합특별시 여수시 좌수영로 </t>
    </r>
    <r>
      <rPr>
        <sz val="10"/>
        <rFont val="맑은 고딕"/>
        <family val="0"/>
        <charset val="1"/>
      </rPr>
      <t xml:space="preserve">131</t>
    </r>
  </si>
  <si>
    <t xml:space="preserve">여수한려초등학교</t>
  </si>
  <si>
    <t xml:space="preserve">061-690-2200</t>
  </si>
  <si>
    <t xml:space="preserve">http://hallyo.jge.es.kr</t>
  </si>
  <si>
    <r>
      <rPr>
        <sz val="10"/>
        <rFont val="Noto Sans CJK SC"/>
        <family val="2"/>
      </rPr>
      <t xml:space="preserve">전남광주통합특별시 여수시 여문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80</t>
    </r>
  </si>
  <si>
    <t xml:space="preserve">거문중학교</t>
  </si>
  <si>
    <t xml:space="preserve">061-665-8340</t>
  </si>
  <si>
    <t xml:space="preserve">http://geomun.jge.ms.kr</t>
  </si>
  <si>
    <r>
      <rPr>
        <sz val="10"/>
        <rFont val="Noto Sans CJK SC"/>
        <family val="2"/>
      </rPr>
      <t xml:space="preserve">전남광주통합특별시 여수시 삼산면 덕흥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30</t>
    </r>
  </si>
  <si>
    <t xml:space="preserve">여수종고중학교</t>
  </si>
  <si>
    <t xml:space="preserve">061-660-2560</t>
  </si>
  <si>
    <t xml:space="preserve">http://jongjung.ms.jne.kr</t>
  </si>
  <si>
    <r>
      <rPr>
        <sz val="10"/>
        <rFont val="Noto Sans CJK SC"/>
        <family val="2"/>
      </rPr>
      <t xml:space="preserve">전남광주통합특별시 여수시 군자길 </t>
    </r>
    <r>
      <rPr>
        <sz val="10"/>
        <rFont val="맑은 고딕"/>
        <family val="0"/>
        <charset val="1"/>
      </rPr>
      <t xml:space="preserve">75</t>
    </r>
  </si>
  <si>
    <t xml:space="preserve">여수중학교</t>
  </si>
  <si>
    <t xml:space="preserve">061-690-3791</t>
  </si>
  <si>
    <t xml:space="preserve">http://yeosu.ms.jne.kr</t>
  </si>
  <si>
    <r>
      <rPr>
        <sz val="10"/>
        <rFont val="Noto Sans CJK SC"/>
        <family val="2"/>
      </rPr>
      <t xml:space="preserve">전남광주통합특별시 여수시 공화북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19-1</t>
    </r>
  </si>
  <si>
    <t xml:space="preserve">영광교육지원청</t>
  </si>
  <si>
    <t xml:space="preserve">영광군</t>
  </si>
  <si>
    <t xml:space="preserve">묘량중앙초등학교</t>
  </si>
  <si>
    <t xml:space="preserve">061-352-5415</t>
  </si>
  <si>
    <t xml:space="preserve">http://myjungang.es.jne.kr</t>
  </si>
  <si>
    <r>
      <rPr>
        <sz val="10"/>
        <rFont val="Noto Sans CJK SC"/>
        <family val="2"/>
      </rPr>
      <t xml:space="preserve">전남광주통합특별시 영광군 묘량면 동삼로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26</t>
    </r>
  </si>
  <si>
    <t xml:space="preserve">완도교육지원청</t>
  </si>
  <si>
    <t xml:space="preserve">완도중앙초등학교</t>
  </si>
  <si>
    <t xml:space="preserve">061-552-5034</t>
  </si>
  <si>
    <t xml:space="preserve">http://wdja.es.jne.kr</t>
  </si>
  <si>
    <r>
      <rPr>
        <sz val="10"/>
        <rFont val="Noto Sans CJK SC"/>
        <family val="2"/>
      </rPr>
      <t xml:space="preserve">전남광주통합특별시 완도군 완도읍 개포로</t>
    </r>
    <r>
      <rPr>
        <sz val="10"/>
        <rFont val="맑은 고딕"/>
        <family val="0"/>
        <charset val="1"/>
      </rPr>
      <t xml:space="preserve">135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37</t>
    </r>
  </si>
  <si>
    <t xml:space="preserve">화흥초등학교</t>
  </si>
  <si>
    <t xml:space="preserve">061-552-2972</t>
  </si>
  <si>
    <t xml:space="preserve">http://hwaheung.jge.es.kr</t>
  </si>
  <si>
    <r>
      <rPr>
        <sz val="10"/>
        <rFont val="Noto Sans CJK SC"/>
        <family val="2"/>
      </rPr>
      <t xml:space="preserve">전남광주통합특별시 완도군 완도읍 청해진서로 </t>
    </r>
    <r>
      <rPr>
        <sz val="10"/>
        <rFont val="맑은 고딕"/>
        <family val="0"/>
        <charset val="1"/>
      </rPr>
      <t xml:space="preserve">824</t>
    </r>
  </si>
  <si>
    <t xml:space="preserve">장성교육지원청</t>
  </si>
  <si>
    <t xml:space="preserve">장성군</t>
  </si>
  <si>
    <t xml:space="preserve">장성중앙초등학교</t>
  </si>
  <si>
    <t xml:space="preserve">061-390-9790</t>
  </si>
  <si>
    <t xml:space="preserve">http://jsja.jge.es.kr</t>
  </si>
  <si>
    <r>
      <rPr>
        <sz val="10"/>
        <rFont val="Noto Sans CJK SC"/>
        <family val="2"/>
      </rPr>
      <t xml:space="preserve">전남광주통합특별시 장성군 장성읍 제봉로 </t>
    </r>
    <r>
      <rPr>
        <sz val="10"/>
        <rFont val="맑은 고딕"/>
        <family val="0"/>
        <charset val="1"/>
      </rPr>
      <t xml:space="preserve">84</t>
    </r>
  </si>
  <si>
    <t xml:space="preserve">삼계중학교</t>
  </si>
  <si>
    <t xml:space="preserve">061-399-0300</t>
  </si>
  <si>
    <t xml:space="preserve">http://js-samgye.jge.ms.kr</t>
  </si>
  <si>
    <r>
      <rPr>
        <sz val="10"/>
        <rFont val="Noto Sans CJK SC"/>
        <family val="2"/>
      </rPr>
      <t xml:space="preserve">전남광주통합특별시 장성군 삼계면 사창로 </t>
    </r>
    <r>
      <rPr>
        <sz val="10"/>
        <rFont val="맑은 고딕"/>
        <family val="0"/>
        <charset val="1"/>
      </rPr>
      <t xml:space="preserve">47</t>
    </r>
  </si>
  <si>
    <t xml:space="preserve">장흥교육지원청</t>
  </si>
  <si>
    <t xml:space="preserve">장흥군</t>
  </si>
  <si>
    <t xml:space="preserve">장흥초등학교</t>
  </si>
  <si>
    <t xml:space="preserve">061-862-6802</t>
  </si>
  <si>
    <t xml:space="preserve">http://jangheung.es.jne.kr</t>
  </si>
  <si>
    <r>
      <rPr>
        <sz val="10"/>
        <rFont val="Noto Sans CJK SC"/>
        <family val="2"/>
      </rPr>
      <t xml:space="preserve">전남광주통합특별시 장흥군 장흥읍 의향길 </t>
    </r>
    <r>
      <rPr>
        <sz val="10"/>
        <rFont val="맑은 고딕"/>
        <family val="0"/>
        <charset val="1"/>
      </rPr>
      <t xml:space="preserve">23</t>
    </r>
  </si>
  <si>
    <t xml:space="preserve">함평교육지원청</t>
  </si>
  <si>
    <t xml:space="preserve">함평군</t>
  </si>
  <si>
    <t xml:space="preserve">기산초등학교</t>
  </si>
  <si>
    <t xml:space="preserve">061-322-2692</t>
  </si>
  <si>
    <t xml:space="preserve">http://gisan.es.jne.kr</t>
  </si>
  <si>
    <r>
      <rPr>
        <sz val="10"/>
        <rFont val="Noto Sans CJK SC"/>
        <family val="2"/>
      </rPr>
      <t xml:space="preserve">전남광주통합특별시 함평군 함평읍 기산길 </t>
    </r>
    <r>
      <rPr>
        <sz val="10"/>
        <rFont val="맑은 고딕"/>
        <family val="0"/>
        <charset val="1"/>
      </rPr>
      <t xml:space="preserve">63</t>
    </r>
  </si>
  <si>
    <t xml:space="preserve">나산초등학교</t>
  </si>
  <si>
    <t xml:space="preserve">061-323-8008</t>
  </si>
  <si>
    <t xml:space="preserve">http://ns.es.jne.kr</t>
  </si>
  <si>
    <r>
      <rPr>
        <sz val="10"/>
        <rFont val="Noto Sans CJK SC"/>
        <family val="2"/>
      </rPr>
      <t xml:space="preserve">전남광주통합특별시 함평군 나산면 함장로 </t>
    </r>
    <r>
      <rPr>
        <sz val="10"/>
        <rFont val="맑은 고딕"/>
        <family val="0"/>
        <charset val="1"/>
      </rPr>
      <t xml:space="preserve">2441-8</t>
    </r>
  </si>
  <si>
    <t xml:space="preserve">대동향교초등학교</t>
  </si>
  <si>
    <t xml:space="preserve">061-322-2792</t>
  </si>
  <si>
    <t xml:space="preserve">http://ddhyanggyo.es.jne.kr</t>
  </si>
  <si>
    <r>
      <rPr>
        <sz val="10"/>
        <rFont val="Noto Sans CJK SC"/>
        <family val="2"/>
      </rPr>
      <t xml:space="preserve">전남광주통합특별시 함평군 대동면 대동길 </t>
    </r>
    <r>
      <rPr>
        <sz val="10"/>
        <rFont val="맑은 고딕"/>
        <family val="0"/>
        <charset val="1"/>
      </rPr>
      <t xml:space="preserve">6-9</t>
    </r>
  </si>
  <si>
    <t xml:space="preserve">엄다초등학교</t>
  </si>
  <si>
    <t xml:space="preserve">061-323-1315</t>
  </si>
  <si>
    <t xml:space="preserve">http://eomda.es.jne.kr</t>
  </si>
  <si>
    <r>
      <rPr>
        <sz val="10"/>
        <rFont val="Noto Sans CJK SC"/>
        <family val="2"/>
      </rPr>
      <t xml:space="preserve">전남광주통합특별시 함평군 엄다면 엄다길 </t>
    </r>
    <r>
      <rPr>
        <sz val="10"/>
        <rFont val="맑은 고딕"/>
        <family val="0"/>
        <charset val="1"/>
      </rPr>
      <t xml:space="preserve">35</t>
    </r>
  </si>
  <si>
    <t xml:space="preserve">해남교육지원청</t>
  </si>
  <si>
    <t xml:space="preserve">해남군</t>
  </si>
  <si>
    <t xml:space="preserve">해남동초등학교</t>
  </si>
  <si>
    <t xml:space="preserve">061-534-4200</t>
  </si>
  <si>
    <t xml:space="preserve">http://hn-dong.es.jne.kr</t>
  </si>
  <si>
    <r>
      <rPr>
        <sz val="10"/>
        <rFont val="Noto Sans CJK SC"/>
        <family val="2"/>
      </rPr>
      <t xml:space="preserve">전남광주통합특별시 해남군 해남읍 중앙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45</t>
    </r>
  </si>
  <si>
    <t xml:space="preserve">화순교육지원청</t>
  </si>
  <si>
    <t xml:space="preserve">능주초등학교</t>
  </si>
  <si>
    <t xml:space="preserve">061-372-4586</t>
  </si>
  <si>
    <t xml:space="preserve">http://neungju.es.jne.kr</t>
  </si>
  <si>
    <r>
      <rPr>
        <sz val="10"/>
        <rFont val="Noto Sans CJK SC"/>
        <family val="2"/>
      </rPr>
      <t xml:space="preserve">전남광주통합특별시 화순군 능주면 학샘길 </t>
    </r>
    <r>
      <rPr>
        <sz val="10"/>
        <rFont val="맑은 고딕"/>
        <family val="0"/>
        <charset val="1"/>
      </rPr>
      <t xml:space="preserve">12</t>
    </r>
  </si>
  <si>
    <t xml:space="preserve">도곡초등학교</t>
  </si>
  <si>
    <t xml:space="preserve">061-373-6021</t>
  </si>
  <si>
    <t xml:space="preserve">http://hs-dogok.jge.es.kr</t>
  </si>
  <si>
    <r>
      <rPr>
        <sz val="10"/>
        <rFont val="Noto Sans CJK SC"/>
        <family val="2"/>
      </rPr>
      <t xml:space="preserve">전남광주통합특별시 화순군 도곡면 천암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71</t>
    </r>
  </si>
  <si>
    <t xml:space="preserve">아산초등학교</t>
  </si>
  <si>
    <t xml:space="preserve">061-372-5092</t>
  </si>
  <si>
    <t xml:space="preserve">http://asan.es.jne.kr</t>
  </si>
  <si>
    <r>
      <rPr>
        <sz val="10"/>
        <rFont val="Noto Sans CJK SC"/>
        <family val="2"/>
      </rPr>
      <t xml:space="preserve">전남광주통합특별시 화순군 백아면 학천길 </t>
    </r>
    <r>
      <rPr>
        <sz val="10"/>
        <rFont val="맑은 고딕"/>
        <family val="0"/>
        <charset val="1"/>
      </rPr>
      <t xml:space="preserve">22-2</t>
    </r>
  </si>
  <si>
    <t xml:space="preserve">화순만연초등학교</t>
  </si>
  <si>
    <t xml:space="preserve">061-375-3114</t>
  </si>
  <si>
    <t xml:space="preserve">http://hsmy.es.jne.kr</t>
  </si>
  <si>
    <r>
      <rPr>
        <sz val="10"/>
        <rFont val="Noto Sans CJK SC"/>
        <family val="2"/>
      </rPr>
      <t xml:space="preserve">전남광주통합특별시 화순군 화순읍 알메로 </t>
    </r>
    <r>
      <rPr>
        <sz val="10"/>
        <rFont val="맑은 고딕"/>
        <family val="0"/>
        <charset val="1"/>
      </rPr>
      <t xml:space="preserve">72</t>
    </r>
  </si>
  <si>
    <t xml:space="preserve">화순초등학교</t>
  </si>
  <si>
    <t xml:space="preserve">061-370-0102</t>
  </si>
  <si>
    <t xml:space="preserve">http://hwasun.jge.es.kr</t>
  </si>
  <si>
    <r>
      <rPr>
        <sz val="10"/>
        <rFont val="Noto Sans CJK SC"/>
        <family val="2"/>
      </rPr>
      <t xml:space="preserve">전남광주통합특별시 화순군 화순읍 동헌길 </t>
    </r>
    <r>
      <rPr>
        <sz val="10"/>
        <rFont val="맑은 고딕"/>
        <family val="0"/>
        <charset val="1"/>
      </rPr>
      <t xml:space="preserve">9-7</t>
    </r>
  </si>
  <si>
    <t xml:space="preserve">능주중학교</t>
  </si>
  <si>
    <t xml:space="preserve">061-372-1191</t>
  </si>
  <si>
    <t xml:space="preserve">http://neungju.ms.jne.kr</t>
  </si>
  <si>
    <t xml:space="preserve">경산교육지원청</t>
  </si>
  <si>
    <t xml:space="preserve">경산시</t>
  </si>
  <si>
    <t xml:space="preserve">계당초등학교</t>
  </si>
  <si>
    <t xml:space="preserve">053-852-0104</t>
  </si>
  <si>
    <t xml:space="preserve">http://school.gyo6.net/kyedang</t>
  </si>
  <si>
    <r>
      <rPr>
        <sz val="10"/>
        <rFont val="Noto Sans CJK SC"/>
        <family val="2"/>
      </rPr>
      <t xml:space="preserve">경상북도 경산시 와촌면 계당길 </t>
    </r>
    <r>
      <rPr>
        <sz val="10"/>
        <rFont val="맑은 고딕"/>
        <family val="0"/>
        <charset val="1"/>
      </rPr>
      <t xml:space="preserve">27</t>
    </r>
  </si>
  <si>
    <t xml:space="preserve">남천초등학교</t>
  </si>
  <si>
    <t xml:space="preserve">053-812-9004</t>
  </si>
  <si>
    <t xml:space="preserve">http://school.gyo6.net/n1000es</t>
  </si>
  <si>
    <r>
      <rPr>
        <sz val="10"/>
        <rFont val="Noto Sans CJK SC"/>
        <family val="2"/>
      </rPr>
      <t xml:space="preserve">경상북도 경산시 남천면 남천로 </t>
    </r>
    <r>
      <rPr>
        <sz val="10"/>
        <rFont val="맑은 고딕"/>
        <family val="0"/>
        <charset val="1"/>
      </rPr>
      <t xml:space="preserve">481</t>
    </r>
  </si>
  <si>
    <t xml:space="preserve">문명중학교</t>
  </si>
  <si>
    <t xml:space="preserve">053-811-7316</t>
  </si>
  <si>
    <t xml:space="preserve">http://school.gyo6.net/munmyeongms</t>
  </si>
  <si>
    <r>
      <rPr>
        <sz val="10"/>
        <rFont val="Noto Sans CJK SC"/>
        <family val="2"/>
      </rPr>
      <t xml:space="preserve">경상북도 경산시 경청로</t>
    </r>
    <r>
      <rPr>
        <sz val="10"/>
        <rFont val="맑은 고딕"/>
        <family val="0"/>
        <charset val="1"/>
      </rPr>
      <t xml:space="preserve">230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30</t>
    </r>
  </si>
  <si>
    <t xml:space="preserve">삼성현중학교</t>
  </si>
  <si>
    <t xml:space="preserve">053-819-5650</t>
  </si>
  <si>
    <t xml:space="preserve">http://school.gyo6.net/samseonghyeon</t>
  </si>
  <si>
    <r>
      <rPr>
        <sz val="10"/>
        <rFont val="Noto Sans CJK SC"/>
        <family val="2"/>
      </rPr>
      <t xml:space="preserve">경상북도 경산시 경청로</t>
    </r>
    <r>
      <rPr>
        <sz val="10"/>
        <rFont val="맑은 고딕"/>
        <family val="0"/>
        <charset val="1"/>
      </rPr>
      <t xml:space="preserve">216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17</t>
    </r>
  </si>
  <si>
    <t xml:space="preserve">경주교육지원청</t>
  </si>
  <si>
    <t xml:space="preserve">경주시</t>
  </si>
  <si>
    <t xml:space="preserve">경주초등학교</t>
  </si>
  <si>
    <t xml:space="preserve">054-772-2456</t>
  </si>
  <si>
    <t xml:space="preserve">http://school.gyo6.net/gyeongjues</t>
  </si>
  <si>
    <r>
      <rPr>
        <sz val="10"/>
        <rFont val="Noto Sans CJK SC"/>
        <family val="2"/>
      </rPr>
      <t xml:space="preserve">경상북도 경주시 충효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20</t>
    </r>
  </si>
  <si>
    <t xml:space="preserve">유림초등학교</t>
  </si>
  <si>
    <t xml:space="preserve">054-771-6167</t>
  </si>
  <si>
    <t xml:space="preserve">http://school.gyo6.net/you</t>
  </si>
  <si>
    <r>
      <rPr>
        <sz val="10"/>
        <rFont val="Noto Sans CJK SC"/>
        <family val="2"/>
      </rPr>
      <t xml:space="preserve">경상북도 경주시 용담로</t>
    </r>
    <r>
      <rPr>
        <sz val="10"/>
        <rFont val="맑은 고딕"/>
        <family val="0"/>
        <charset val="1"/>
      </rPr>
      <t xml:space="preserve">104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43-4</t>
    </r>
  </si>
  <si>
    <t xml:space="preserve">황남초등학교</t>
  </si>
  <si>
    <t xml:space="preserve">054-749-1208</t>
  </si>
  <si>
    <t xml:space="preserve">http://school.gyo6.net/hn</t>
  </si>
  <si>
    <r>
      <rPr>
        <sz val="10"/>
        <rFont val="Noto Sans CJK SC"/>
        <family val="2"/>
      </rPr>
      <t xml:space="preserve">경상북도 경주시 광중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28</t>
    </r>
  </si>
  <si>
    <t xml:space="preserve">문화중학교</t>
  </si>
  <si>
    <t xml:space="preserve">070-7113-7271</t>
  </si>
  <si>
    <t xml:space="preserve">http://school.gyo6.net/moonhwams</t>
  </si>
  <si>
    <r>
      <rPr>
        <sz val="10"/>
        <rFont val="Noto Sans CJK SC"/>
        <family val="2"/>
      </rPr>
      <t xml:space="preserve">경상북도 경주시 충현로 </t>
    </r>
    <r>
      <rPr>
        <sz val="10"/>
        <rFont val="맑은 고딕"/>
        <family val="0"/>
        <charset val="1"/>
      </rPr>
      <t xml:space="preserve">98</t>
    </r>
  </si>
  <si>
    <t xml:space="preserve">사동고등학교</t>
  </si>
  <si>
    <t xml:space="preserve">053-819-8241</t>
  </si>
  <si>
    <t xml:space="preserve">http://school.gyo6.net/sadonggo</t>
  </si>
  <si>
    <r>
      <rPr>
        <sz val="10"/>
        <rFont val="Noto Sans CJK SC"/>
        <family val="2"/>
      </rPr>
      <t xml:space="preserve">경상북도 경산시 삼성현로</t>
    </r>
    <r>
      <rPr>
        <sz val="10"/>
        <rFont val="맑은 고딕"/>
        <family val="0"/>
        <charset val="1"/>
      </rPr>
      <t xml:space="preserve">91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36</t>
    </r>
  </si>
  <si>
    <t xml:space="preserve">경산자인학교</t>
  </si>
  <si>
    <t xml:space="preserve">053-859-5600</t>
  </si>
  <si>
    <t xml:space="preserve">http://school.gyo6.net/gsjain</t>
  </si>
  <si>
    <r>
      <rPr>
        <sz val="10"/>
        <rFont val="Noto Sans CJK SC"/>
        <family val="2"/>
      </rPr>
      <t xml:space="preserve">경상북도 경산시 자인면 원효로</t>
    </r>
    <r>
      <rPr>
        <sz val="10"/>
        <rFont val="맑은 고딕"/>
        <family val="0"/>
        <charset val="1"/>
      </rPr>
      <t xml:space="preserve">156</t>
    </r>
    <r>
      <rPr>
        <sz val="10"/>
        <rFont val="Noto Sans CJK SC"/>
        <family val="2"/>
      </rPr>
      <t xml:space="preserve">길</t>
    </r>
  </si>
  <si>
    <t xml:space="preserve">경주고등학교</t>
  </si>
  <si>
    <t xml:space="preserve">054-775-9670</t>
  </si>
  <si>
    <t xml:space="preserve">http://school.gyo6.net/gyeongjuhs</t>
  </si>
  <si>
    <r>
      <rPr>
        <sz val="10"/>
        <rFont val="Noto Sans CJK SC"/>
        <family val="2"/>
      </rPr>
      <t xml:space="preserve">경상북도 경주시 원효로 </t>
    </r>
    <r>
      <rPr>
        <sz val="10"/>
        <rFont val="맑은 고딕"/>
        <family val="0"/>
        <charset val="1"/>
      </rPr>
      <t xml:space="preserve">231</t>
    </r>
  </si>
  <si>
    <t xml:space="preserve">근화여자고등학교</t>
  </si>
  <si>
    <t xml:space="preserve">054-742-2393</t>
  </si>
  <si>
    <t xml:space="preserve">http://school.gyo6.net/geunhwahs</t>
  </si>
  <si>
    <r>
      <rPr>
        <sz val="10"/>
        <rFont val="Noto Sans CJK SC"/>
        <family val="2"/>
      </rPr>
      <t xml:space="preserve">경상북도 경주시 승삼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55</t>
    </r>
  </si>
  <si>
    <t xml:space="preserve">구미시</t>
  </si>
  <si>
    <t xml:space="preserve">구미고등학교</t>
  </si>
  <si>
    <t xml:space="preserve">054-452-9115</t>
  </si>
  <si>
    <t xml:space="preserve">http://school.gyo6.net/gumigo</t>
  </si>
  <si>
    <r>
      <rPr>
        <sz val="10"/>
        <rFont val="Noto Sans CJK SC"/>
        <family val="2"/>
      </rPr>
      <t xml:space="preserve">경상북도 구미시 문장로 </t>
    </r>
    <r>
      <rPr>
        <sz val="10"/>
        <rFont val="맑은 고딕"/>
        <family val="0"/>
        <charset val="1"/>
      </rPr>
      <t xml:space="preserve">42</t>
    </r>
  </si>
  <si>
    <t xml:space="preserve">금오고등학교</t>
  </si>
  <si>
    <t xml:space="preserve">054-456-4365</t>
  </si>
  <si>
    <t xml:space="preserve">http://school.gyo6.net/geumohs</t>
  </si>
  <si>
    <r>
      <rPr>
        <sz val="10"/>
        <rFont val="Noto Sans CJK SC"/>
        <family val="2"/>
      </rPr>
      <t xml:space="preserve">경상북도 구미시 박정희로</t>
    </r>
    <r>
      <rPr>
        <sz val="10"/>
        <rFont val="맑은 고딕"/>
        <family val="0"/>
        <charset val="1"/>
      </rPr>
      <t xml:space="preserve">25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15</t>
    </r>
  </si>
  <si>
    <t xml:space="preserve">사곡고등학교</t>
  </si>
  <si>
    <t xml:space="preserve">054-713-2500</t>
  </si>
  <si>
    <t xml:space="preserve">http://school.gyo6.net/sagok</t>
  </si>
  <si>
    <r>
      <rPr>
        <sz val="10"/>
        <rFont val="Noto Sans CJK SC"/>
        <family val="2"/>
      </rPr>
      <t xml:space="preserve">경상북도 구미시 박정희로 </t>
    </r>
    <r>
      <rPr>
        <sz val="10"/>
        <rFont val="맑은 고딕"/>
        <family val="0"/>
        <charset val="1"/>
      </rPr>
      <t xml:space="preserve">195</t>
    </r>
  </si>
  <si>
    <t xml:space="preserve">상모고등학교</t>
  </si>
  <si>
    <t xml:space="preserve">054-714-1000</t>
  </si>
  <si>
    <t xml:space="preserve">http://school.gyo6.net/sangmohs</t>
  </si>
  <si>
    <r>
      <rPr>
        <sz val="10"/>
        <rFont val="Noto Sans CJK SC"/>
        <family val="2"/>
      </rPr>
      <t xml:space="preserve">경상북도 구미시 박정희로 </t>
    </r>
    <r>
      <rPr>
        <sz val="10"/>
        <rFont val="맑은 고딕"/>
        <family val="0"/>
        <charset val="1"/>
      </rPr>
      <t xml:space="preserve">60-22</t>
    </r>
  </si>
  <si>
    <t xml:space="preserve">선주고등학교</t>
  </si>
  <si>
    <t xml:space="preserve">054-440-6740</t>
  </si>
  <si>
    <t xml:space="preserve">http://school.gyo6.net/seonjuhs</t>
  </si>
  <si>
    <r>
      <rPr>
        <sz val="10"/>
        <rFont val="Noto Sans CJK SC"/>
        <family val="2"/>
      </rPr>
      <t xml:space="preserve">경상북도 구미시 야은로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13</t>
    </r>
  </si>
  <si>
    <t xml:space="preserve">오상고등학교</t>
  </si>
  <si>
    <t xml:space="preserve">054-471-5037</t>
  </si>
  <si>
    <t xml:space="preserve">http://school.gyo6.net/osanghs</t>
  </si>
  <si>
    <r>
      <rPr>
        <sz val="10"/>
        <rFont val="Noto Sans CJK SC"/>
        <family val="2"/>
      </rPr>
      <t xml:space="preserve">경상북도 구미시 장천면 강동로 </t>
    </r>
    <r>
      <rPr>
        <sz val="10"/>
        <rFont val="맑은 고딕"/>
        <family val="0"/>
        <charset val="1"/>
      </rPr>
      <t xml:space="preserve">164</t>
    </r>
  </si>
  <si>
    <t xml:space="preserve">인동고등학교</t>
  </si>
  <si>
    <t xml:space="preserve">054-476-7181</t>
  </si>
  <si>
    <t xml:space="preserve">http://school.gyo6.net/indonghs</t>
  </si>
  <si>
    <r>
      <rPr>
        <sz val="10"/>
        <rFont val="Noto Sans CJK SC"/>
        <family val="2"/>
      </rPr>
      <t xml:space="preserve">경상북도 구미시 인동</t>
    </r>
    <r>
      <rPr>
        <sz val="10"/>
        <rFont val="맑은 고딕"/>
        <family val="0"/>
        <charset val="1"/>
      </rPr>
      <t xml:space="preserve">36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45</t>
    </r>
  </si>
  <si>
    <t xml:space="preserve">구미혜당학교</t>
  </si>
  <si>
    <t xml:space="preserve">054-455-1728</t>
  </si>
  <si>
    <t xml:space="preserve">http://www.hyedang.sc.kr</t>
  </si>
  <si>
    <r>
      <rPr>
        <sz val="10"/>
        <rFont val="Noto Sans CJK SC"/>
        <family val="2"/>
      </rPr>
      <t xml:space="preserve">경상북도 구미시 선산대로 </t>
    </r>
    <r>
      <rPr>
        <sz val="10"/>
        <rFont val="맑은 고딕"/>
        <family val="0"/>
        <charset val="1"/>
      </rPr>
      <t xml:space="preserve">129-1</t>
    </r>
  </si>
  <si>
    <t xml:space="preserve">상주시</t>
  </si>
  <si>
    <t xml:space="preserve">함창고등학교</t>
  </si>
  <si>
    <t xml:space="preserve">054-541-2297</t>
  </si>
  <si>
    <t xml:space="preserve">http://school.gyo6.net/hamchanghs</t>
  </si>
  <si>
    <r>
      <rPr>
        <sz val="10"/>
        <rFont val="Noto Sans CJK SC"/>
        <family val="2"/>
      </rPr>
      <t xml:space="preserve">경상북도 상주시 함창읍 함창중앙로 </t>
    </r>
    <r>
      <rPr>
        <sz val="10"/>
        <rFont val="맑은 고딕"/>
        <family val="0"/>
        <charset val="1"/>
      </rPr>
      <t xml:space="preserve">85</t>
    </r>
  </si>
  <si>
    <t xml:space="preserve">안동시</t>
  </si>
  <si>
    <t xml:space="preserve">경안고등학교</t>
  </si>
  <si>
    <t xml:space="preserve">054-857-4703</t>
  </si>
  <si>
    <t xml:space="preserve">http://school.gyo6.net/ka</t>
  </si>
  <si>
    <r>
      <rPr>
        <sz val="10"/>
        <rFont val="Noto Sans CJK SC"/>
        <family val="2"/>
      </rPr>
      <t xml:space="preserve">경상북도 안동시 제비원로 </t>
    </r>
    <r>
      <rPr>
        <sz val="10"/>
        <rFont val="맑은 고딕"/>
        <family val="0"/>
        <charset val="1"/>
      </rPr>
      <t xml:space="preserve">182</t>
    </r>
  </si>
  <si>
    <t xml:space="preserve">안동고등학교</t>
  </si>
  <si>
    <t xml:space="preserve">054-858-2941</t>
  </si>
  <si>
    <t xml:space="preserve">http://school.gyo6.net/andonghs</t>
  </si>
  <si>
    <r>
      <rPr>
        <sz val="10"/>
        <rFont val="Noto Sans CJK SC"/>
        <family val="2"/>
      </rPr>
      <t xml:space="preserve">경상북도 안동시 강남로 </t>
    </r>
    <r>
      <rPr>
        <sz val="10"/>
        <rFont val="맑은 고딕"/>
        <family val="0"/>
        <charset val="1"/>
      </rPr>
      <t xml:space="preserve">550</t>
    </r>
  </si>
  <si>
    <t xml:space="preserve">안동중앙고등학교</t>
  </si>
  <si>
    <t xml:space="preserve">054-852-2223</t>
  </si>
  <si>
    <t xml:space="preserve">http://school.gyo6.net/adja</t>
  </si>
  <si>
    <r>
      <rPr>
        <sz val="10"/>
        <rFont val="Noto Sans CJK SC"/>
        <family val="2"/>
      </rPr>
      <t xml:space="preserve">경상북도 안동시 서악길 </t>
    </r>
    <r>
      <rPr>
        <sz val="10"/>
        <rFont val="맑은 고딕"/>
        <family val="0"/>
        <charset val="1"/>
      </rPr>
      <t xml:space="preserve">45</t>
    </r>
  </si>
  <si>
    <t xml:space="preserve">영주시</t>
  </si>
  <si>
    <t xml:space="preserve">영광고등학교</t>
  </si>
  <si>
    <t xml:space="preserve">054-633-6613</t>
  </si>
  <si>
    <t xml:space="preserve">http://school.gyo6.net/yeong-gwang</t>
  </si>
  <si>
    <r>
      <rPr>
        <sz val="10"/>
        <rFont val="Noto Sans CJK SC"/>
        <family val="2"/>
      </rPr>
      <t xml:space="preserve">경상북도 영주시 의상로 </t>
    </r>
    <r>
      <rPr>
        <sz val="10"/>
        <rFont val="맑은 고딕"/>
        <family val="0"/>
        <charset val="1"/>
      </rPr>
      <t xml:space="preserve">62</t>
    </r>
  </si>
  <si>
    <t xml:space="preserve">예천군</t>
  </si>
  <si>
    <t xml:space="preserve">경북일고등학교</t>
  </si>
  <si>
    <t xml:space="preserve">054-522-8002</t>
  </si>
  <si>
    <t xml:space="preserve">http://school.gyo6.net/gyeongbuk</t>
  </si>
  <si>
    <r>
      <rPr>
        <sz val="10"/>
        <rFont val="Noto Sans CJK SC"/>
        <family val="2"/>
      </rPr>
      <t xml:space="preserve">경상북도 예천군 호명읍 행복로 </t>
    </r>
    <r>
      <rPr>
        <sz val="10"/>
        <rFont val="맑은 고딕"/>
        <family val="0"/>
        <charset val="1"/>
      </rPr>
      <t xml:space="preserve">193</t>
    </r>
  </si>
  <si>
    <t xml:space="preserve">칠곡군</t>
  </si>
  <si>
    <t xml:space="preserve">북삼고등학교</t>
  </si>
  <si>
    <t xml:space="preserve">054-970-0003</t>
  </si>
  <si>
    <t xml:space="preserve">http://school.gyo6.net/buksamhs</t>
  </si>
  <si>
    <r>
      <rPr>
        <sz val="10"/>
        <rFont val="Noto Sans CJK SC"/>
        <family val="2"/>
      </rPr>
      <t xml:space="preserve">경상북도 칠곡군 북삼읍 북삼로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130</t>
    </r>
  </si>
  <si>
    <t xml:space="preserve">석적고등학교</t>
  </si>
  <si>
    <t xml:space="preserve">054-979-2501</t>
  </si>
  <si>
    <t xml:space="preserve">http://school.gyo6.net/seokjeok</t>
  </si>
  <si>
    <r>
      <rPr>
        <sz val="10"/>
        <rFont val="Noto Sans CJK SC"/>
        <family val="2"/>
      </rPr>
      <t xml:space="preserve">경상북도 칠곡군 석적읍 동중리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65-20</t>
    </r>
  </si>
  <si>
    <t xml:space="preserve">포항시</t>
  </si>
  <si>
    <t xml:space="preserve">054-241-1216</t>
  </si>
  <si>
    <t xml:space="preserve">http://school.gyo6.net/daedonghs</t>
  </si>
  <si>
    <r>
      <rPr>
        <sz val="10"/>
        <rFont val="Noto Sans CJK SC"/>
        <family val="2"/>
      </rPr>
      <t xml:space="preserve">경상북도 포항시 북구 우창서길 </t>
    </r>
    <r>
      <rPr>
        <sz val="10"/>
        <rFont val="맑은 고딕"/>
        <family val="0"/>
        <charset val="1"/>
      </rPr>
      <t xml:space="preserve">34</t>
    </r>
  </si>
  <si>
    <t xml:space="preserve">054-285-5016</t>
  </si>
  <si>
    <t xml:space="preserve">http://school.gyo6.net/yihs</t>
  </si>
  <si>
    <r>
      <rPr>
        <sz val="10"/>
        <rFont val="Noto Sans CJK SC"/>
        <family val="2"/>
      </rPr>
      <t xml:space="preserve">경상북도 포항시 남구 연일읍 동문로 </t>
    </r>
    <r>
      <rPr>
        <sz val="10"/>
        <rFont val="맑은 고딕"/>
        <family val="0"/>
        <charset val="1"/>
      </rPr>
      <t xml:space="preserve">56</t>
    </r>
  </si>
  <si>
    <t xml:space="preserve">오천고등학교</t>
  </si>
  <si>
    <t xml:space="preserve">054-291-8400</t>
  </si>
  <si>
    <t xml:space="preserve">http://www.ocheon.hs.kr</t>
  </si>
  <si>
    <r>
      <rPr>
        <sz val="10"/>
        <rFont val="Noto Sans CJK SC"/>
        <family val="2"/>
      </rPr>
      <t xml:space="preserve">경상북도 포항시 남구 오천읍 해병로 </t>
    </r>
    <r>
      <rPr>
        <sz val="10"/>
        <rFont val="맑은 고딕"/>
        <family val="0"/>
        <charset val="1"/>
      </rPr>
      <t xml:space="preserve">293</t>
    </r>
  </si>
  <si>
    <t xml:space="preserve">포항고등학교</t>
  </si>
  <si>
    <t xml:space="preserve">054-613-4500</t>
  </si>
  <si>
    <t xml:space="preserve">http://school.gyo6.net/pohanghs</t>
  </si>
  <si>
    <r>
      <rPr>
        <sz val="10"/>
        <rFont val="Noto Sans CJK SC"/>
        <family val="2"/>
      </rPr>
      <t xml:space="preserve">경상북도 포항시 북구 아호로 </t>
    </r>
    <r>
      <rPr>
        <sz val="10"/>
        <rFont val="맑은 고딕"/>
        <family val="0"/>
        <charset val="1"/>
      </rPr>
      <t xml:space="preserve">50</t>
    </r>
  </si>
  <si>
    <t xml:space="preserve">포항제철고등학교</t>
  </si>
  <si>
    <t xml:space="preserve">054-279-4710</t>
  </si>
  <si>
    <t xml:space="preserve">http://school.gyo6.net/pocheolhs</t>
  </si>
  <si>
    <r>
      <rPr>
        <sz val="10"/>
        <rFont val="Noto Sans CJK SC"/>
        <family val="2"/>
      </rPr>
      <t xml:space="preserve">경상북도 포항시 남구 지곡로</t>
    </r>
    <r>
      <rPr>
        <sz val="10"/>
        <rFont val="맑은 고딕"/>
        <family val="0"/>
        <charset val="1"/>
      </rPr>
      <t xml:space="preserve">212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40</t>
    </r>
  </si>
  <si>
    <t xml:space="preserve">구미교육지원청</t>
  </si>
  <si>
    <t xml:space="preserve">고아초등학교</t>
  </si>
  <si>
    <t xml:space="preserve">054-481-3005</t>
  </si>
  <si>
    <t xml:space="preserve">http://school.gyo6.net/goa</t>
  </si>
  <si>
    <r>
      <rPr>
        <sz val="10"/>
        <rFont val="Noto Sans CJK SC"/>
        <family val="2"/>
      </rPr>
      <t xml:space="preserve">경상북도 구미시 고아읍 관심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46</t>
    </r>
  </si>
  <si>
    <t xml:space="preserve">구미신당초등학교</t>
  </si>
  <si>
    <t xml:space="preserve">054-715-7511</t>
  </si>
  <si>
    <t xml:space="preserve">http://school.gyo6.net/gmsdes</t>
  </si>
  <si>
    <r>
      <rPr>
        <sz val="10"/>
        <rFont val="Noto Sans CJK SC"/>
        <family val="2"/>
      </rPr>
      <t xml:space="preserve">경상북도 구미시 산동읍 신당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29</t>
    </r>
  </si>
  <si>
    <t xml:space="preserve">구미왕산초등학교</t>
  </si>
  <si>
    <t xml:space="preserve">054-461-5635</t>
  </si>
  <si>
    <t xml:space="preserve">http://school.gyo6.net/gmws</t>
  </si>
  <si>
    <r>
      <rPr>
        <sz val="10"/>
        <rFont val="Noto Sans CJK SC"/>
        <family val="2"/>
      </rPr>
      <t xml:space="preserve">경상북도 구미시 왕산로 </t>
    </r>
    <r>
      <rPr>
        <sz val="10"/>
        <rFont val="맑은 고딕"/>
        <family val="0"/>
        <charset val="1"/>
      </rPr>
      <t xml:space="preserve">32</t>
    </r>
  </si>
  <si>
    <t xml:space="preserve">구미원당초등학교</t>
  </si>
  <si>
    <t xml:space="preserve">054-715-5334</t>
  </si>
  <si>
    <t xml:space="preserve">http://school.gyo6.net/gumiwondang</t>
  </si>
  <si>
    <r>
      <rPr>
        <sz val="10"/>
        <rFont val="Noto Sans CJK SC"/>
        <family val="2"/>
      </rPr>
      <t xml:space="preserve">경상북도 구미시 산동읍 옥계신당로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21</t>
    </r>
  </si>
  <si>
    <t xml:space="preserve">금오초등학교</t>
  </si>
  <si>
    <t xml:space="preserve">054-455-1618</t>
  </si>
  <si>
    <t xml:space="preserve">http://school.gyo6.net/keumo</t>
  </si>
  <si>
    <r>
      <rPr>
        <sz val="10"/>
        <rFont val="Noto Sans CJK SC"/>
        <family val="2"/>
      </rPr>
      <t xml:space="preserve">경상북도 구미시 산책길 </t>
    </r>
    <r>
      <rPr>
        <sz val="10"/>
        <rFont val="맑은 고딕"/>
        <family val="0"/>
        <charset val="1"/>
      </rPr>
      <t xml:space="preserve">19</t>
    </r>
  </si>
  <si>
    <t xml:space="preserve">남계초등학교</t>
  </si>
  <si>
    <t xml:space="preserve">054-454-8511</t>
  </si>
  <si>
    <t xml:space="preserve">http://school.gyo6.net/namgye</t>
  </si>
  <si>
    <r>
      <rPr>
        <sz val="10"/>
        <rFont val="Noto Sans CJK SC"/>
        <family val="2"/>
      </rPr>
      <t xml:space="preserve">경상북도 구미시 고아읍 봉한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16</t>
    </r>
  </si>
  <si>
    <t xml:space="preserve">비산초등학교</t>
  </si>
  <si>
    <t xml:space="preserve">054-463-7460</t>
  </si>
  <si>
    <t xml:space="preserve">http://school.gyo6.net/gumibisanes</t>
  </si>
  <si>
    <r>
      <rPr>
        <sz val="10"/>
        <rFont val="Noto Sans CJK SC"/>
        <family val="2"/>
      </rPr>
      <t xml:space="preserve">경상북도 구미시 비산로 </t>
    </r>
    <r>
      <rPr>
        <sz val="10"/>
        <rFont val="맑은 고딕"/>
        <family val="0"/>
        <charset val="1"/>
      </rPr>
      <t xml:space="preserve">24</t>
    </r>
  </si>
  <si>
    <t xml:space="preserve">선산초등학교</t>
  </si>
  <si>
    <t xml:space="preserve">054-481-2578</t>
  </si>
  <si>
    <t xml:space="preserve">http://school.gyo6.net/sunsanes</t>
  </si>
  <si>
    <r>
      <rPr>
        <sz val="10"/>
        <rFont val="Noto Sans CJK SC"/>
        <family val="2"/>
      </rPr>
      <t xml:space="preserve">경상북도 구미시 선산읍 선산중앙로 </t>
    </r>
    <r>
      <rPr>
        <sz val="10"/>
        <rFont val="맑은 고딕"/>
        <family val="0"/>
        <charset val="1"/>
      </rPr>
      <t xml:space="preserve">87-4</t>
    </r>
  </si>
  <si>
    <t xml:space="preserve">옥계초등학교</t>
  </si>
  <si>
    <t xml:space="preserve">054-471-6127</t>
  </si>
  <si>
    <t xml:space="preserve">http://school.gyo6.net/okgyees</t>
  </si>
  <si>
    <r>
      <rPr>
        <sz val="10"/>
        <rFont val="Noto Sans CJK SC"/>
        <family val="2"/>
      </rPr>
      <t xml:space="preserve">경상북도 구미시 산호대로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21-7</t>
    </r>
  </si>
  <si>
    <t xml:space="preserve">광평중학교</t>
  </si>
  <si>
    <t xml:space="preserve">054-444-4510</t>
  </si>
  <si>
    <t xml:space="preserve">http://school.gyo6.net/gp</t>
  </si>
  <si>
    <r>
      <rPr>
        <sz val="10"/>
        <rFont val="Noto Sans CJK SC"/>
        <family val="2"/>
      </rPr>
      <t xml:space="preserve">경상북도 구미시 화신로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11-12</t>
    </r>
  </si>
  <si>
    <t xml:space="preserve">구미인덕중학교</t>
  </si>
  <si>
    <t xml:space="preserve">054-715-7823</t>
  </si>
  <si>
    <t xml:space="preserve">http://school.gyo6.net/Indeok</t>
  </si>
  <si>
    <r>
      <rPr>
        <sz val="10"/>
        <rFont val="Noto Sans CJK SC"/>
        <family val="2"/>
      </rPr>
      <t xml:space="preserve">경상북도 구미시 산동면 신당인덕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33</t>
    </r>
  </si>
  <si>
    <t xml:space="preserve">선주중학교</t>
  </si>
  <si>
    <t xml:space="preserve">054-444-0562</t>
  </si>
  <si>
    <t xml:space="preserve">http://school.gyo6.net/seonjums</t>
  </si>
  <si>
    <r>
      <rPr>
        <sz val="10"/>
        <rFont val="Noto Sans CJK SC"/>
        <family val="2"/>
      </rPr>
      <t xml:space="preserve">경상북도 구미시 야은로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27</t>
    </r>
  </si>
  <si>
    <t xml:space="preserve">김천교육지원청</t>
  </si>
  <si>
    <t xml:space="preserve">김천시</t>
  </si>
  <si>
    <t xml:space="preserve">김천다수초등학교</t>
  </si>
  <si>
    <t xml:space="preserve">054-432-5759</t>
  </si>
  <si>
    <t xml:space="preserve">http://school.gyo6.net/dasu</t>
  </si>
  <si>
    <r>
      <rPr>
        <sz val="10"/>
        <rFont val="Noto Sans CJK SC"/>
        <family val="2"/>
      </rPr>
      <t xml:space="preserve">경상북도 김천시 영남대로 </t>
    </r>
    <r>
      <rPr>
        <sz val="10"/>
        <rFont val="맑은 고딕"/>
        <family val="0"/>
        <charset val="1"/>
      </rPr>
      <t xml:space="preserve">1286</t>
    </r>
  </si>
  <si>
    <t xml:space="preserve">아천초등학교</t>
  </si>
  <si>
    <t xml:space="preserve">054-430-3008</t>
  </si>
  <si>
    <t xml:space="preserve">http://school.gyo6.net/acheon</t>
  </si>
  <si>
    <r>
      <rPr>
        <sz val="10"/>
        <rFont val="Noto Sans CJK SC"/>
        <family val="2"/>
      </rPr>
      <t xml:space="preserve">경상북도 김천시 어모면 어모문화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14</t>
    </r>
  </si>
  <si>
    <t xml:space="preserve">운곡초등학교</t>
  </si>
  <si>
    <t xml:space="preserve">054-437-5121</t>
  </si>
  <si>
    <t xml:space="preserve">http://school.gyo6.net/gcungokes</t>
  </si>
  <si>
    <r>
      <rPr>
        <sz val="10"/>
        <rFont val="Noto Sans CJK SC"/>
        <family val="2"/>
      </rPr>
      <t xml:space="preserve">경상북도 김천시 용전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7</t>
    </r>
  </si>
  <si>
    <t xml:space="preserve">문경교육지원청</t>
  </si>
  <si>
    <t xml:space="preserve">문경시</t>
  </si>
  <si>
    <t xml:space="preserve">영순초등학교</t>
  </si>
  <si>
    <t xml:space="preserve">054-552-6017</t>
  </si>
  <si>
    <t xml:space="preserve">http://school.gyo6.net/yeongsun</t>
  </si>
  <si>
    <r>
      <rPr>
        <sz val="10"/>
        <rFont val="Noto Sans CJK SC"/>
        <family val="2"/>
      </rPr>
      <t xml:space="preserve">경상북도 문경시 영순면 사근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14</t>
    </r>
  </si>
  <si>
    <t xml:space="preserve">호서남초등학교</t>
  </si>
  <si>
    <t xml:space="preserve">054-550-5803</t>
  </si>
  <si>
    <t xml:space="preserve">http://school.gyo6.net/hoseonames</t>
  </si>
  <si>
    <r>
      <rPr>
        <sz val="10"/>
        <rFont val="Noto Sans CJK SC"/>
        <family val="2"/>
      </rPr>
      <t xml:space="preserve">경상북도 문경시 호서로 </t>
    </r>
    <r>
      <rPr>
        <sz val="10"/>
        <rFont val="맑은 고딕"/>
        <family val="0"/>
        <charset val="1"/>
      </rPr>
      <t xml:space="preserve">117</t>
    </r>
  </si>
  <si>
    <t xml:space="preserve">봉화교육지원청</t>
  </si>
  <si>
    <t xml:space="preserve">봉화군</t>
  </si>
  <si>
    <t xml:space="preserve">봉성초등학교</t>
  </si>
  <si>
    <t xml:space="preserve">054-672-9044</t>
  </si>
  <si>
    <t xml:space="preserve">http://school.gyo6.net/bwbongseong</t>
  </si>
  <si>
    <r>
      <rPr>
        <sz val="10"/>
        <rFont val="Noto Sans CJK SC"/>
        <family val="2"/>
      </rPr>
      <t xml:space="preserve">경상북도 봉화군 봉성면 봉명로 </t>
    </r>
    <r>
      <rPr>
        <sz val="10"/>
        <rFont val="맑은 고딕"/>
        <family val="0"/>
        <charset val="1"/>
      </rPr>
      <t xml:space="preserve">550</t>
    </r>
  </si>
  <si>
    <t xml:space="preserve">상주교육지원청</t>
  </si>
  <si>
    <t xml:space="preserve">남산중학교</t>
  </si>
  <si>
    <t xml:space="preserve">054-532-3412</t>
  </si>
  <si>
    <t xml:space="preserve">http://www.sjnamsan.ms.kr</t>
  </si>
  <si>
    <r>
      <rPr>
        <sz val="10"/>
        <rFont val="Noto Sans CJK SC"/>
        <family val="2"/>
      </rPr>
      <t xml:space="preserve">경상북도 상주시 낙양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29</t>
    </r>
  </si>
  <si>
    <t xml:space="preserve">성주교육지원청</t>
  </si>
  <si>
    <t xml:space="preserve">성주군</t>
  </si>
  <si>
    <t xml:space="preserve">성주초등학교</t>
  </si>
  <si>
    <t xml:space="preserve">054-933-2020</t>
  </si>
  <si>
    <t xml:space="preserve">http://school.gyo6.net/sjcho</t>
  </si>
  <si>
    <r>
      <rPr>
        <sz val="10"/>
        <rFont val="Noto Sans CJK SC"/>
        <family val="2"/>
      </rPr>
      <t xml:space="preserve">경상북도 성주군 성주읍 성주읍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9</t>
    </r>
  </si>
  <si>
    <t xml:space="preserve">초전초등학교</t>
  </si>
  <si>
    <t xml:space="preserve">054-932-8042</t>
  </si>
  <si>
    <t xml:space="preserve">http://school.gyo6.net/chojun</t>
  </si>
  <si>
    <r>
      <rPr>
        <sz val="10"/>
        <rFont val="Noto Sans CJK SC"/>
        <family val="2"/>
      </rPr>
      <t xml:space="preserve">경상북도 성주군 초전면 대장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68</t>
    </r>
  </si>
  <si>
    <t xml:space="preserve">수륜중학교</t>
  </si>
  <si>
    <t xml:space="preserve">054-932-3007</t>
  </si>
  <si>
    <t xml:space="preserve">http://school.gyo6.net/suryunms</t>
  </si>
  <si>
    <r>
      <rPr>
        <sz val="10"/>
        <rFont val="Noto Sans CJK SC"/>
        <family val="2"/>
      </rPr>
      <t xml:space="preserve">경상북도 성주군 수륜면 참별로 </t>
    </r>
    <r>
      <rPr>
        <sz val="10"/>
        <rFont val="맑은 고딕"/>
        <family val="0"/>
        <charset val="1"/>
      </rPr>
      <t xml:space="preserve">888</t>
    </r>
  </si>
  <si>
    <t xml:space="preserve">안동교육지원청</t>
  </si>
  <si>
    <t xml:space="preserve">신성초등학교</t>
  </si>
  <si>
    <t xml:space="preserve">054-841-2066</t>
  </si>
  <si>
    <t xml:space="preserve">http://school.gyo6.net/sinsunges</t>
  </si>
  <si>
    <r>
      <rPr>
        <sz val="10"/>
        <rFont val="Noto Sans CJK SC"/>
        <family val="2"/>
      </rPr>
      <t xml:space="preserve">경상북도 안동시 풍천면 신성장골길 </t>
    </r>
    <r>
      <rPr>
        <sz val="10"/>
        <rFont val="맑은 고딕"/>
        <family val="0"/>
        <charset val="1"/>
      </rPr>
      <t xml:space="preserve">1</t>
    </r>
  </si>
  <si>
    <t xml:space="preserve">안동송현초등학교</t>
  </si>
  <si>
    <t xml:space="preserve">054-858-2573</t>
  </si>
  <si>
    <t xml:space="preserve">http://school.gyo6.net/andongsonghyun</t>
  </si>
  <si>
    <r>
      <rPr>
        <sz val="10"/>
        <rFont val="Noto Sans CJK SC"/>
        <family val="2"/>
      </rPr>
      <t xml:space="preserve">경상북도 안동시 경동로 </t>
    </r>
    <r>
      <rPr>
        <sz val="10"/>
        <rFont val="맑은 고딕"/>
        <family val="0"/>
        <charset val="1"/>
      </rPr>
      <t xml:space="preserve">313</t>
    </r>
  </si>
  <si>
    <t xml:space="preserve">안동영호초등학교</t>
  </si>
  <si>
    <t xml:space="preserve">054-853-6101</t>
  </si>
  <si>
    <t xml:space="preserve">http://school.gyo6.net/adyhes</t>
  </si>
  <si>
    <r>
      <rPr>
        <sz val="10"/>
        <rFont val="Noto Sans CJK SC"/>
        <family val="2"/>
      </rPr>
      <t xml:space="preserve">경상북도 안동시 옥서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8</t>
    </r>
  </si>
  <si>
    <t xml:space="preserve">안동용상초등학교</t>
  </si>
  <si>
    <t xml:space="preserve">054-821-3016</t>
  </si>
  <si>
    <t xml:space="preserve">http://school.gyo6.net/adys</t>
  </si>
  <si>
    <r>
      <rPr>
        <sz val="10"/>
        <rFont val="Noto Sans CJK SC"/>
        <family val="2"/>
      </rPr>
      <t xml:space="preserve">경상북도 안동시 경동로 </t>
    </r>
    <r>
      <rPr>
        <sz val="10"/>
        <rFont val="맑은 고딕"/>
        <family val="0"/>
        <charset val="1"/>
      </rPr>
      <t xml:space="preserve">900</t>
    </r>
  </si>
  <si>
    <t xml:space="preserve">풍천풍서초등학교</t>
  </si>
  <si>
    <t xml:space="preserve">054-842-1702</t>
  </si>
  <si>
    <t xml:space="preserve">http://school.gyo6.net/pcps</t>
  </si>
  <si>
    <r>
      <rPr>
        <sz val="10"/>
        <rFont val="Noto Sans CJK SC"/>
        <family val="2"/>
      </rPr>
      <t xml:space="preserve">경상북도 안동시 풍천면 풍요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9</t>
    </r>
  </si>
  <si>
    <t xml:space="preserve">안동중학교</t>
  </si>
  <si>
    <t xml:space="preserve">054-852-2122</t>
  </si>
  <si>
    <t xml:space="preserve">http://school.gyo6.net/andong</t>
  </si>
  <si>
    <r>
      <rPr>
        <sz val="10"/>
        <rFont val="Noto Sans CJK SC"/>
        <family val="2"/>
      </rPr>
      <t xml:space="preserve">경상북도 안동시 태화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14</t>
    </r>
  </si>
  <si>
    <t xml:space="preserve">영덕교육지원청</t>
  </si>
  <si>
    <t xml:space="preserve">영덕군</t>
  </si>
  <si>
    <t xml:space="preserve">지품초등학교</t>
  </si>
  <si>
    <t xml:space="preserve">054-732-3014</t>
  </si>
  <si>
    <t xml:space="preserve">http://school.gyo6.net/chipumes</t>
  </si>
  <si>
    <r>
      <rPr>
        <sz val="10"/>
        <rFont val="Noto Sans CJK SC"/>
        <family val="2"/>
      </rPr>
      <t xml:space="preserve">경상북도 영덕군 지품면 지영로 </t>
    </r>
    <r>
      <rPr>
        <sz val="10"/>
        <rFont val="맑은 고딕"/>
        <family val="0"/>
        <charset val="1"/>
      </rPr>
      <t xml:space="preserve">7-4</t>
    </r>
  </si>
  <si>
    <t xml:space="preserve">영주교육지원청</t>
  </si>
  <si>
    <t xml:space="preserve">영주서부초등학교</t>
  </si>
  <si>
    <t xml:space="preserve">054-638-2086</t>
  </si>
  <si>
    <t xml:space="preserve">http://school.gyo6.net/seobues</t>
  </si>
  <si>
    <r>
      <rPr>
        <sz val="10"/>
        <rFont val="Noto Sans CJK SC"/>
        <family val="2"/>
      </rPr>
      <t xml:space="preserve">경상북도 영주시 신재로 </t>
    </r>
    <r>
      <rPr>
        <sz val="10"/>
        <rFont val="맑은 고딕"/>
        <family val="0"/>
        <charset val="1"/>
      </rPr>
      <t xml:space="preserve">12</t>
    </r>
  </si>
  <si>
    <t xml:space="preserve">영주중앙초등학교</t>
  </si>
  <si>
    <t xml:space="preserve">054-638-9438</t>
  </si>
  <si>
    <t xml:space="preserve">http://school.gyo6.net/yjjae</t>
  </si>
  <si>
    <r>
      <rPr>
        <sz val="10"/>
        <rFont val="Noto Sans CJK SC"/>
        <family val="2"/>
      </rPr>
      <t xml:space="preserve">경상북도 영주시 중앙로 </t>
    </r>
    <r>
      <rPr>
        <sz val="10"/>
        <rFont val="맑은 고딕"/>
        <family val="0"/>
        <charset val="1"/>
      </rPr>
      <t xml:space="preserve">126</t>
    </r>
  </si>
  <si>
    <t xml:space="preserve">풍기북부초등학교</t>
  </si>
  <si>
    <t xml:space="preserve">054-636-8514</t>
  </si>
  <si>
    <t xml:space="preserve">http://school.gyo6.net/pgb</t>
  </si>
  <si>
    <r>
      <rPr>
        <sz val="10"/>
        <rFont val="Noto Sans CJK SC"/>
        <family val="2"/>
      </rPr>
      <t xml:space="preserve">경상북도 영주시 풍기읍 금계로 </t>
    </r>
    <r>
      <rPr>
        <sz val="10"/>
        <rFont val="맑은 고딕"/>
        <family val="0"/>
        <charset val="1"/>
      </rPr>
      <t xml:space="preserve">72</t>
    </r>
  </si>
  <si>
    <t xml:space="preserve">영천교육지원청</t>
  </si>
  <si>
    <t xml:space="preserve">영천시</t>
  </si>
  <si>
    <t xml:space="preserve">고경초등학교</t>
  </si>
  <si>
    <t xml:space="preserve">054-336-3075</t>
  </si>
  <si>
    <t xml:space="preserve">http://school.gyo6.net/kogyung</t>
  </si>
  <si>
    <r>
      <rPr>
        <sz val="10"/>
        <rFont val="Noto Sans CJK SC"/>
        <family val="2"/>
      </rPr>
      <t xml:space="preserve">경상북도 영천시 고경면 호국로 </t>
    </r>
    <r>
      <rPr>
        <sz val="10"/>
        <rFont val="맑은 고딕"/>
        <family val="0"/>
        <charset val="1"/>
      </rPr>
      <t xml:space="preserve">1276</t>
    </r>
  </si>
  <si>
    <t xml:space="preserve">성남여자중학교</t>
  </si>
  <si>
    <t xml:space="preserve">054-334-2806</t>
  </si>
  <si>
    <t xml:space="preserve">http://school.gyo6.net/ycsnms</t>
  </si>
  <si>
    <r>
      <rPr>
        <sz val="10"/>
        <rFont val="Noto Sans CJK SC"/>
        <family val="2"/>
      </rPr>
      <t xml:space="preserve">경상북도 영천시 남촌길 </t>
    </r>
    <r>
      <rPr>
        <sz val="10"/>
        <rFont val="맑은 고딕"/>
        <family val="0"/>
        <charset val="1"/>
      </rPr>
      <t xml:space="preserve">17</t>
    </r>
  </si>
  <si>
    <t xml:space="preserve">울릉교육지원청</t>
  </si>
  <si>
    <t xml:space="preserve">울릉군</t>
  </si>
  <si>
    <t xml:space="preserve">저동초등학교</t>
  </si>
  <si>
    <t xml:space="preserve">054-791-2279</t>
  </si>
  <si>
    <t xml:space="preserve">http://school.gyo6.net/uljeodonges</t>
  </si>
  <si>
    <r>
      <rPr>
        <sz val="10"/>
        <rFont val="Noto Sans CJK SC"/>
        <family val="2"/>
      </rPr>
      <t xml:space="preserve">경상북도 울릉군 울릉읍 봉래길 </t>
    </r>
    <r>
      <rPr>
        <sz val="10"/>
        <rFont val="맑은 고딕"/>
        <family val="0"/>
        <charset val="1"/>
      </rPr>
      <t xml:space="preserve">128-3</t>
    </r>
  </si>
  <si>
    <t xml:space="preserve">울진교육지원청</t>
  </si>
  <si>
    <t xml:space="preserve">울진군</t>
  </si>
  <si>
    <t xml:space="preserve">온정초등학교</t>
  </si>
  <si>
    <t xml:space="preserve">054-787-3011</t>
  </si>
  <si>
    <t xml:space="preserve">http://school.gyo6.net/onjunges</t>
  </si>
  <si>
    <r>
      <rPr>
        <sz val="10"/>
        <rFont val="Noto Sans CJK SC"/>
        <family val="2"/>
      </rPr>
      <t xml:space="preserve">경상북도 울진군 온정면 온정학교길 </t>
    </r>
    <r>
      <rPr>
        <sz val="10"/>
        <rFont val="맑은 고딕"/>
        <family val="0"/>
        <charset val="1"/>
      </rPr>
      <t xml:space="preserve">49</t>
    </r>
  </si>
  <si>
    <t xml:space="preserve">의성교육지원청</t>
  </si>
  <si>
    <t xml:space="preserve">의성군</t>
  </si>
  <si>
    <t xml:space="preserve">안계초등학교</t>
  </si>
  <si>
    <t xml:space="preserve">054-861-3391</t>
  </si>
  <si>
    <t xml:space="preserve">http://school.gyo6.net/an-gyees</t>
  </si>
  <si>
    <r>
      <rPr>
        <sz val="10"/>
        <rFont val="Noto Sans CJK SC"/>
        <family val="2"/>
      </rPr>
      <t xml:space="preserve">경상북도 의성군 안계면 안계길 </t>
    </r>
    <r>
      <rPr>
        <sz val="10"/>
        <rFont val="맑은 고딕"/>
        <family val="0"/>
        <charset val="1"/>
      </rPr>
      <t xml:space="preserve">68</t>
    </r>
  </si>
  <si>
    <t xml:space="preserve">칠곡교육지원청</t>
  </si>
  <si>
    <t xml:space="preserve">대교초등학교</t>
  </si>
  <si>
    <t xml:space="preserve">054-977-2431</t>
  </si>
  <si>
    <t xml:space="preserve">http://school.gyo6.net/daegyo</t>
  </si>
  <si>
    <r>
      <rPr>
        <sz val="10"/>
        <rFont val="Noto Sans CJK SC"/>
        <family val="2"/>
      </rPr>
      <t xml:space="preserve">경상북도 칠곡군 석적읍 서중리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15</t>
    </r>
  </si>
  <si>
    <t xml:space="preserve">약목초등학교</t>
  </si>
  <si>
    <t xml:space="preserve">054-975-0513</t>
  </si>
  <si>
    <t xml:space="preserve">http://school.gyo6.net/yakmokes</t>
  </si>
  <si>
    <r>
      <rPr>
        <sz val="10"/>
        <rFont val="Noto Sans CJK SC"/>
        <family val="2"/>
      </rPr>
      <t xml:space="preserve">경상북도 칠곡군 약목면 복성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30</t>
    </r>
  </si>
  <si>
    <t xml:space="preserve">장곡초등학교</t>
  </si>
  <si>
    <t xml:space="preserve">054-971-3786</t>
  </si>
  <si>
    <t xml:space="preserve">http://school.gyo6.net/janggokes</t>
  </si>
  <si>
    <r>
      <rPr>
        <sz val="10"/>
        <rFont val="Noto Sans CJK SC"/>
        <family val="2"/>
      </rPr>
      <t xml:space="preserve">경상북도 칠곡군 석적읍 유학로 </t>
    </r>
    <r>
      <rPr>
        <sz val="10"/>
        <rFont val="맑은 고딕"/>
        <family val="0"/>
        <charset val="1"/>
      </rPr>
      <t xml:space="preserve">86-9</t>
    </r>
  </si>
  <si>
    <t xml:space="preserve">왜관중학교</t>
  </si>
  <si>
    <t xml:space="preserve">054-970-5110</t>
  </si>
  <si>
    <t xml:space="preserve">http://school.gyo6.net/waegwan</t>
  </si>
  <si>
    <r>
      <rPr>
        <sz val="10"/>
        <rFont val="Noto Sans CJK SC"/>
        <family val="2"/>
      </rPr>
      <t xml:space="preserve">경상북도 칠곡군 왜관읍 평장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34</t>
    </r>
  </si>
  <si>
    <t xml:space="preserve">장곡중학교</t>
  </si>
  <si>
    <t xml:space="preserve">054-977-6502</t>
  </si>
  <si>
    <t xml:space="preserve">http://school.gyo6.net/janggok</t>
  </si>
  <si>
    <r>
      <rPr>
        <sz val="10"/>
        <rFont val="Noto Sans CJK SC"/>
        <family val="2"/>
      </rPr>
      <t xml:space="preserve">경상북도 칠곡군 석적읍 남중리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13</t>
    </r>
  </si>
  <si>
    <t xml:space="preserve">포항교육지원청</t>
  </si>
  <si>
    <t xml:space="preserve">대이초등학교</t>
  </si>
  <si>
    <t xml:space="preserve">054-275-3643</t>
  </si>
  <si>
    <t xml:space="preserve">http://school.gyo6.net/daei</t>
  </si>
  <si>
    <r>
      <rPr>
        <sz val="10"/>
        <rFont val="Noto Sans CJK SC"/>
        <family val="2"/>
      </rPr>
      <t xml:space="preserve">경상북도 포항시 남구 대이로</t>
    </r>
    <r>
      <rPr>
        <sz val="10"/>
        <rFont val="맑은 고딕"/>
        <family val="0"/>
        <charset val="1"/>
      </rPr>
      <t xml:space="preserve">46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35</t>
    </r>
  </si>
  <si>
    <t xml:space="preserve">초곡초등학교</t>
  </si>
  <si>
    <t xml:space="preserve">054-250-6872</t>
  </si>
  <si>
    <t xml:space="preserve">http://school.gyo6.net/chogok</t>
  </si>
  <si>
    <t xml:space="preserve">경상북도 포항시 북구 흥해읍 초곡지구로</t>
  </si>
  <si>
    <t xml:space="preserve">포항대흥초등학교</t>
  </si>
  <si>
    <t xml:space="preserve">054-246-0737</t>
  </si>
  <si>
    <t xml:space="preserve">http://school.gyo6.net/phdh</t>
  </si>
  <si>
    <r>
      <rPr>
        <sz val="10"/>
        <rFont val="Noto Sans CJK SC"/>
        <family val="2"/>
      </rPr>
      <t xml:space="preserve">경상북도 포항시 북구 용흥로 </t>
    </r>
    <r>
      <rPr>
        <sz val="10"/>
        <rFont val="맑은 고딕"/>
        <family val="0"/>
        <charset val="1"/>
      </rPr>
      <t xml:space="preserve">292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33</t>
    </r>
  </si>
  <si>
    <t xml:space="preserve">포항제철초등학교</t>
  </si>
  <si>
    <t xml:space="preserve">054-279-4745</t>
  </si>
  <si>
    <t xml:space="preserve">http://school.gyo6.net/posco</t>
  </si>
  <si>
    <r>
      <rPr>
        <sz val="10"/>
        <rFont val="Noto Sans CJK SC"/>
        <family val="2"/>
      </rPr>
      <t xml:space="preserve">경상북도 포항시 남구 지곡로 </t>
    </r>
    <r>
      <rPr>
        <sz val="10"/>
        <rFont val="맑은 고딕"/>
        <family val="0"/>
        <charset val="1"/>
      </rPr>
      <t xml:space="preserve">60</t>
    </r>
  </si>
  <si>
    <t xml:space="preserve">포항중앙초등학교</t>
  </si>
  <si>
    <t xml:space="preserve">054-242-4990</t>
  </si>
  <si>
    <t xml:space="preserve">http://school.gyo6.net/phja</t>
  </si>
  <si>
    <r>
      <rPr>
        <sz val="10"/>
        <rFont val="Noto Sans CJK SC"/>
        <family val="2"/>
      </rPr>
      <t xml:space="preserve">경상북도 포항시 북구 우창동로 </t>
    </r>
    <r>
      <rPr>
        <sz val="10"/>
        <rFont val="맑은 고딕"/>
        <family val="0"/>
        <charset val="1"/>
      </rPr>
      <t xml:space="preserve">73</t>
    </r>
  </si>
  <si>
    <t xml:space="preserve">포항펜타초등학교</t>
  </si>
  <si>
    <t xml:space="preserve">054-726-1091</t>
  </si>
  <si>
    <t xml:space="preserve">http://school.gyo6.net/phpentaes</t>
  </si>
  <si>
    <r>
      <rPr>
        <sz val="10"/>
        <rFont val="Noto Sans CJK SC"/>
        <family val="2"/>
      </rPr>
      <t xml:space="preserve">경상북도 포항시 북구 흥해읍 펜타시티단지로 </t>
    </r>
    <r>
      <rPr>
        <sz val="10"/>
        <rFont val="맑은 고딕"/>
        <family val="0"/>
        <charset val="1"/>
      </rPr>
      <t xml:space="preserve">47</t>
    </r>
  </si>
  <si>
    <t xml:space="preserve">포항여자중학교</t>
  </si>
  <si>
    <t xml:space="preserve">054-241-0666</t>
  </si>
  <si>
    <t xml:space="preserve">http://school.gyo6.net/ph-g</t>
  </si>
  <si>
    <r>
      <rPr>
        <sz val="10"/>
        <rFont val="Noto Sans CJK SC"/>
        <family val="2"/>
      </rPr>
      <t xml:space="preserve">경상북도 포항시 북구 장미길 </t>
    </r>
    <r>
      <rPr>
        <sz val="10"/>
        <rFont val="맑은 고딕"/>
        <family val="0"/>
        <charset val="1"/>
      </rPr>
      <t xml:space="preserve">49</t>
    </r>
  </si>
  <si>
    <t xml:space="preserve">포항제철중학교</t>
  </si>
  <si>
    <t xml:space="preserve">054-279-4725</t>
  </si>
  <si>
    <t xml:space="preserve">http://school.gyo6.net/pocheolms</t>
  </si>
  <si>
    <r>
      <rPr>
        <sz val="10"/>
        <rFont val="Noto Sans CJK SC"/>
        <family val="2"/>
      </rPr>
      <t xml:space="preserve">경상북도 포항시 남구 지곡로 </t>
    </r>
    <r>
      <rPr>
        <sz val="10"/>
        <rFont val="맑은 고딕"/>
        <family val="0"/>
        <charset val="1"/>
      </rPr>
      <t xml:space="preserve">150</t>
    </r>
  </si>
  <si>
    <t xml:space="preserve">흥해중학교</t>
  </si>
  <si>
    <t xml:space="preserve">054-261-0711</t>
  </si>
  <si>
    <t xml:space="preserve">http://school.gyo6.net/heunghaems</t>
  </si>
  <si>
    <r>
      <rPr>
        <sz val="10"/>
        <rFont val="Noto Sans CJK SC"/>
        <family val="2"/>
      </rPr>
      <t xml:space="preserve">경상북도 포항시 북구 흥해읍 동해대로 </t>
    </r>
    <r>
      <rPr>
        <sz val="10"/>
        <rFont val="맑은 고딕"/>
        <family val="0"/>
        <charset val="1"/>
      </rPr>
      <t xml:space="preserve">1525</t>
    </r>
  </si>
  <si>
    <t xml:space="preserve">거제교육지원청</t>
  </si>
  <si>
    <t xml:space="preserve">거제시</t>
  </si>
  <si>
    <t xml:space="preserve">거제용소초등학교</t>
  </si>
  <si>
    <t xml:space="preserve">055-638-4878</t>
  </si>
  <si>
    <t xml:space="preserve">http://gjyongso-p.gne.go.kr/gjyongso-p/main.do</t>
  </si>
  <si>
    <r>
      <rPr>
        <sz val="10"/>
        <rFont val="Noto Sans CJK SC"/>
        <family val="2"/>
      </rPr>
      <t xml:space="preserve">경상남도 거제시 용소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35-5</t>
    </r>
  </si>
  <si>
    <t xml:space="preserve">계룡초등학교</t>
  </si>
  <si>
    <t xml:space="preserve">055-637-5001</t>
  </si>
  <si>
    <t xml:space="preserve">http://gyearyong-p.gne.go.kr/gyearyong-p/main.do</t>
  </si>
  <si>
    <r>
      <rPr>
        <sz val="10"/>
        <rFont val="Noto Sans CJK SC"/>
        <family val="2"/>
      </rPr>
      <t xml:space="preserve">경상남도 거제시 거제중앙로 </t>
    </r>
    <r>
      <rPr>
        <sz val="10"/>
        <rFont val="맑은 고딕"/>
        <family val="0"/>
        <charset val="1"/>
      </rPr>
      <t xml:space="preserve">1821-7</t>
    </r>
  </si>
  <si>
    <t xml:space="preserve">수월초등학교</t>
  </si>
  <si>
    <t xml:space="preserve">055-636-8313</t>
  </si>
  <si>
    <t xml:space="preserve">http://suweol-p.gne.go.kr</t>
  </si>
  <si>
    <r>
      <rPr>
        <sz val="10"/>
        <rFont val="Noto Sans CJK SC"/>
        <family val="2"/>
      </rPr>
      <t xml:space="preserve">경상남도 거제시 수양로 </t>
    </r>
    <r>
      <rPr>
        <sz val="10"/>
        <rFont val="맑은 고딕"/>
        <family val="0"/>
        <charset val="1"/>
      </rPr>
      <t xml:space="preserve">420</t>
    </r>
  </si>
  <si>
    <t xml:space="preserve">고성교육지원청</t>
  </si>
  <si>
    <t xml:space="preserve">고성군</t>
  </si>
  <si>
    <t xml:space="preserve">고성초등학교</t>
  </si>
  <si>
    <t xml:space="preserve">055-673-7284</t>
  </si>
  <si>
    <t xml:space="preserve">http://goseong-p.gne.go.kr</t>
  </si>
  <si>
    <r>
      <rPr>
        <sz val="10"/>
        <rFont val="Noto Sans CJK SC"/>
        <family val="2"/>
      </rPr>
      <t xml:space="preserve">경상남도 고성군 고성읍 성내로 </t>
    </r>
    <r>
      <rPr>
        <sz val="10"/>
        <rFont val="맑은 고딕"/>
        <family val="0"/>
        <charset val="1"/>
      </rPr>
      <t xml:space="preserve">85</t>
    </r>
  </si>
  <si>
    <t xml:space="preserve">김해시</t>
  </si>
  <si>
    <t xml:space="preserve">김해여자고등학교</t>
  </si>
  <si>
    <t xml:space="preserve">055-310-3500</t>
  </si>
  <si>
    <t xml:space="preserve">http://kumbul-h.gne.go.kr</t>
  </si>
  <si>
    <r>
      <rPr>
        <sz val="10"/>
        <rFont val="Noto Sans CJK SC"/>
        <family val="2"/>
      </rPr>
      <t xml:space="preserve">경상남도 김해시 향교길 </t>
    </r>
    <r>
      <rPr>
        <sz val="10"/>
        <rFont val="맑은 고딕"/>
        <family val="0"/>
        <charset val="1"/>
      </rPr>
      <t xml:space="preserve">9</t>
    </r>
  </si>
  <si>
    <t xml:space="preserve">밀양시</t>
  </si>
  <si>
    <t xml:space="preserve">밀성고등학교</t>
  </si>
  <si>
    <t xml:space="preserve">055-354-3084</t>
  </si>
  <si>
    <t xml:space="preserve">http://milseong-h.gne.go.kr</t>
  </si>
  <si>
    <r>
      <rPr>
        <sz val="10"/>
        <rFont val="Noto Sans CJK SC"/>
        <family val="2"/>
      </rPr>
      <t xml:space="preserve">경상남도 밀양시 석정로 </t>
    </r>
    <r>
      <rPr>
        <sz val="10"/>
        <rFont val="맑은 고딕"/>
        <family val="0"/>
        <charset val="1"/>
      </rPr>
      <t xml:space="preserve">127</t>
    </r>
  </si>
  <si>
    <t xml:space="preserve">사천시</t>
  </si>
  <si>
    <t xml:space="preserve">사천고등학교</t>
  </si>
  <si>
    <t xml:space="preserve">055-855-1204</t>
  </si>
  <si>
    <t xml:space="preserve">http://sacheon-h.gne.go.kr</t>
  </si>
  <si>
    <r>
      <rPr>
        <sz val="10"/>
        <rFont val="Noto Sans CJK SC"/>
        <family val="2"/>
      </rPr>
      <t xml:space="preserve">경상남도 사천시 사천읍 동문로 </t>
    </r>
    <r>
      <rPr>
        <sz val="10"/>
        <rFont val="맑은 고딕"/>
        <family val="0"/>
        <charset val="1"/>
      </rPr>
      <t xml:space="preserve">95</t>
    </r>
  </si>
  <si>
    <t xml:space="preserve">양산시</t>
  </si>
  <si>
    <t xml:space="preserve">양산인공지능고등학교</t>
  </si>
  <si>
    <t xml:space="preserve">055-781-2971</t>
  </si>
  <si>
    <t xml:space="preserve">http://ysai-h.gne.go.kr</t>
  </si>
  <si>
    <r>
      <rPr>
        <sz val="10"/>
        <rFont val="Noto Sans CJK SC"/>
        <family val="2"/>
      </rPr>
      <t xml:space="preserve">경상남도 양산시 동면 금오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24</t>
    </r>
  </si>
  <si>
    <t xml:space="preserve">증산고등학교</t>
  </si>
  <si>
    <t xml:space="preserve">055-911-8000</t>
  </si>
  <si>
    <t xml:space="preserve">http://jeungsan-h.gne.go.kr</t>
  </si>
  <si>
    <r>
      <rPr>
        <sz val="10"/>
        <rFont val="Noto Sans CJK SC"/>
        <family val="2"/>
      </rPr>
      <t xml:space="preserve">경상남도 양산시 물금읍 새실로 </t>
    </r>
    <r>
      <rPr>
        <sz val="10"/>
        <rFont val="맑은 고딕"/>
        <family val="0"/>
        <charset val="1"/>
      </rPr>
      <t xml:space="preserve">99</t>
    </r>
  </si>
  <si>
    <t xml:space="preserve">진주시</t>
  </si>
  <si>
    <t xml:space="preserve">경남과학고등학교</t>
  </si>
  <si>
    <t xml:space="preserve">055-759-4003</t>
  </si>
  <si>
    <t xml:space="preserve">http://gshs-h.gne.go.kr</t>
  </si>
  <si>
    <r>
      <rPr>
        <sz val="10"/>
        <rFont val="Noto Sans CJK SC"/>
        <family val="2"/>
      </rPr>
      <t xml:space="preserve">경상남도 진주시 진성면 진의로 </t>
    </r>
    <r>
      <rPr>
        <sz val="10"/>
        <rFont val="맑은 고딕"/>
        <family val="0"/>
        <charset val="1"/>
      </rPr>
      <t xml:space="preserve">178-22</t>
    </r>
  </si>
  <si>
    <t xml:space="preserve">창원시</t>
  </si>
  <si>
    <t xml:space="preserve">마산제일고등학교</t>
  </si>
  <si>
    <t xml:space="preserve">055-232-3210</t>
  </si>
  <si>
    <t xml:space="preserve">http://masanjeil-h.gne.go.kr</t>
  </si>
  <si>
    <r>
      <rPr>
        <sz val="10"/>
        <rFont val="Noto Sans CJK SC"/>
        <family val="2"/>
      </rPr>
      <t xml:space="preserve">경상남도 창원시 마산회원구 내서읍 함마대로 </t>
    </r>
    <r>
      <rPr>
        <sz val="10"/>
        <rFont val="맑은 고딕"/>
        <family val="0"/>
        <charset val="1"/>
      </rPr>
      <t xml:space="preserve">2610</t>
    </r>
  </si>
  <si>
    <t xml:space="preserve">마산중앙고등학교</t>
  </si>
  <si>
    <t xml:space="preserve">055-246-9350</t>
  </si>
  <si>
    <t xml:space="preserve">http://msja-h.gne.go.kr</t>
  </si>
  <si>
    <r>
      <rPr>
        <sz val="10"/>
        <rFont val="Noto Sans CJK SC"/>
        <family val="2"/>
      </rPr>
      <t xml:space="preserve">경상남도 창원시 마산합포구 고운로 </t>
    </r>
    <r>
      <rPr>
        <sz val="10"/>
        <rFont val="맑은 고딕"/>
        <family val="0"/>
        <charset val="1"/>
      </rPr>
      <t xml:space="preserve">103</t>
    </r>
  </si>
  <si>
    <t xml:space="preserve">창원경일여자고등학교</t>
  </si>
  <si>
    <t xml:space="preserve">055-274-0039</t>
  </si>
  <si>
    <t xml:space="preserve">http://cwgyeongilg-h.gne.go.kr</t>
  </si>
  <si>
    <r>
      <rPr>
        <sz val="10"/>
        <rFont val="Noto Sans CJK SC"/>
        <family val="2"/>
      </rPr>
      <t xml:space="preserve">경상남도 창원시 성산구 두대로 </t>
    </r>
    <r>
      <rPr>
        <sz val="10"/>
        <rFont val="맑은 고딕"/>
        <family val="0"/>
        <charset val="1"/>
      </rPr>
      <t xml:space="preserve">163</t>
    </r>
  </si>
  <si>
    <t xml:space="preserve">창원고등학교</t>
  </si>
  <si>
    <t xml:space="preserve">055-237-0126</t>
  </si>
  <si>
    <t xml:space="preserve">http://changwon-h.gne.go.kr</t>
  </si>
  <si>
    <r>
      <rPr>
        <sz val="10"/>
        <rFont val="Noto Sans CJK SC"/>
        <family val="2"/>
      </rPr>
      <t xml:space="preserve">경상남도 창원시 의창구 태복산로 </t>
    </r>
    <r>
      <rPr>
        <sz val="10"/>
        <rFont val="맑은 고딕"/>
        <family val="0"/>
        <charset val="1"/>
      </rPr>
      <t xml:space="preserve">45</t>
    </r>
  </si>
  <si>
    <t xml:space="preserve">창원남고등학교</t>
  </si>
  <si>
    <t xml:space="preserve">055-289-6952</t>
  </si>
  <si>
    <t xml:space="preserve">http://cwnam-h.gne.go.kr</t>
  </si>
  <si>
    <r>
      <rPr>
        <sz val="10"/>
        <rFont val="Noto Sans CJK SC"/>
        <family val="2"/>
      </rPr>
      <t xml:space="preserve">경상남도 창원시 성산구 창원대로 </t>
    </r>
    <r>
      <rPr>
        <sz val="10"/>
        <rFont val="맑은 고딕"/>
        <family val="0"/>
        <charset val="1"/>
      </rPr>
      <t xml:space="preserve">813</t>
    </r>
  </si>
  <si>
    <t xml:space="preserve">창원북면고등학교</t>
  </si>
  <si>
    <t xml:space="preserve">055-602-1265</t>
  </si>
  <si>
    <t xml:space="preserve">http://changwonbukmyeon-h.gne.go.kr</t>
  </si>
  <si>
    <r>
      <rPr>
        <sz val="10"/>
        <rFont val="Noto Sans CJK SC"/>
        <family val="2"/>
      </rPr>
      <t xml:space="preserve">경상남도 창원시 의창구 북면 동전로 </t>
    </r>
    <r>
      <rPr>
        <sz val="10"/>
        <rFont val="맑은 고딕"/>
        <family val="0"/>
        <charset val="1"/>
      </rPr>
      <t xml:space="preserve">36</t>
    </r>
  </si>
  <si>
    <t xml:space="preserve">창원성민여자고등학교</t>
  </si>
  <si>
    <t xml:space="preserve">055-251-6707</t>
  </si>
  <si>
    <t xml:space="preserve">http://sungmin-h.gne.go.kr</t>
  </si>
  <si>
    <r>
      <rPr>
        <sz val="10"/>
        <rFont val="Noto Sans CJK SC"/>
        <family val="2"/>
      </rPr>
      <t xml:space="preserve">경상남도 창원시 의창구 팔용로 </t>
    </r>
    <r>
      <rPr>
        <sz val="10"/>
        <rFont val="맑은 고딕"/>
        <family val="0"/>
        <charset val="1"/>
      </rPr>
      <t xml:space="preserve">481</t>
    </r>
  </si>
  <si>
    <t xml:space="preserve">창원토월고등학교</t>
  </si>
  <si>
    <t xml:space="preserve">055-210-0720</t>
  </si>
  <si>
    <t xml:space="preserve">http://towol-h.gne.go.kr</t>
  </si>
  <si>
    <r>
      <rPr>
        <sz val="10"/>
        <rFont val="Noto Sans CJK SC"/>
        <family val="2"/>
      </rPr>
      <t xml:space="preserve">경상남도 창원시 성산구 비음로</t>
    </r>
    <r>
      <rPr>
        <sz val="10"/>
        <rFont val="맑은 고딕"/>
        <family val="0"/>
        <charset val="1"/>
      </rPr>
      <t xml:space="preserve">91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8</t>
    </r>
  </si>
  <si>
    <t xml:space="preserve">함안군</t>
  </si>
  <si>
    <t xml:space="preserve">군북고등학교</t>
  </si>
  <si>
    <t xml:space="preserve">055-585-5120</t>
  </si>
  <si>
    <t xml:space="preserve">http://gunbuk-h.gne.go.kr</t>
  </si>
  <si>
    <r>
      <rPr>
        <sz val="10"/>
        <rFont val="Noto Sans CJK SC"/>
        <family val="2"/>
      </rPr>
      <t xml:space="preserve">경상남도 함안군 군북면 사군로 </t>
    </r>
    <r>
      <rPr>
        <sz val="10"/>
        <rFont val="맑은 고딕"/>
        <family val="0"/>
        <charset val="1"/>
      </rPr>
      <t xml:space="preserve">1558</t>
    </r>
  </si>
  <si>
    <t xml:space="preserve">칠원고등학교</t>
  </si>
  <si>
    <t xml:space="preserve">055-587-0088</t>
  </si>
  <si>
    <t xml:space="preserve">http://chirwon-h.gne.go.kr</t>
  </si>
  <si>
    <r>
      <rPr>
        <sz val="10"/>
        <rFont val="Noto Sans CJK SC"/>
        <family val="2"/>
      </rPr>
      <t xml:space="preserve">경상남도 함안군 칠서면 삼칠로 </t>
    </r>
    <r>
      <rPr>
        <sz val="10"/>
        <rFont val="맑은 고딕"/>
        <family val="0"/>
        <charset val="1"/>
      </rPr>
      <t xml:space="preserve">281</t>
    </r>
  </si>
  <si>
    <t xml:space="preserve">김해교육지원청</t>
  </si>
  <si>
    <t xml:space="preserve">관동초등학교</t>
  </si>
  <si>
    <t xml:space="preserve">055-313-9612</t>
  </si>
  <si>
    <t xml:space="preserve">http://gh-kwandong-p.gne.go.kr</t>
  </si>
  <si>
    <r>
      <rPr>
        <sz val="10"/>
        <rFont val="Noto Sans CJK SC"/>
        <family val="2"/>
      </rPr>
      <t xml:space="preserve">경상남도 김해시 율하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110</t>
    </r>
  </si>
  <si>
    <t xml:space="preserve">삼계초등학교</t>
  </si>
  <si>
    <t xml:space="preserve">055-331-0382</t>
  </si>
  <si>
    <t xml:space="preserve">http://samkae-p.gne.go.kr/samkae-p/main.do</t>
  </si>
  <si>
    <r>
      <rPr>
        <sz val="10"/>
        <rFont val="Noto Sans CJK SC"/>
        <family val="2"/>
      </rPr>
      <t xml:space="preserve">경상남도 김해시 가야로</t>
    </r>
    <r>
      <rPr>
        <sz val="10"/>
        <rFont val="맑은 고딕"/>
        <family val="0"/>
        <charset val="1"/>
      </rPr>
      <t xml:space="preserve">38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30</t>
    </r>
  </si>
  <si>
    <t xml:space="preserve">진례초등학교</t>
  </si>
  <si>
    <t xml:space="preserve">055-345-6431</t>
  </si>
  <si>
    <t xml:space="preserve">http://jillye-p.gne.go.kr</t>
  </si>
  <si>
    <r>
      <rPr>
        <sz val="10"/>
        <rFont val="Noto Sans CJK SC"/>
        <family val="2"/>
      </rPr>
      <t xml:space="preserve">경상남도 김해시 진례면 송현로 </t>
    </r>
    <r>
      <rPr>
        <sz val="10"/>
        <rFont val="맑은 고딕"/>
        <family val="0"/>
        <charset val="1"/>
      </rPr>
      <t xml:space="preserve">74-12</t>
    </r>
  </si>
  <si>
    <t xml:space="preserve">밀양교육지원청</t>
  </si>
  <si>
    <t xml:space="preserve">미리벌초등학교</t>
  </si>
  <si>
    <t xml:space="preserve">055-356-6048</t>
  </si>
  <si>
    <t xml:space="preserve">http://miribeol-p.gne.go.kr/miribeol-p/main.do</t>
  </si>
  <si>
    <r>
      <rPr>
        <sz val="10"/>
        <rFont val="Noto Sans CJK SC"/>
        <family val="2"/>
      </rPr>
      <t xml:space="preserve">경상남도 밀양시 미리벌로 </t>
    </r>
    <r>
      <rPr>
        <sz val="10"/>
        <rFont val="맑은 고딕"/>
        <family val="0"/>
        <charset val="1"/>
      </rPr>
      <t xml:space="preserve">41-22</t>
    </r>
  </si>
  <si>
    <t xml:space="preserve">밀양여자중학교</t>
  </si>
  <si>
    <t xml:space="preserve">055-354-3654</t>
  </si>
  <si>
    <t xml:space="preserve">http://mgs-m.gne.go.kr</t>
  </si>
  <si>
    <r>
      <rPr>
        <sz val="10"/>
        <rFont val="Noto Sans CJK SC"/>
        <family val="2"/>
      </rPr>
      <t xml:space="preserve">경상남도 밀양시 삼문강변로 </t>
    </r>
    <r>
      <rPr>
        <sz val="10"/>
        <rFont val="맑은 고딕"/>
        <family val="0"/>
        <charset val="1"/>
      </rPr>
      <t xml:space="preserve">2</t>
    </r>
  </si>
  <si>
    <t xml:space="preserve">사천교육지원청</t>
  </si>
  <si>
    <t xml:space="preserve">사남초등학교</t>
  </si>
  <si>
    <t xml:space="preserve">055-855-8011</t>
  </si>
  <si>
    <t xml:space="preserve">http://sanam-p.gne.go.kr</t>
  </si>
  <si>
    <r>
      <rPr>
        <sz val="10"/>
        <rFont val="Noto Sans CJK SC"/>
        <family val="2"/>
      </rPr>
      <t xml:space="preserve">경상남도 사천시 사남면 조동길 </t>
    </r>
    <r>
      <rPr>
        <sz val="10"/>
        <rFont val="맑은 고딕"/>
        <family val="0"/>
        <charset val="1"/>
      </rPr>
      <t xml:space="preserve">49-28</t>
    </r>
  </si>
  <si>
    <t xml:space="preserve">산청교육지원청</t>
  </si>
  <si>
    <t xml:space="preserve">산청군</t>
  </si>
  <si>
    <t xml:space="preserve">신천초등학교</t>
  </si>
  <si>
    <t xml:space="preserve">055-972-1178</t>
  </si>
  <si>
    <t xml:space="preserve">http://sincheon-p.gne.go.kr</t>
  </si>
  <si>
    <r>
      <rPr>
        <sz val="10"/>
        <rFont val="Noto Sans CJK SC"/>
        <family val="2"/>
      </rPr>
      <t xml:space="preserve">경상남도 산청군 시천면 지리산대로 </t>
    </r>
    <r>
      <rPr>
        <sz val="10"/>
        <rFont val="맑은 고딕"/>
        <family val="0"/>
        <charset val="1"/>
      </rPr>
      <t xml:space="preserve">1030-2</t>
    </r>
  </si>
  <si>
    <t xml:space="preserve">양산교육지원청</t>
  </si>
  <si>
    <t xml:space="preserve">가남초등학교</t>
  </si>
  <si>
    <t xml:space="preserve">055-372-7129</t>
  </si>
  <si>
    <t xml:space="preserve">http://ganam-p.gne.go.kr</t>
  </si>
  <si>
    <r>
      <rPr>
        <sz val="10"/>
        <rFont val="Noto Sans CJK SC"/>
        <family val="2"/>
      </rPr>
      <t xml:space="preserve">경상남도 양산시 물금읍 청운로 </t>
    </r>
    <r>
      <rPr>
        <sz val="10"/>
        <rFont val="맑은 고딕"/>
        <family val="0"/>
        <charset val="1"/>
      </rPr>
      <t xml:space="preserve">114</t>
    </r>
  </si>
  <si>
    <t xml:space="preserve">신기초등학교</t>
  </si>
  <si>
    <t xml:space="preserve">055-386-9335</t>
  </si>
  <si>
    <t xml:space="preserve">http://yssingi-p.gne.go.kr</t>
  </si>
  <si>
    <r>
      <rPr>
        <sz val="10"/>
        <rFont val="Noto Sans CJK SC"/>
        <family val="2"/>
      </rPr>
      <t xml:space="preserve">경상남도 양산시 중앙로 </t>
    </r>
    <r>
      <rPr>
        <sz val="10"/>
        <rFont val="맑은 고딕"/>
        <family val="0"/>
        <charset val="1"/>
      </rPr>
      <t xml:space="preserve">239</t>
    </r>
  </si>
  <si>
    <t xml:space="preserve">증산초등학교</t>
  </si>
  <si>
    <t xml:space="preserve">055-781-2357</t>
  </si>
  <si>
    <t xml:space="preserve">http://jeungsan-p.gne.go.kr</t>
  </si>
  <si>
    <r>
      <rPr>
        <sz val="10"/>
        <rFont val="Noto Sans CJK SC"/>
        <family val="2"/>
      </rPr>
      <t xml:space="preserve">경상남도 양산시 물금읍 새실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50</t>
    </r>
  </si>
  <si>
    <t xml:space="preserve">진주교육지원청</t>
  </si>
  <si>
    <t xml:space="preserve">남강초등학교</t>
  </si>
  <si>
    <t xml:space="preserve">055-752-9173</t>
  </si>
  <si>
    <t xml:space="preserve">http://namkang-p.gne.go.kr</t>
  </si>
  <si>
    <r>
      <rPr>
        <sz val="10"/>
        <rFont val="Noto Sans CJK SC"/>
        <family val="2"/>
      </rPr>
      <t xml:space="preserve">경상남도 진주시 모덕로 </t>
    </r>
    <r>
      <rPr>
        <sz val="10"/>
        <rFont val="맑은 고딕"/>
        <family val="0"/>
        <charset val="1"/>
      </rPr>
      <t xml:space="preserve">99</t>
    </r>
  </si>
  <si>
    <t xml:space="preserve">진성초등학교</t>
  </si>
  <si>
    <t xml:space="preserve">055-754-3019</t>
  </si>
  <si>
    <t xml:space="preserve">http://jinseongcho-p.gne.go.kr</t>
  </si>
  <si>
    <r>
      <rPr>
        <sz val="10"/>
        <rFont val="Noto Sans CJK SC"/>
        <family val="2"/>
      </rPr>
      <t xml:space="preserve">경상남도 진주시 진성면 진성로</t>
    </r>
    <r>
      <rPr>
        <sz val="10"/>
        <rFont val="맑은 고딕"/>
        <family val="0"/>
        <charset val="1"/>
      </rPr>
      <t xml:space="preserve">355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10</t>
    </r>
  </si>
  <si>
    <t xml:space="preserve">개양중학교</t>
  </si>
  <si>
    <t xml:space="preserve">055-756-5501</t>
  </si>
  <si>
    <t xml:space="preserve">http://gaeyang-m.gne.go.kr</t>
  </si>
  <si>
    <r>
      <rPr>
        <sz val="10"/>
        <rFont val="Noto Sans CJK SC"/>
        <family val="2"/>
      </rPr>
      <t xml:space="preserve">경상남도 진주시 동부로 </t>
    </r>
    <r>
      <rPr>
        <sz val="10"/>
        <rFont val="맑은 고딕"/>
        <family val="0"/>
        <charset val="1"/>
      </rPr>
      <t xml:space="preserve">27</t>
    </r>
  </si>
  <si>
    <t xml:space="preserve">창녕교육지원청</t>
  </si>
  <si>
    <t xml:space="preserve">창녕군</t>
  </si>
  <si>
    <t xml:space="preserve">대합초등학교</t>
  </si>
  <si>
    <t xml:space="preserve">055-532-3506</t>
  </si>
  <si>
    <t xml:space="preserve">http://daehap-p.gne.go.kr</t>
  </si>
  <si>
    <r>
      <rPr>
        <sz val="10"/>
        <rFont val="Noto Sans CJK SC"/>
        <family val="2"/>
      </rPr>
      <t xml:space="preserve">경상남도 창녕군 대합면 창곡길 </t>
    </r>
    <r>
      <rPr>
        <sz val="10"/>
        <rFont val="맑은 고딕"/>
        <family val="0"/>
        <charset val="1"/>
      </rPr>
      <t xml:space="preserve">8</t>
    </r>
  </si>
  <si>
    <t xml:space="preserve">창녕초등학교</t>
  </si>
  <si>
    <t xml:space="preserve">055-532-1823</t>
  </si>
  <si>
    <t xml:space="preserve">http://changnyeong-p.gne.go.kr</t>
  </si>
  <si>
    <r>
      <rPr>
        <sz val="10"/>
        <rFont val="Noto Sans CJK SC"/>
        <family val="2"/>
      </rPr>
      <t xml:space="preserve">경상남도 창녕군 창녕읍 남창녕로 </t>
    </r>
    <r>
      <rPr>
        <sz val="10"/>
        <rFont val="맑은 고딕"/>
        <family val="0"/>
        <charset val="1"/>
      </rPr>
      <t xml:space="preserve">62</t>
    </r>
  </si>
  <si>
    <t xml:space="preserve">창원교육지원청</t>
  </si>
  <si>
    <t xml:space="preserve">감천초등학교</t>
  </si>
  <si>
    <t xml:space="preserve">055-231-5871</t>
  </si>
  <si>
    <t xml:space="preserve">http://gamcheon-p.gne.go.kr</t>
  </si>
  <si>
    <r>
      <rPr>
        <sz val="10"/>
        <rFont val="Noto Sans CJK SC"/>
        <family val="2"/>
      </rPr>
      <t xml:space="preserve">경상남도 창원시 마산회원구 내서읍 감천로 </t>
    </r>
    <r>
      <rPr>
        <sz val="10"/>
        <rFont val="맑은 고딕"/>
        <family val="0"/>
        <charset val="1"/>
      </rPr>
      <t xml:space="preserve">53</t>
    </r>
  </si>
  <si>
    <t xml:space="preserve">구산초등학교</t>
  </si>
  <si>
    <t xml:space="preserve">055-222-9592</t>
  </si>
  <si>
    <t xml:space="preserve">http://gusan-p.gne.go.kr</t>
  </si>
  <si>
    <r>
      <rPr>
        <sz val="10"/>
        <rFont val="Noto Sans CJK SC"/>
        <family val="2"/>
      </rPr>
      <t xml:space="preserve">경상남도 창원시 마산합포구 구산면 수정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8</t>
    </r>
  </si>
  <si>
    <t xml:space="preserve">마산고운초등학교</t>
  </si>
  <si>
    <t xml:space="preserve">055-715-5400</t>
  </si>
  <si>
    <t xml:space="preserve">http://msgowoon-p.gne.go.kr</t>
  </si>
  <si>
    <r>
      <rPr>
        <sz val="10"/>
        <rFont val="Noto Sans CJK SC"/>
        <family val="2"/>
      </rPr>
      <t xml:space="preserve">경상남도 창원시 마산합포구 가포로 </t>
    </r>
    <r>
      <rPr>
        <sz val="10"/>
        <rFont val="맑은 고딕"/>
        <family val="0"/>
        <charset val="1"/>
      </rPr>
      <t xml:space="preserve">141</t>
    </r>
  </si>
  <si>
    <t xml:space="preserve">명곡초등학교</t>
  </si>
  <si>
    <t xml:space="preserve">055-265-3080</t>
  </si>
  <si>
    <t xml:space="preserve">http://myeonggok-p.gne.go.kr</t>
  </si>
  <si>
    <r>
      <rPr>
        <sz val="10"/>
        <rFont val="Noto Sans CJK SC"/>
        <family val="2"/>
      </rPr>
      <t xml:space="preserve">경상남도 창원시 의창구 우곡로</t>
    </r>
    <r>
      <rPr>
        <sz val="10"/>
        <rFont val="맑은 고딕"/>
        <family val="0"/>
        <charset val="1"/>
      </rPr>
      <t xml:space="preserve">159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22-11</t>
    </r>
  </si>
  <si>
    <t xml:space="preserve">명도초등학교</t>
  </si>
  <si>
    <t xml:space="preserve">055-237-6342</t>
  </si>
  <si>
    <t xml:space="preserve">http://myungdo-p.gne.go.kr/myungdo-p/main.do</t>
  </si>
  <si>
    <r>
      <rPr>
        <sz val="10"/>
        <rFont val="Noto Sans CJK SC"/>
        <family val="2"/>
      </rPr>
      <t xml:space="preserve">경상남도 창원시 의창구 도계두리길 </t>
    </r>
    <r>
      <rPr>
        <sz val="10"/>
        <rFont val="맑은 고딕"/>
        <family val="0"/>
        <charset val="1"/>
      </rPr>
      <t xml:space="preserve">233</t>
    </r>
  </si>
  <si>
    <t xml:space="preserve">상일초등학교</t>
  </si>
  <si>
    <t xml:space="preserve">055-232-7631</t>
  </si>
  <si>
    <t xml:space="preserve">http://sangil-p.gne.go.kr</t>
  </si>
  <si>
    <r>
      <rPr>
        <sz val="10"/>
        <rFont val="Noto Sans CJK SC"/>
        <family val="2"/>
      </rPr>
      <t xml:space="preserve">경상남도 창원시 마산회원구 내서읍 광려천서로 </t>
    </r>
    <r>
      <rPr>
        <sz val="10"/>
        <rFont val="맑은 고딕"/>
        <family val="0"/>
        <charset val="1"/>
      </rPr>
      <t xml:space="preserve">21</t>
    </r>
  </si>
  <si>
    <t xml:space="preserve">우암초등학교</t>
  </si>
  <si>
    <t xml:space="preserve">055-251-4457</t>
  </si>
  <si>
    <t xml:space="preserve">http://cwwooam-p.gne.go.kr/cwwooam-p/main.do</t>
  </si>
  <si>
    <r>
      <rPr>
        <sz val="10"/>
        <rFont val="Noto Sans CJK SC"/>
        <family val="2"/>
      </rPr>
      <t xml:space="preserve">경상남도 창원시 의창구 대산면 우암로 </t>
    </r>
    <r>
      <rPr>
        <sz val="10"/>
        <rFont val="맑은 고딕"/>
        <family val="0"/>
        <charset val="1"/>
      </rPr>
      <t xml:space="preserve">35</t>
    </r>
  </si>
  <si>
    <t xml:space="preserve">진동초등학교</t>
  </si>
  <si>
    <t xml:space="preserve">055-271-1659</t>
  </si>
  <si>
    <t xml:space="preserve">http://jindong-p.gne.go.kr</t>
  </si>
  <si>
    <r>
      <rPr>
        <sz val="10"/>
        <rFont val="Noto Sans CJK SC"/>
        <family val="2"/>
      </rPr>
      <t xml:space="preserve">경상남도 창원시 마산합포구 진동면 삼진의거대로 </t>
    </r>
    <r>
      <rPr>
        <sz val="10"/>
        <rFont val="맑은 고딕"/>
        <family val="0"/>
        <charset val="1"/>
      </rPr>
      <t xml:space="preserve">661-22</t>
    </r>
  </si>
  <si>
    <t xml:space="preserve">양덕중학교</t>
  </si>
  <si>
    <t xml:space="preserve">055-256-7221</t>
  </si>
  <si>
    <t xml:space="preserve">http://yangdeok-m.gne.go.kr</t>
  </si>
  <si>
    <r>
      <rPr>
        <sz val="10"/>
        <rFont val="Noto Sans CJK SC"/>
        <family val="2"/>
      </rPr>
      <t xml:space="preserve">경상남도 창원시 마산회원구 학교단지로 </t>
    </r>
    <r>
      <rPr>
        <sz val="10"/>
        <rFont val="맑은 고딕"/>
        <family val="0"/>
        <charset val="1"/>
      </rPr>
      <t xml:space="preserve">47</t>
    </r>
  </si>
  <si>
    <t xml:space="preserve">의신중학교</t>
  </si>
  <si>
    <t xml:space="preserve">055-246-1651</t>
  </si>
  <si>
    <t xml:space="preserve">http://euishin-m.gne.go.kr</t>
  </si>
  <si>
    <r>
      <rPr>
        <sz val="10"/>
        <rFont val="Noto Sans CJK SC"/>
        <family val="2"/>
      </rPr>
      <t xml:space="preserve">경상남도 창원시 마산합포구 천하장사로 </t>
    </r>
    <r>
      <rPr>
        <sz val="10"/>
        <rFont val="맑은 고딕"/>
        <family val="0"/>
        <charset val="1"/>
      </rPr>
      <t xml:space="preserve">21</t>
    </r>
  </si>
  <si>
    <t xml:space="preserve">통영교육지원청</t>
  </si>
  <si>
    <t xml:space="preserve">통영시</t>
  </si>
  <si>
    <t xml:space="preserve">055-643-9008</t>
  </si>
  <si>
    <t xml:space="preserve">http://tydosan-p.gne.go.kr</t>
  </si>
  <si>
    <r>
      <rPr>
        <sz val="10"/>
        <rFont val="Noto Sans CJK SC"/>
        <family val="2"/>
      </rPr>
      <t xml:space="preserve">경상남도 통영시 도산면 도산일주로 </t>
    </r>
    <r>
      <rPr>
        <sz val="10"/>
        <rFont val="맑은 고딕"/>
        <family val="0"/>
        <charset val="1"/>
      </rPr>
      <t xml:space="preserve">25</t>
    </r>
  </si>
  <si>
    <t xml:space="preserve">유영초등학교</t>
  </si>
  <si>
    <t xml:space="preserve">055-645-2155</t>
  </si>
  <si>
    <t xml:space="preserve">http://yuyeong-p.gne.go.kr</t>
  </si>
  <si>
    <r>
      <rPr>
        <sz val="10"/>
        <rFont val="Noto Sans CJK SC"/>
        <family val="2"/>
      </rPr>
      <t xml:space="preserve">경상남도 통영시 중앙로 </t>
    </r>
    <r>
      <rPr>
        <sz val="10"/>
        <rFont val="맑은 고딕"/>
        <family val="0"/>
        <charset val="1"/>
      </rPr>
      <t xml:space="preserve">225</t>
    </r>
  </si>
  <si>
    <t xml:space="preserve">죽림초등학교</t>
  </si>
  <si>
    <t xml:space="preserve">055-649-6761</t>
  </si>
  <si>
    <t xml:space="preserve">http://juklim-p.gne.go.kr</t>
  </si>
  <si>
    <r>
      <rPr>
        <sz val="10"/>
        <rFont val="Noto Sans CJK SC"/>
        <family val="2"/>
      </rPr>
      <t xml:space="preserve">경상남도 통영시 광도면 신죽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17</t>
    </r>
  </si>
  <si>
    <t xml:space="preserve">함안교육지원청</t>
  </si>
  <si>
    <t xml:space="preserve">호암초등학교</t>
  </si>
  <si>
    <t xml:space="preserve">055-586-9401</t>
  </si>
  <si>
    <t xml:space="preserve">http://hoam-p.gne.go.kr</t>
  </si>
  <si>
    <r>
      <rPr>
        <sz val="10"/>
        <rFont val="Noto Sans CJK SC"/>
        <family val="2"/>
      </rPr>
      <t xml:space="preserve">경상남도 함안군 칠원읍 호암길 </t>
    </r>
    <r>
      <rPr>
        <sz val="10"/>
        <rFont val="맑은 고딕"/>
        <family val="0"/>
        <charset val="1"/>
      </rPr>
      <t xml:space="preserve">30</t>
    </r>
  </si>
  <si>
    <t xml:space="preserve">서귀포시</t>
  </si>
  <si>
    <t xml:space="preserve">서귀포고등학교</t>
  </si>
  <si>
    <t xml:space="preserve">064-730-6300</t>
  </si>
  <si>
    <t xml:space="preserve">http://seogwipo.jje.hs.kr</t>
  </si>
  <si>
    <r>
      <rPr>
        <sz val="10"/>
        <rFont val="Noto Sans CJK SC"/>
        <family val="2"/>
      </rPr>
      <t xml:space="preserve">제주특별자치도 서귀포시 중앙로 </t>
    </r>
    <r>
      <rPr>
        <sz val="10"/>
        <rFont val="맑은 고딕"/>
        <family val="0"/>
        <charset val="1"/>
      </rPr>
      <t xml:space="preserve">140</t>
    </r>
  </si>
  <si>
    <t xml:space="preserve">서귀포여자고등학교</t>
  </si>
  <si>
    <t xml:space="preserve">064-766-1100</t>
  </si>
  <si>
    <t xml:space="preserve">http://sgpo.jje.hs.kr</t>
  </si>
  <si>
    <r>
      <rPr>
        <sz val="10"/>
        <rFont val="Noto Sans CJK SC"/>
        <family val="2"/>
      </rPr>
      <t xml:space="preserve">제주특별자치도 서귀포시 태평로 </t>
    </r>
    <r>
      <rPr>
        <sz val="10"/>
        <rFont val="맑은 고딕"/>
        <family val="0"/>
        <charset val="1"/>
      </rPr>
      <t xml:space="preserve">80</t>
    </r>
  </si>
  <si>
    <t xml:space="preserve">제주시</t>
  </si>
  <si>
    <t xml:space="preserve">대기고등학교</t>
  </si>
  <si>
    <t xml:space="preserve">064-721-5142</t>
  </si>
  <si>
    <t xml:space="preserve">http://www.daykey.hs.kr</t>
  </si>
  <si>
    <r>
      <rPr>
        <sz val="10"/>
        <rFont val="Noto Sans CJK SC"/>
        <family val="2"/>
      </rPr>
      <t xml:space="preserve">제주특별자치도 제주시 번영로 </t>
    </r>
    <r>
      <rPr>
        <sz val="10"/>
        <rFont val="맑은 고딕"/>
        <family val="0"/>
        <charset val="1"/>
      </rPr>
      <t xml:space="preserve">453-6</t>
    </r>
  </si>
  <si>
    <t xml:space="preserve">오현고등학교</t>
  </si>
  <si>
    <t xml:space="preserve">064-754-0800</t>
  </si>
  <si>
    <t xml:space="preserve">http://school.jje.go.kr/ohyun-h</t>
  </si>
  <si>
    <r>
      <rPr>
        <sz val="10"/>
        <rFont val="Noto Sans CJK SC"/>
        <family val="2"/>
      </rPr>
      <t xml:space="preserve">제주특별자치도 제주시 일주동로 </t>
    </r>
    <r>
      <rPr>
        <sz val="10"/>
        <rFont val="맑은 고딕"/>
        <family val="0"/>
        <charset val="1"/>
      </rPr>
      <t xml:space="preserve">101</t>
    </r>
  </si>
  <si>
    <t xml:space="preserve">제주여자고등학교</t>
  </si>
  <si>
    <t xml:space="preserve">064-728-0100</t>
  </si>
  <si>
    <t xml:space="preserve">http://jeju-g.jje.hs.kr</t>
  </si>
  <si>
    <r>
      <rPr>
        <sz val="10"/>
        <rFont val="Noto Sans CJK SC"/>
        <family val="2"/>
      </rPr>
      <t xml:space="preserve">제주특별자치도 제주시 구산로 </t>
    </r>
    <r>
      <rPr>
        <sz val="10"/>
        <rFont val="맑은 고딕"/>
        <family val="0"/>
        <charset val="1"/>
      </rPr>
      <t xml:space="preserve">50</t>
    </r>
  </si>
  <si>
    <t xml:space="preserve">제주여자상업고등학교</t>
  </si>
  <si>
    <t xml:space="preserve">064-754-0100</t>
  </si>
  <si>
    <t xml:space="preserve">http://jejugc.jje.hs.kr</t>
  </si>
  <si>
    <r>
      <rPr>
        <sz val="10"/>
        <rFont val="Noto Sans CJK SC"/>
        <family val="2"/>
      </rPr>
      <t xml:space="preserve">제주특별자치도 제주시 동문로 </t>
    </r>
    <r>
      <rPr>
        <sz val="10"/>
        <rFont val="맑은 고딕"/>
        <family val="0"/>
        <charset val="1"/>
      </rPr>
      <t xml:space="preserve">89-1</t>
    </r>
  </si>
  <si>
    <t xml:space="preserve">제주제일고등학교</t>
  </si>
  <si>
    <t xml:space="preserve">064-740-8200</t>
  </si>
  <si>
    <t xml:space="preserve">http://jeil.jje.hs.kr</t>
  </si>
  <si>
    <r>
      <rPr>
        <sz val="10"/>
        <rFont val="Noto Sans CJK SC"/>
        <family val="2"/>
      </rPr>
      <t xml:space="preserve">제주특별자치도 제주시 진군길 </t>
    </r>
    <r>
      <rPr>
        <sz val="10"/>
        <rFont val="맑은 고딕"/>
        <family val="0"/>
        <charset val="1"/>
      </rPr>
      <t xml:space="preserve">22</t>
    </r>
  </si>
  <si>
    <t xml:space="preserve">제주중앙여자고등학교</t>
  </si>
  <si>
    <t xml:space="preserve">064-717-3100</t>
  </si>
  <si>
    <t xml:space="preserve">http://jungang.jje.hs.kr</t>
  </si>
  <si>
    <r>
      <rPr>
        <sz val="10"/>
        <rFont val="Noto Sans CJK SC"/>
        <family val="2"/>
      </rPr>
      <t xml:space="preserve">제주특별자치도 제주시 구남동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</t>
    </r>
  </si>
  <si>
    <t xml:space="preserve">서귀포시교육지원청</t>
  </si>
  <si>
    <t xml:space="preserve">서호초등학교</t>
  </si>
  <si>
    <t xml:space="preserve">064-766-3500</t>
  </si>
  <si>
    <t xml:space="preserve">http://seoho.jje.es.kr</t>
  </si>
  <si>
    <r>
      <rPr>
        <sz val="10"/>
        <rFont val="Noto Sans CJK SC"/>
        <family val="2"/>
      </rPr>
      <t xml:space="preserve">제주특별자치도 서귀포시 호근남로 </t>
    </r>
    <r>
      <rPr>
        <sz val="10"/>
        <rFont val="맑은 고딕"/>
        <family val="0"/>
        <charset val="1"/>
      </rPr>
      <t xml:space="preserve">40</t>
    </r>
  </si>
  <si>
    <t xml:space="preserve">제주시교육지원청</t>
  </si>
  <si>
    <t xml:space="preserve">백록초등학교</t>
  </si>
  <si>
    <t xml:space="preserve">064-754-1600</t>
  </si>
  <si>
    <t xml:space="preserve">http://bn.jje.es.kr</t>
  </si>
  <si>
    <r>
      <rPr>
        <sz val="10"/>
        <rFont val="Noto Sans CJK SC"/>
        <family val="2"/>
      </rPr>
      <t xml:space="preserve">제주특별자치도 제주시 정존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62</t>
    </r>
  </si>
  <si>
    <t xml:space="preserve">한림초등학교</t>
  </si>
  <si>
    <t xml:space="preserve">064-797-3000</t>
  </si>
  <si>
    <t xml:space="preserve">http://hallim.jje.es.kr</t>
  </si>
  <si>
    <r>
      <rPr>
        <sz val="10"/>
        <rFont val="Noto Sans CJK SC"/>
        <family val="2"/>
      </rPr>
      <t xml:space="preserve">제주특별자치도 제주시 한림읍 한림로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16</t>
    </r>
  </si>
  <si>
    <r>
      <rPr>
        <b val="true"/>
        <sz val="14"/>
        <color rgb="FF1F3864"/>
        <rFont val="맑은 고딕"/>
        <family val="0"/>
        <charset val="1"/>
      </rPr>
      <t xml:space="preserve">2026 AI·</t>
    </r>
    <r>
      <rPr>
        <b val="true"/>
        <sz val="14"/>
        <color rgb="FF1F3864"/>
        <rFont val="Noto Sans CJK SC"/>
        <family val="2"/>
      </rPr>
      <t xml:space="preserve">디지털 활용 선도학교 명단 — 전국</t>
    </r>
    <r>
      <rPr>
        <b val="true"/>
        <sz val="14"/>
        <color rgb="FF1F3864"/>
        <rFont val="맑은 고딕"/>
        <family val="0"/>
        <charset val="1"/>
      </rPr>
      <t xml:space="preserve">(</t>
    </r>
    <r>
      <rPr>
        <b val="true"/>
        <sz val="14"/>
        <color rgb="FF1F3864"/>
        <rFont val="Noto Sans CJK SC"/>
        <family val="2"/>
      </rPr>
      <t xml:space="preserve">공개 시도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</si>
  <si>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Noto Sans CJK SC"/>
        <family val="2"/>
      </rPr>
      <t xml:space="preserve">중점학교 겸임</t>
    </r>
  </si>
  <si>
    <t xml:space="preserve">화곡보건경영고등학교</t>
  </si>
  <si>
    <t xml:space="preserve">선도학교</t>
  </si>
  <si>
    <t xml:space="preserve">나이스 미매칭 – 교명 확인 필요</t>
  </si>
  <si>
    <t xml:space="preserve">서울개현초등학교</t>
  </si>
  <si>
    <t xml:space="preserve">02-2138-1937</t>
  </si>
  <si>
    <t xml:space="preserve">http://gaehyeon.sen.es.kr</t>
  </si>
  <si>
    <r>
      <rPr>
        <sz val="10"/>
        <rFont val="Noto Sans CJK SC"/>
        <family val="2"/>
      </rPr>
      <t xml:space="preserve">서울특별시 강남구 선릉로 </t>
    </r>
    <r>
      <rPr>
        <sz val="10"/>
        <rFont val="맑은 고딕"/>
        <family val="0"/>
        <charset val="1"/>
      </rPr>
      <t xml:space="preserve">15</t>
    </r>
  </si>
  <si>
    <t xml:space="preserve">서울대곡초등학교</t>
  </si>
  <si>
    <t xml:space="preserve">02-565-1942</t>
  </si>
  <si>
    <t xml:space="preserve">http://seouldaegok.sen.es.kr</t>
  </si>
  <si>
    <r>
      <rPr>
        <sz val="10"/>
        <rFont val="Noto Sans CJK SC"/>
        <family val="2"/>
      </rPr>
      <t xml:space="preserve">서울특별시 강남구 남부순환로 </t>
    </r>
    <r>
      <rPr>
        <sz val="10"/>
        <rFont val="맑은 고딕"/>
        <family val="0"/>
        <charset val="1"/>
      </rPr>
      <t xml:space="preserve">3022</t>
    </r>
  </si>
  <si>
    <t xml:space="preserve">서울도성초등학교</t>
  </si>
  <si>
    <t xml:space="preserve">02-567-0039</t>
  </si>
  <si>
    <t xml:space="preserve">http://seouldoseong.sen.es.kr</t>
  </si>
  <si>
    <r>
      <rPr>
        <sz val="10"/>
        <rFont val="Noto Sans CJK SC"/>
        <family val="2"/>
      </rPr>
      <t xml:space="preserve">서울특별시 강남구 역삼로 </t>
    </r>
    <r>
      <rPr>
        <sz val="10"/>
        <rFont val="맑은 고딕"/>
        <family val="0"/>
        <charset val="1"/>
      </rPr>
      <t xml:space="preserve">313</t>
    </r>
  </si>
  <si>
    <t xml:space="preserve">서울언북초등학교</t>
  </si>
  <si>
    <t xml:space="preserve">02-514-5981</t>
  </si>
  <si>
    <t xml:space="preserve">http://eonbuk.sen.es.kr</t>
  </si>
  <si>
    <r>
      <rPr>
        <sz val="10"/>
        <rFont val="Noto Sans CJK SC"/>
        <family val="2"/>
      </rPr>
      <t xml:space="preserve">서울특별시 강남구 삼성로</t>
    </r>
    <r>
      <rPr>
        <sz val="10"/>
        <rFont val="맑은 고딕"/>
        <family val="0"/>
        <charset val="1"/>
      </rPr>
      <t xml:space="preserve">135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42</t>
    </r>
  </si>
  <si>
    <t xml:space="preserve">서울역삼초등학교</t>
  </si>
  <si>
    <t xml:space="preserve">02-563-9168</t>
  </si>
  <si>
    <t xml:space="preserve">http://yeoksam.sen.es.kr</t>
  </si>
  <si>
    <r>
      <rPr>
        <sz val="10"/>
        <rFont val="Noto Sans CJK SC"/>
        <family val="2"/>
      </rPr>
      <t xml:space="preserve">서울특별시 강남구 강남대로</t>
    </r>
    <r>
      <rPr>
        <sz val="10"/>
        <rFont val="맑은 고딕"/>
        <family val="0"/>
        <charset val="1"/>
      </rPr>
      <t xml:space="preserve">66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21</t>
    </r>
  </si>
  <si>
    <t xml:space="preserve">서울학동초등학교</t>
  </si>
  <si>
    <t xml:space="preserve">02-546-5185</t>
  </si>
  <si>
    <t xml:space="preserve">http://hakdong.sen.es.kr</t>
  </si>
  <si>
    <r>
      <rPr>
        <sz val="10"/>
        <rFont val="Noto Sans CJK SC"/>
        <family val="2"/>
      </rPr>
      <t xml:space="preserve">서울특별시 강남구 선릉로</t>
    </r>
    <r>
      <rPr>
        <sz val="10"/>
        <rFont val="맑은 고딕"/>
        <family val="0"/>
        <charset val="1"/>
      </rPr>
      <t xml:space="preserve">115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42</t>
    </r>
  </si>
  <si>
    <t xml:space="preserve">대명중학교</t>
  </si>
  <si>
    <t xml:space="preserve">02-563-3701</t>
  </si>
  <si>
    <t xml:space="preserve">http://daemyeong.sen.ms.kr</t>
  </si>
  <si>
    <r>
      <rPr>
        <sz val="10"/>
        <rFont val="Noto Sans CJK SC"/>
        <family val="2"/>
      </rPr>
      <t xml:space="preserve">서울특별시 강남구 역삼로</t>
    </r>
    <r>
      <rPr>
        <sz val="10"/>
        <rFont val="맑은 고딕"/>
        <family val="0"/>
        <charset val="1"/>
      </rPr>
      <t xml:space="preserve">87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26</t>
    </r>
  </si>
  <si>
    <t xml:space="preserve">대청중학교</t>
  </si>
  <si>
    <t xml:space="preserve">02-553-9830</t>
  </si>
  <si>
    <t xml:space="preserve">http://daecheong.sen.ms.kr</t>
  </si>
  <si>
    <r>
      <rPr>
        <sz val="10"/>
        <rFont val="Noto Sans CJK SC"/>
        <family val="2"/>
      </rPr>
      <t xml:space="preserve">서울특별시 강남구 양재천로 </t>
    </r>
    <r>
      <rPr>
        <sz val="10"/>
        <rFont val="맑은 고딕"/>
        <family val="0"/>
        <charset val="1"/>
      </rPr>
      <t xml:space="preserve">321</t>
    </r>
  </si>
  <si>
    <t xml:space="preserve">세곡중학교</t>
  </si>
  <si>
    <t xml:space="preserve">02-2040-2900</t>
  </si>
  <si>
    <t xml:space="preserve">http://segok.sen.ms.kr</t>
  </si>
  <si>
    <r>
      <rPr>
        <sz val="10"/>
        <rFont val="Noto Sans CJK SC"/>
        <family val="2"/>
      </rPr>
      <t xml:space="preserve">서울특별시 강남구 자곡로 </t>
    </r>
    <r>
      <rPr>
        <sz val="10"/>
        <rFont val="맑은 고딕"/>
        <family val="0"/>
        <charset val="1"/>
      </rPr>
      <t xml:space="preserve">81</t>
    </r>
  </si>
  <si>
    <t xml:space="preserve">서울반원초등학교</t>
  </si>
  <si>
    <t xml:space="preserve">02-599-5662</t>
  </si>
  <si>
    <t xml:space="preserve">http://banwon.sen.es.kr</t>
  </si>
  <si>
    <r>
      <rPr>
        <sz val="10"/>
        <rFont val="Noto Sans CJK SC"/>
        <family val="2"/>
      </rPr>
      <t xml:space="preserve">서울특별시 서초구 잠원로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28</t>
    </r>
  </si>
  <si>
    <t xml:space="preserve">서울원명초등학교</t>
  </si>
  <si>
    <t xml:space="preserve">02-593-4492</t>
  </si>
  <si>
    <t xml:space="preserve">http://wonmyong.sen.es.kr</t>
  </si>
  <si>
    <r>
      <rPr>
        <sz val="10"/>
        <rFont val="Noto Sans CJK SC"/>
        <family val="2"/>
      </rPr>
      <t xml:space="preserve">서울특별시 서초구 고무래로 </t>
    </r>
    <r>
      <rPr>
        <sz val="10"/>
        <rFont val="맑은 고딕"/>
        <family val="0"/>
        <charset val="1"/>
      </rPr>
      <t xml:space="preserve">90-6</t>
    </r>
  </si>
  <si>
    <t xml:space="preserve">경원중학교</t>
  </si>
  <si>
    <t xml:space="preserve">02-593-6578</t>
  </si>
  <si>
    <t xml:space="preserve">http://gyeongwon.sen.ms.kr</t>
  </si>
  <si>
    <r>
      <rPr>
        <sz val="10"/>
        <rFont val="Noto Sans CJK SC"/>
        <family val="2"/>
      </rPr>
      <t xml:space="preserve">서울특별시 서초구 신반포로</t>
    </r>
    <r>
      <rPr>
        <sz val="10"/>
        <rFont val="맑은 고딕"/>
        <family val="0"/>
        <charset val="1"/>
      </rPr>
      <t xml:space="preserve">33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39</t>
    </r>
  </si>
  <si>
    <t xml:space="preserve">동덕여자중학교</t>
  </si>
  <si>
    <t xml:space="preserve">02-586-5417</t>
  </si>
  <si>
    <t xml:space="preserve">http://dongduk.sen.ms.kr</t>
  </si>
  <si>
    <t xml:space="preserve">방배중학교</t>
  </si>
  <si>
    <t xml:space="preserve">02-532-1342</t>
  </si>
  <si>
    <t xml:space="preserve">http://bangbae.sen.ms.kr</t>
  </si>
  <si>
    <r>
      <rPr>
        <sz val="10"/>
        <rFont val="Noto Sans CJK SC"/>
        <family val="2"/>
      </rPr>
      <t xml:space="preserve">서울특별시 서초구 동광로 </t>
    </r>
    <r>
      <rPr>
        <sz val="10"/>
        <rFont val="맑은 고딕"/>
        <family val="0"/>
        <charset val="1"/>
      </rPr>
      <t xml:space="preserve">144</t>
    </r>
  </si>
  <si>
    <t xml:space="preserve">신반포중학교</t>
  </si>
  <si>
    <t xml:space="preserve">02-537-6731</t>
  </si>
  <si>
    <t xml:space="preserve">http://shinbanpo.sen.ms.kr</t>
  </si>
  <si>
    <r>
      <rPr>
        <sz val="10"/>
        <rFont val="Noto Sans CJK SC"/>
        <family val="2"/>
      </rPr>
      <t xml:space="preserve">서울특별시 서초구 신반포로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26</t>
    </r>
  </si>
  <si>
    <t xml:space="preserve">원촌중학교</t>
  </si>
  <si>
    <t xml:space="preserve">02-3482-6053</t>
  </si>
  <si>
    <t xml:space="preserve">http://wonchon.sen.ms.kr</t>
  </si>
  <si>
    <r>
      <rPr>
        <sz val="10"/>
        <rFont val="Noto Sans CJK SC"/>
        <family val="2"/>
      </rPr>
      <t xml:space="preserve">서울특별시 서초구 사평대로</t>
    </r>
    <r>
      <rPr>
        <sz val="10"/>
        <rFont val="맑은 고딕"/>
        <family val="0"/>
        <charset val="1"/>
      </rPr>
      <t xml:space="preserve">45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10</t>
    </r>
  </si>
  <si>
    <t xml:space="preserve">이수중학교</t>
  </si>
  <si>
    <t xml:space="preserve">02-521-4651</t>
  </si>
  <si>
    <t xml:space="preserve">http://isu.sen.ms.kr</t>
  </si>
  <si>
    <r>
      <rPr>
        <sz val="10"/>
        <rFont val="Noto Sans CJK SC"/>
        <family val="2"/>
      </rPr>
      <t xml:space="preserve">서울특별시 서초구 방배중앙로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32</t>
    </r>
  </si>
  <si>
    <t xml:space="preserve">서울고명초등학교</t>
  </si>
  <si>
    <t xml:space="preserve">02-3428-5112</t>
  </si>
  <si>
    <t xml:space="preserve">http://gomyung.sen.es.kr</t>
  </si>
  <si>
    <r>
      <rPr>
        <sz val="10"/>
        <rFont val="Noto Sans CJK SC"/>
        <family val="2"/>
      </rPr>
      <t xml:space="preserve">서울특별시 강동구 고덕로</t>
    </r>
    <r>
      <rPr>
        <sz val="10"/>
        <rFont val="맑은 고딕"/>
        <family val="0"/>
        <charset val="1"/>
      </rPr>
      <t xml:space="preserve">46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53</t>
    </r>
  </si>
  <si>
    <t xml:space="preserve">서울대명초등학교</t>
  </si>
  <si>
    <t xml:space="preserve">02-481-7871</t>
  </si>
  <si>
    <t xml:space="preserve">http://daemyeong.sen.es.kr</t>
  </si>
  <si>
    <r>
      <rPr>
        <sz val="10"/>
        <rFont val="Noto Sans CJK SC"/>
        <family val="2"/>
      </rPr>
      <t xml:space="preserve">서울특별시 강동구 상암로 </t>
    </r>
    <r>
      <rPr>
        <sz val="10"/>
        <rFont val="맑은 고딕"/>
        <family val="0"/>
        <charset val="1"/>
      </rPr>
      <t xml:space="preserve">271</t>
    </r>
  </si>
  <si>
    <t xml:space="preserve">서울둔촌초등학교</t>
  </si>
  <si>
    <t xml:space="preserve">02-3434-8900</t>
  </si>
  <si>
    <t xml:space="preserve">http://doonchon.sen.es.kr</t>
  </si>
  <si>
    <r>
      <rPr>
        <sz val="10"/>
        <rFont val="Noto Sans CJK SC"/>
        <family val="2"/>
      </rPr>
      <t xml:space="preserve">서울특별시 강동구 양재대로</t>
    </r>
    <r>
      <rPr>
        <sz val="10"/>
        <rFont val="맑은 고딕"/>
        <family val="0"/>
        <charset val="1"/>
      </rPr>
      <t xml:space="preserve">88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27</t>
    </r>
  </si>
  <si>
    <t xml:space="preserve">서울명덕초등학교</t>
  </si>
  <si>
    <t xml:space="preserve">02-441-2156</t>
  </si>
  <si>
    <t xml:space="preserve">http://myungduk.sen.es.kr</t>
  </si>
  <si>
    <r>
      <rPr>
        <sz val="10"/>
        <rFont val="Noto Sans CJK SC"/>
        <family val="2"/>
      </rPr>
      <t xml:space="preserve">서울특별시 강동구 양재대로</t>
    </r>
    <r>
      <rPr>
        <sz val="10"/>
        <rFont val="맑은 고딕"/>
        <family val="0"/>
        <charset val="1"/>
      </rPr>
      <t xml:space="preserve">156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</t>
    </r>
  </si>
  <si>
    <t xml:space="preserve">서울명원초등학교</t>
  </si>
  <si>
    <t xml:space="preserve">02-428-2433</t>
  </si>
  <si>
    <t xml:space="preserve">http://myongwon.sen.es.kr</t>
  </si>
  <si>
    <r>
      <rPr>
        <sz val="10"/>
        <rFont val="Noto Sans CJK SC"/>
        <family val="2"/>
      </rPr>
      <t xml:space="preserve">서울특별시 강동구 명일로 </t>
    </r>
    <r>
      <rPr>
        <sz val="10"/>
        <rFont val="맑은 고딕"/>
        <family val="0"/>
        <charset val="1"/>
      </rPr>
      <t xml:space="preserve">364</t>
    </r>
  </si>
  <si>
    <t xml:space="preserve">서울묘곡초등학교</t>
  </si>
  <si>
    <t xml:space="preserve">02-427-4167</t>
  </si>
  <si>
    <t xml:space="preserve">http://myogok.sen.es.kr</t>
  </si>
  <si>
    <r>
      <rPr>
        <sz val="10"/>
        <rFont val="Noto Sans CJK SC"/>
        <family val="2"/>
      </rPr>
      <t xml:space="preserve">서울특별시 강동구 동남로</t>
    </r>
    <r>
      <rPr>
        <sz val="10"/>
        <rFont val="맑은 고딕"/>
        <family val="0"/>
        <charset val="1"/>
      </rPr>
      <t xml:space="preserve">79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46</t>
    </r>
  </si>
  <si>
    <t xml:space="preserve">서울한산초등학교</t>
  </si>
  <si>
    <t xml:space="preserve">02-475-5762</t>
  </si>
  <si>
    <t xml:space="preserve">http://hansan.sen.es.kr</t>
  </si>
  <si>
    <r>
      <rPr>
        <sz val="10"/>
        <rFont val="Noto Sans CJK SC"/>
        <family val="2"/>
      </rPr>
      <t xml:space="preserve">서울특별시 강동구 풍성로 </t>
    </r>
    <r>
      <rPr>
        <sz val="10"/>
        <rFont val="맑은 고딕"/>
        <family val="0"/>
        <charset val="1"/>
      </rPr>
      <t xml:space="preserve">261</t>
    </r>
  </si>
  <si>
    <t xml:space="preserve">동신중학교</t>
  </si>
  <si>
    <t xml:space="preserve">02-3784-3938</t>
  </si>
  <si>
    <t xml:space="preserve">http://dongshin.sen.ms.kr</t>
  </si>
  <si>
    <r>
      <rPr>
        <sz val="10"/>
        <rFont val="Noto Sans CJK SC"/>
        <family val="2"/>
      </rPr>
      <t xml:space="preserve">서울특별시 강동구 진황도로 </t>
    </r>
    <r>
      <rPr>
        <sz val="10"/>
        <rFont val="맑은 고딕"/>
        <family val="0"/>
        <charset val="1"/>
      </rPr>
      <t xml:space="preserve">72</t>
    </r>
  </si>
  <si>
    <t xml:space="preserve">02-6969-6400</t>
  </si>
  <si>
    <t xml:space="preserve">http://sinmyung.sen.ms.kr</t>
  </si>
  <si>
    <r>
      <rPr>
        <sz val="10"/>
        <rFont val="Noto Sans CJK SC"/>
        <family val="2"/>
      </rPr>
      <t xml:space="preserve">서울특별시 강동구 명일로</t>
    </r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25</t>
    </r>
  </si>
  <si>
    <t xml:space="preserve">한영중학교</t>
  </si>
  <si>
    <t xml:space="preserve">02-6954-1403</t>
  </si>
  <si>
    <t xml:space="preserve">http://hanyoung.sen.ms.kr</t>
  </si>
  <si>
    <r>
      <rPr>
        <sz val="10"/>
        <rFont val="Noto Sans CJK SC"/>
        <family val="2"/>
      </rPr>
      <t xml:space="preserve">서울특별시 강동구 동남로 </t>
    </r>
    <r>
      <rPr>
        <sz val="10"/>
        <rFont val="맑은 고딕"/>
        <family val="0"/>
        <charset val="1"/>
      </rPr>
      <t xml:space="preserve">832</t>
    </r>
  </si>
  <si>
    <t xml:space="preserve">서울가동초등학교</t>
  </si>
  <si>
    <t xml:space="preserve">02-448-5766</t>
  </si>
  <si>
    <t xml:space="preserve">http://gadong.sen.es.kr</t>
  </si>
  <si>
    <r>
      <rPr>
        <sz val="10"/>
        <rFont val="Noto Sans CJK SC"/>
        <family val="2"/>
      </rPr>
      <t xml:space="preserve">서울특별시 송파구 중대로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47</t>
    </r>
  </si>
  <si>
    <t xml:space="preserve">서울거원초등학교</t>
  </si>
  <si>
    <t xml:space="preserve">02-6919-3700</t>
  </si>
  <si>
    <t xml:space="preserve">http://guhwon.sen.es.kr</t>
  </si>
  <si>
    <r>
      <rPr>
        <sz val="10"/>
        <rFont val="Noto Sans CJK SC"/>
        <family val="2"/>
      </rPr>
      <t xml:space="preserve">서울특별시 송파구 양산로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26</t>
    </r>
  </si>
  <si>
    <t xml:space="preserve">서울삼전초등학교</t>
  </si>
  <si>
    <t xml:space="preserve">02-415-8701</t>
  </si>
  <si>
    <t xml:space="preserve">http://samjeon.sen.es.kr</t>
  </si>
  <si>
    <r>
      <rPr>
        <sz val="10"/>
        <rFont val="Noto Sans CJK SC"/>
        <family val="2"/>
      </rPr>
      <t xml:space="preserve">서울특별시 송파구 백제고분로</t>
    </r>
    <r>
      <rPr>
        <sz val="10"/>
        <rFont val="맑은 고딕"/>
        <family val="0"/>
        <charset val="1"/>
      </rPr>
      <t xml:space="preserve">28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19</t>
    </r>
  </si>
  <si>
    <t xml:space="preserve">서울석촌초등학교</t>
  </si>
  <si>
    <t xml:space="preserve">02-416-4075</t>
  </si>
  <si>
    <t xml:space="preserve">http://seokchon.sen.es.kr</t>
  </si>
  <si>
    <r>
      <rPr>
        <sz val="10"/>
        <rFont val="Noto Sans CJK SC"/>
        <family val="2"/>
      </rPr>
      <t xml:space="preserve">서울특별시 송파구 가락로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26</t>
    </r>
  </si>
  <si>
    <t xml:space="preserve">송례중학교</t>
  </si>
  <si>
    <t xml:space="preserve">02-2144-2800</t>
  </si>
  <si>
    <t xml:space="preserve">http://songrye.sen.ms.kr</t>
  </si>
  <si>
    <r>
      <rPr>
        <sz val="10"/>
        <rFont val="Noto Sans CJK SC"/>
        <family val="2"/>
      </rPr>
      <t xml:space="preserve">서울특별시 송파구 위례순환로 </t>
    </r>
    <r>
      <rPr>
        <sz val="10"/>
        <rFont val="맑은 고딕"/>
        <family val="0"/>
        <charset val="1"/>
      </rPr>
      <t xml:space="preserve">429</t>
    </r>
  </si>
  <si>
    <t xml:space="preserve">신천중학교</t>
  </si>
  <si>
    <t xml:space="preserve">02-422-3946</t>
  </si>
  <si>
    <t xml:space="preserve">http://scm.sen.ms.kr</t>
  </si>
  <si>
    <r>
      <rPr>
        <sz val="10"/>
        <rFont val="Noto Sans CJK SC"/>
        <family val="2"/>
      </rPr>
      <t xml:space="preserve">서울특별시 송파구 백제고분로 </t>
    </r>
    <r>
      <rPr>
        <sz val="10"/>
        <rFont val="맑은 고딕"/>
        <family val="0"/>
        <charset val="1"/>
      </rPr>
      <t xml:space="preserve">11</t>
    </r>
  </si>
  <si>
    <t xml:space="preserve">영파여자중학교</t>
  </si>
  <si>
    <t xml:space="preserve">02-488-4074</t>
  </si>
  <si>
    <t xml:space="preserve">http://youngpa.sen.ms.kr</t>
  </si>
  <si>
    <r>
      <rPr>
        <sz val="10"/>
        <rFont val="Noto Sans CJK SC"/>
        <family val="2"/>
      </rPr>
      <t xml:space="preserve">서울특별시 송파구 올림픽로 </t>
    </r>
    <r>
      <rPr>
        <sz val="10"/>
        <rFont val="맑은 고딕"/>
        <family val="0"/>
        <charset val="1"/>
      </rPr>
      <t xml:space="preserve">565</t>
    </r>
  </si>
  <si>
    <t xml:space="preserve">오륜중학교</t>
  </si>
  <si>
    <t xml:space="preserve">02-3434-4100</t>
  </si>
  <si>
    <t xml:space="preserve">http://oryun.sen.ms.kr</t>
  </si>
  <si>
    <r>
      <rPr>
        <sz val="10"/>
        <rFont val="Noto Sans CJK SC"/>
        <family val="2"/>
      </rPr>
      <t xml:space="preserve">서울특별시 송파구 양재대로 </t>
    </r>
    <r>
      <rPr>
        <sz val="10"/>
        <rFont val="맑은 고딕"/>
        <family val="0"/>
        <charset val="1"/>
      </rPr>
      <t xml:space="preserve">1242</t>
    </r>
  </si>
  <si>
    <t xml:space="preserve">잠실중학교</t>
  </si>
  <si>
    <t xml:space="preserve">02-420-8051</t>
  </si>
  <si>
    <t xml:space="preserve">http://jamsil.sen.ms.kr</t>
  </si>
  <si>
    <r>
      <rPr>
        <sz val="10"/>
        <rFont val="Noto Sans CJK SC"/>
        <family val="2"/>
      </rPr>
      <t xml:space="preserve">서울특별시 송파구 올림픽로</t>
    </r>
    <r>
      <rPr>
        <sz val="10"/>
        <rFont val="맑은 고딕"/>
        <family val="0"/>
        <charset val="1"/>
      </rPr>
      <t xml:space="preserve">35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130</t>
    </r>
  </si>
  <si>
    <t xml:space="preserve">서울등마초등학교</t>
  </si>
  <si>
    <t xml:space="preserve">02-2642-0232</t>
  </si>
  <si>
    <t xml:space="preserve">http://dma.sen.es.kr</t>
  </si>
  <si>
    <r>
      <rPr>
        <sz val="10"/>
        <rFont val="Noto Sans CJK SC"/>
        <family val="2"/>
      </rPr>
      <t xml:space="preserve">서울특별시 강서구 등촌로</t>
    </r>
    <r>
      <rPr>
        <sz val="10"/>
        <rFont val="맑은 고딕"/>
        <family val="0"/>
        <charset val="1"/>
      </rPr>
      <t xml:space="preserve">35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12</t>
    </r>
  </si>
  <si>
    <t xml:space="preserve">서울등현초등학교</t>
  </si>
  <si>
    <t xml:space="preserve">02-2658-7851</t>
  </si>
  <si>
    <t xml:space="preserve">http://deunghyun.sen.es.kr</t>
  </si>
  <si>
    <r>
      <rPr>
        <sz val="10"/>
        <rFont val="Noto Sans CJK SC"/>
        <family val="2"/>
      </rPr>
      <t xml:space="preserve">서울특별시 강서구 화곡로</t>
    </r>
    <r>
      <rPr>
        <sz val="10"/>
        <rFont val="맑은 고딕"/>
        <family val="0"/>
        <charset val="1"/>
      </rPr>
      <t xml:space="preserve">65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124</t>
    </r>
  </si>
  <si>
    <t xml:space="preserve">서울발산초등학교</t>
  </si>
  <si>
    <t xml:space="preserve">02-2664-7502</t>
  </si>
  <si>
    <t xml:space="preserve">http://balsan.sen.es.kr</t>
  </si>
  <si>
    <r>
      <rPr>
        <sz val="10"/>
        <rFont val="Noto Sans CJK SC"/>
        <family val="2"/>
      </rPr>
      <t xml:space="preserve">서울특별시 강서구 강서로</t>
    </r>
    <r>
      <rPr>
        <sz val="10"/>
        <rFont val="맑은 고딕"/>
        <family val="0"/>
        <charset val="1"/>
      </rPr>
      <t xml:space="preserve">45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113</t>
    </r>
  </si>
  <si>
    <t xml:space="preserve">서울백석초등학교</t>
  </si>
  <si>
    <t xml:space="preserve">02-3661-3237</t>
  </si>
  <si>
    <t xml:space="preserve">http://bsbs.sen.es.kr</t>
  </si>
  <si>
    <r>
      <rPr>
        <sz val="10"/>
        <rFont val="Noto Sans CJK SC"/>
        <family val="2"/>
      </rPr>
      <t xml:space="preserve">서울특별시 강서구 공항대로 </t>
    </r>
    <r>
      <rPr>
        <sz val="10"/>
        <rFont val="맑은 고딕"/>
        <family val="0"/>
        <charset val="1"/>
      </rPr>
      <t xml:space="preserve">491</t>
    </r>
  </si>
  <si>
    <t xml:space="preserve">서울송정초등학교</t>
  </si>
  <si>
    <t xml:space="preserve">02-2662-0016</t>
  </si>
  <si>
    <t xml:space="preserve">http://sjes.sen.es.kr</t>
  </si>
  <si>
    <r>
      <rPr>
        <sz val="10"/>
        <rFont val="Noto Sans CJK SC"/>
        <family val="2"/>
      </rPr>
      <t xml:space="preserve">서울특별시 강서구 공항대로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18</t>
    </r>
  </si>
  <si>
    <t xml:space="preserve">서울신곡초등학교</t>
  </si>
  <si>
    <t xml:space="preserve">02-2643-2248</t>
  </si>
  <si>
    <t xml:space="preserve">http://sg.sen.es.kr</t>
  </si>
  <si>
    <r>
      <rPr>
        <sz val="10"/>
        <rFont val="Noto Sans CJK SC"/>
        <family val="2"/>
      </rPr>
      <t xml:space="preserve">서울특별시 강서구 등촌로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자길 </t>
    </r>
    <r>
      <rPr>
        <sz val="10"/>
        <rFont val="맑은 고딕"/>
        <family val="0"/>
        <charset val="1"/>
      </rPr>
      <t xml:space="preserve">42-14</t>
    </r>
  </si>
  <si>
    <t xml:space="preserve">서울신월초등학교</t>
  </si>
  <si>
    <t xml:space="preserve">02-2699-4785</t>
  </si>
  <si>
    <t xml:space="preserve">http://ssinwol.sen.es.kr</t>
  </si>
  <si>
    <r>
      <rPr>
        <sz val="10"/>
        <rFont val="Noto Sans CJK SC"/>
        <family val="2"/>
      </rPr>
      <t xml:space="preserve">서울특별시 강서구 강서로</t>
    </r>
    <r>
      <rPr>
        <sz val="10"/>
        <rFont val="맑은 고딕"/>
        <family val="0"/>
        <charset val="1"/>
      </rPr>
      <t xml:space="preserve">31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48</t>
    </r>
  </si>
  <si>
    <t xml:space="preserve">서울우장초등학교</t>
  </si>
  <si>
    <t xml:space="preserve">02-2603-9989</t>
  </si>
  <si>
    <t xml:space="preserve">http://ujang.sen.es.kr</t>
  </si>
  <si>
    <r>
      <rPr>
        <sz val="10"/>
        <rFont val="Noto Sans CJK SC"/>
        <family val="2"/>
      </rPr>
      <t xml:space="preserve">서울특별시 강서구 화곡로 </t>
    </r>
    <r>
      <rPr>
        <sz val="10"/>
        <rFont val="맑은 고딕"/>
        <family val="0"/>
        <charset val="1"/>
      </rPr>
      <t xml:space="preserve">263</t>
    </r>
  </si>
  <si>
    <t xml:space="preserve">등원중학교</t>
  </si>
  <si>
    <t xml:space="preserve">02-2658-2707</t>
  </si>
  <si>
    <t xml:space="preserve">http://deungwon.sen.ms.kr</t>
  </si>
  <si>
    <r>
      <rPr>
        <sz val="10"/>
        <rFont val="Noto Sans CJK SC"/>
        <family val="2"/>
      </rPr>
      <t xml:space="preserve">서울특별시 강서구 화곡로</t>
    </r>
    <r>
      <rPr>
        <sz val="10"/>
        <rFont val="맑은 고딕"/>
        <family val="0"/>
        <charset val="1"/>
      </rPr>
      <t xml:space="preserve">65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50</t>
    </r>
  </si>
  <si>
    <t xml:space="preserve">수명중학교</t>
  </si>
  <si>
    <t xml:space="preserve">02-6738-1200</t>
  </si>
  <si>
    <t xml:space="preserve">http://sumyeong.sen.ms.kr</t>
  </si>
  <si>
    <r>
      <rPr>
        <sz val="10"/>
        <rFont val="Noto Sans CJK SC"/>
        <family val="2"/>
      </rPr>
      <t xml:space="preserve">서울특별시 강서구 수명로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16</t>
    </r>
  </si>
  <si>
    <t xml:space="preserve">염창중학교</t>
  </si>
  <si>
    <t xml:space="preserve">02-3661-9756</t>
  </si>
  <si>
    <t xml:space="preserve">http://yumchang.sen.ms.kr</t>
  </si>
  <si>
    <r>
      <rPr>
        <sz val="10"/>
        <rFont val="Noto Sans CJK SC"/>
        <family val="2"/>
      </rPr>
      <t xml:space="preserve">서울특별시 강서구 양천로</t>
    </r>
    <r>
      <rPr>
        <sz val="10"/>
        <rFont val="맑은 고딕"/>
        <family val="0"/>
        <charset val="1"/>
      </rPr>
      <t xml:space="preserve">67</t>
    </r>
    <r>
      <rPr>
        <sz val="10"/>
        <rFont val="Noto Sans CJK SC"/>
        <family val="2"/>
      </rPr>
      <t xml:space="preserve">가길 </t>
    </r>
    <r>
      <rPr>
        <sz val="10"/>
        <rFont val="맑은 고딕"/>
        <family val="0"/>
        <charset val="1"/>
      </rPr>
      <t xml:space="preserve">83</t>
    </r>
  </si>
  <si>
    <t xml:space="preserve">서울경인초등학교</t>
  </si>
  <si>
    <t xml:space="preserve">02-2647-2568</t>
  </si>
  <si>
    <t xml:space="preserve">http://kyongin.sen.es.kr</t>
  </si>
  <si>
    <r>
      <rPr>
        <sz val="10"/>
        <rFont val="Noto Sans CJK SC"/>
        <family val="2"/>
      </rPr>
      <t xml:space="preserve">서울특별시 양천구 안양천로 </t>
    </r>
    <r>
      <rPr>
        <sz val="10"/>
        <rFont val="맑은 고딕"/>
        <family val="0"/>
        <charset val="1"/>
      </rPr>
      <t xml:space="preserve">1009</t>
    </r>
  </si>
  <si>
    <t xml:space="preserve">서울신목초등학교</t>
  </si>
  <si>
    <t xml:space="preserve">02-2649-8497</t>
  </si>
  <si>
    <t xml:space="preserve">http://sinmoc.sen.es.kr</t>
  </si>
  <si>
    <r>
      <rPr>
        <sz val="10"/>
        <rFont val="Noto Sans CJK SC"/>
        <family val="2"/>
      </rPr>
      <t xml:space="preserve">서울특별시 양천구 신목로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11-6</t>
    </r>
  </si>
  <si>
    <t xml:space="preserve">서울양명초등학교</t>
  </si>
  <si>
    <t xml:space="preserve">02-2646-1598</t>
  </si>
  <si>
    <t xml:space="preserve">http://yangmyung.sen.es.kr</t>
  </si>
  <si>
    <r>
      <rPr>
        <sz val="10"/>
        <rFont val="Noto Sans CJK SC"/>
        <family val="2"/>
      </rPr>
      <t xml:space="preserve">서울특별시 양천구 중앙로 </t>
    </r>
    <r>
      <rPr>
        <sz val="10"/>
        <rFont val="맑은 고딕"/>
        <family val="0"/>
        <charset val="1"/>
      </rPr>
      <t xml:space="preserve">204</t>
    </r>
  </si>
  <si>
    <t xml:space="preserve">서울양화초등학교</t>
  </si>
  <si>
    <t xml:space="preserve">02-2646-3510</t>
  </si>
  <si>
    <t xml:space="preserve">http://yanghwa.sen.es.kr</t>
  </si>
  <si>
    <r>
      <rPr>
        <sz val="10"/>
        <rFont val="Noto Sans CJK SC"/>
        <family val="2"/>
      </rPr>
      <t xml:space="preserve">서울특별시 양천구 목동중앙북로</t>
    </r>
    <r>
      <rPr>
        <sz val="10"/>
        <rFont val="맑은 고딕"/>
        <family val="0"/>
        <charset val="1"/>
      </rPr>
      <t xml:space="preserve">16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57</t>
    </r>
  </si>
  <si>
    <t xml:space="preserve">신목중학교</t>
  </si>
  <si>
    <t xml:space="preserve">02-2648-2142</t>
  </si>
  <si>
    <t xml:space="preserve">http://shinmok.sen.ms.kr</t>
  </si>
  <si>
    <r>
      <rPr>
        <sz val="10"/>
        <rFont val="Noto Sans CJK SC"/>
        <family val="2"/>
      </rPr>
      <t xml:space="preserve">서울특별시 양천구 목동중앙로 </t>
    </r>
    <r>
      <rPr>
        <sz val="10"/>
        <rFont val="맑은 고딕"/>
        <family val="0"/>
        <charset val="1"/>
      </rPr>
      <t xml:space="preserve">88</t>
    </r>
  </si>
  <si>
    <t xml:space="preserve">양강중학교</t>
  </si>
  <si>
    <t xml:space="preserve">02-2691-0869</t>
  </si>
  <si>
    <t xml:space="preserve">http://yangkang.sen.ms.kr</t>
  </si>
  <si>
    <r>
      <rPr>
        <sz val="10"/>
        <rFont val="Noto Sans CJK SC"/>
        <family val="2"/>
      </rPr>
      <t xml:space="preserve">서울특별시 양천구 중앙로 </t>
    </r>
    <r>
      <rPr>
        <sz val="10"/>
        <rFont val="맑은 고딕"/>
        <family val="0"/>
        <charset val="1"/>
      </rPr>
      <t xml:space="preserve">319</t>
    </r>
  </si>
  <si>
    <t xml:space="preserve">상일여자고등학교</t>
  </si>
  <si>
    <t xml:space="preserve">02-428-0435</t>
  </si>
  <si>
    <t xml:space="preserve">http://sangil.sen.hs.kr</t>
  </si>
  <si>
    <t xml:space="preserve">영등포공업고등학교</t>
  </si>
  <si>
    <t xml:space="preserve">02-2659-2981</t>
  </si>
  <si>
    <t xml:space="preserve">http://younggong.sen.hs.kr</t>
  </si>
  <si>
    <r>
      <rPr>
        <sz val="10"/>
        <rFont val="Noto Sans CJK SC"/>
        <family val="2"/>
      </rPr>
      <t xml:space="preserve">서울특별시 강서구 허준로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15</t>
    </r>
  </si>
  <si>
    <t xml:space="preserve">광신방송예술고등학교</t>
  </si>
  <si>
    <t xml:space="preserve">02-881-8612</t>
  </si>
  <si>
    <t xml:space="preserve">http://ksmedia.sen.hs.kr</t>
  </si>
  <si>
    <r>
      <rPr>
        <sz val="10"/>
        <rFont val="Noto Sans CJK SC"/>
        <family val="2"/>
      </rPr>
      <t xml:space="preserve">서울특별시 관악구 광신길 </t>
    </r>
    <r>
      <rPr>
        <sz val="10"/>
        <rFont val="맑은 고딕"/>
        <family val="0"/>
        <charset val="1"/>
      </rPr>
      <t xml:space="preserve">141</t>
    </r>
  </si>
  <si>
    <t xml:space="preserve">미림마이스터고등학교</t>
  </si>
  <si>
    <t xml:space="preserve">02-872-4071</t>
  </si>
  <si>
    <t xml:space="preserve">http://www.e-mirim.hs.kr</t>
  </si>
  <si>
    <r>
      <rPr>
        <sz val="10"/>
        <rFont val="Noto Sans CJK SC"/>
        <family val="2"/>
      </rPr>
      <t xml:space="preserve">서울특별시 관악구 호암로 </t>
    </r>
    <r>
      <rPr>
        <sz val="10"/>
        <rFont val="맑은 고딕"/>
        <family val="0"/>
        <charset val="1"/>
      </rPr>
      <t xml:space="preserve">546</t>
    </r>
  </si>
  <si>
    <t xml:space="preserve">서울관광고등학교</t>
  </si>
  <si>
    <t xml:space="preserve">02-886-9165</t>
  </si>
  <si>
    <t xml:space="preserve">http://seoul-tour.sen.hs.kr</t>
  </si>
  <si>
    <r>
      <rPr>
        <sz val="10"/>
        <rFont val="Noto Sans CJK SC"/>
        <family val="2"/>
      </rPr>
      <t xml:space="preserve">서울특별시 관악구 은천로</t>
    </r>
    <r>
      <rPr>
        <sz val="10"/>
        <rFont val="맑은 고딕"/>
        <family val="0"/>
        <charset val="1"/>
      </rPr>
      <t xml:space="preserve">15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25</t>
    </r>
  </si>
  <si>
    <t xml:space="preserve">영락의료과학고등학교</t>
  </si>
  <si>
    <t xml:space="preserve">02-884-1004</t>
  </si>
  <si>
    <t xml:space="preserve">http://youngnak-c.sen.hs.kr</t>
  </si>
  <si>
    <r>
      <rPr>
        <sz val="10"/>
        <rFont val="Noto Sans CJK SC"/>
        <family val="2"/>
      </rPr>
      <t xml:space="preserve">서울특별시 관악구 청룡</t>
    </r>
    <r>
      <rPr>
        <sz val="10"/>
        <rFont val="맑은 고딕"/>
        <family val="0"/>
        <charset val="1"/>
      </rPr>
      <t xml:space="preserve">16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25</t>
    </r>
  </si>
  <si>
    <t xml:space="preserve">건국대학교사범대학부속고등학교</t>
  </si>
  <si>
    <t xml:space="preserve">070-7012-3500</t>
  </si>
  <si>
    <t xml:space="preserve">http://konkuk.sen.hs.kr</t>
  </si>
  <si>
    <r>
      <rPr>
        <sz val="10"/>
        <rFont val="Noto Sans CJK SC"/>
        <family val="2"/>
      </rPr>
      <t xml:space="preserve">서울특별시 광진구 능동로 </t>
    </r>
    <r>
      <rPr>
        <sz val="10"/>
        <rFont val="맑은 고딕"/>
        <family val="0"/>
        <charset val="1"/>
      </rPr>
      <t xml:space="preserve">120</t>
    </r>
  </si>
  <si>
    <t xml:space="preserve">대원고등학교</t>
  </si>
  <si>
    <t xml:space="preserve">02-2204-1570</t>
  </si>
  <si>
    <t xml:space="preserve">http://daewon.sen.hs.kr</t>
  </si>
  <si>
    <t xml:space="preserve">서서울생활과학고등학교</t>
  </si>
  <si>
    <t xml:space="preserve">02-2613-5273</t>
  </si>
  <si>
    <t xml:space="preserve">http://ssls.sen.hs.kr</t>
  </si>
  <si>
    <r>
      <rPr>
        <sz val="10"/>
        <rFont val="Noto Sans CJK SC"/>
        <family val="2"/>
      </rPr>
      <t xml:space="preserve">서울특별시 구로구 오리로 </t>
    </r>
    <r>
      <rPr>
        <sz val="10"/>
        <rFont val="맑은 고딕"/>
        <family val="0"/>
        <charset val="1"/>
      </rPr>
      <t xml:space="preserve">1355-10</t>
    </r>
  </si>
  <si>
    <t xml:space="preserve">예림디자인고등학교</t>
  </si>
  <si>
    <t xml:space="preserve">02-2617-2333</t>
  </si>
  <si>
    <t xml:space="preserve">http://yerim.sen.hs.kr</t>
  </si>
  <si>
    <r>
      <rPr>
        <sz val="10"/>
        <rFont val="Noto Sans CJK SC"/>
        <family val="2"/>
      </rPr>
      <t xml:space="preserve">서울특별시 구로구 오리로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</t>
    </r>
  </si>
  <si>
    <t xml:space="preserve">우신고등학교</t>
  </si>
  <si>
    <t xml:space="preserve">02-2610-1599</t>
  </si>
  <si>
    <t xml:space="preserve">http://wooshin.sen.hs.kr</t>
  </si>
  <si>
    <r>
      <rPr>
        <sz val="10"/>
        <rFont val="Noto Sans CJK SC"/>
        <family val="2"/>
      </rPr>
      <t xml:space="preserve">서울특별시 구로구 부일로 </t>
    </r>
    <r>
      <rPr>
        <sz val="10"/>
        <rFont val="맑은 고딕"/>
        <family val="0"/>
        <charset val="1"/>
      </rPr>
      <t xml:space="preserve">917</t>
    </r>
  </si>
  <si>
    <t xml:space="preserve">02-896-3181</t>
  </si>
  <si>
    <t xml:space="preserve">http://geumcheon.sen.hs.kr</t>
  </si>
  <si>
    <r>
      <rPr>
        <sz val="10"/>
        <rFont val="Noto Sans CJK SC"/>
        <family val="2"/>
      </rPr>
      <t xml:space="preserve">서울특별시 금천구 시흥대로</t>
    </r>
    <r>
      <rPr>
        <sz val="10"/>
        <rFont val="맑은 고딕"/>
        <family val="0"/>
        <charset val="1"/>
      </rPr>
      <t xml:space="preserve">38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26</t>
    </r>
  </si>
  <si>
    <t xml:space="preserve">서울매그넷고등학교</t>
  </si>
  <si>
    <t xml:space="preserve">02-807-6333</t>
  </si>
  <si>
    <t xml:space="preserve">http://seoulmagnet.sen.hs.kr</t>
  </si>
  <si>
    <t xml:space="preserve">광운인공지능고등학교</t>
  </si>
  <si>
    <t xml:space="preserve">02-918-7761</t>
  </si>
  <si>
    <t xml:space="preserve">http://kwangwoon.sen.hs.kr</t>
  </si>
  <si>
    <r>
      <rPr>
        <sz val="10"/>
        <rFont val="Noto Sans CJK SC"/>
        <family val="2"/>
      </rPr>
      <t xml:space="preserve">서울특별시 노원구 광운로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24</t>
    </r>
  </si>
  <si>
    <t xml:space="preserve">대진고등학교</t>
  </si>
  <si>
    <t xml:space="preserve">02-976-0067</t>
  </si>
  <si>
    <t xml:space="preserve">http://daejin.sen.hs.kr</t>
  </si>
  <si>
    <r>
      <rPr>
        <sz val="10"/>
        <rFont val="Noto Sans CJK SC"/>
        <family val="2"/>
      </rPr>
      <t xml:space="preserve">서울특별시 노원구 공릉로</t>
    </r>
    <r>
      <rPr>
        <sz val="10"/>
        <rFont val="맑은 고딕"/>
        <family val="0"/>
        <charset val="1"/>
      </rPr>
      <t xml:space="preserve">62</t>
    </r>
    <r>
      <rPr>
        <sz val="10"/>
        <rFont val="Noto Sans CJK SC"/>
        <family val="2"/>
      </rPr>
      <t xml:space="preserve">가길 </t>
    </r>
    <r>
      <rPr>
        <sz val="10"/>
        <rFont val="맑은 고딕"/>
        <family val="0"/>
        <charset val="1"/>
      </rPr>
      <t xml:space="preserve">47</t>
    </r>
  </si>
  <si>
    <t xml:space="preserve">서울아이티고등학교</t>
  </si>
  <si>
    <t xml:space="preserve">02-948-1901</t>
  </si>
  <si>
    <t xml:space="preserve">http://seoulit.sen.hs.kr</t>
  </si>
  <si>
    <r>
      <rPr>
        <sz val="10"/>
        <rFont val="Noto Sans CJK SC"/>
        <family val="2"/>
      </rPr>
      <t xml:space="preserve">서울특별시 노원구 섬밭로 </t>
    </r>
    <r>
      <rPr>
        <sz val="10"/>
        <rFont val="맑은 고딕"/>
        <family val="0"/>
        <charset val="1"/>
      </rPr>
      <t xml:space="preserve">299</t>
    </r>
  </si>
  <si>
    <t xml:space="preserve">염광고등학교</t>
  </si>
  <si>
    <t xml:space="preserve">02-905-4221</t>
  </si>
  <si>
    <t xml:space="preserve">http://yumkwang.sen.hs.kr</t>
  </si>
  <si>
    <r>
      <rPr>
        <sz val="10"/>
        <rFont val="Noto Sans CJK SC"/>
        <family val="2"/>
      </rPr>
      <t xml:space="preserve">서울특별시 노원구 월계로</t>
    </r>
    <r>
      <rPr>
        <sz val="10"/>
        <rFont val="맑은 고딕"/>
        <family val="0"/>
        <charset val="1"/>
      </rPr>
      <t xml:space="preserve">45</t>
    </r>
    <r>
      <rPr>
        <sz val="10"/>
        <rFont val="Noto Sans CJK SC"/>
        <family val="2"/>
      </rPr>
      <t xml:space="preserve">가길 </t>
    </r>
    <r>
      <rPr>
        <sz val="10"/>
        <rFont val="맑은 고딕"/>
        <family val="0"/>
        <charset val="1"/>
      </rPr>
      <t xml:space="preserve">9</t>
    </r>
  </si>
  <si>
    <t xml:space="preserve">재현고등학교</t>
  </si>
  <si>
    <t xml:space="preserve">02-932-4812</t>
  </si>
  <si>
    <t xml:space="preserve">http://jaehyun.sen.hs.kr</t>
  </si>
  <si>
    <t xml:space="preserve">청원고등학교</t>
  </si>
  <si>
    <t xml:space="preserve">02-3399-7771</t>
  </si>
  <si>
    <t xml:space="preserve">http://cheongwon.sen.hs.kr</t>
  </si>
  <si>
    <t xml:space="preserve">한국삼육고등학교</t>
  </si>
  <si>
    <t xml:space="preserve">02-6395-3636</t>
  </si>
  <si>
    <t xml:space="preserve">http://sahmyook.sen.hs.kr</t>
  </si>
  <si>
    <r>
      <rPr>
        <sz val="10"/>
        <rFont val="Noto Sans CJK SC"/>
        <family val="2"/>
      </rPr>
      <t xml:space="preserve">서울특별시 노원구 화랑로 </t>
    </r>
    <r>
      <rPr>
        <sz val="10"/>
        <rFont val="맑은 고딕"/>
        <family val="0"/>
        <charset val="1"/>
      </rPr>
      <t xml:space="preserve">815</t>
    </r>
  </si>
  <si>
    <t xml:space="preserve">대광고등학교</t>
  </si>
  <si>
    <t xml:space="preserve">02-940-2200</t>
  </si>
  <si>
    <t xml:space="preserve">http://www.dgh.hs.kr</t>
  </si>
  <si>
    <r>
      <rPr>
        <sz val="10"/>
        <rFont val="Noto Sans CJK SC"/>
        <family val="2"/>
      </rPr>
      <t xml:space="preserve">서울특별시 동대문구 안암로 </t>
    </r>
    <r>
      <rPr>
        <sz val="10"/>
        <rFont val="맑은 고딕"/>
        <family val="0"/>
        <charset val="1"/>
      </rPr>
      <t xml:space="preserve">6</t>
    </r>
  </si>
  <si>
    <t xml:space="preserve">해성국제컨벤션고등학교</t>
  </si>
  <si>
    <t xml:space="preserve">070-8786-1300</t>
  </si>
  <si>
    <t xml:space="preserve">http://haesung.sen.hs.kr</t>
  </si>
  <si>
    <r>
      <rPr>
        <sz val="10"/>
        <rFont val="Noto Sans CJK SC"/>
        <family val="2"/>
      </rPr>
      <t xml:space="preserve">서울특별시 동대문구 전농로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31</t>
    </r>
  </si>
  <si>
    <t xml:space="preserve">경성고등학교</t>
  </si>
  <si>
    <t xml:space="preserve">02-3140-1168</t>
  </si>
  <si>
    <t xml:space="preserve">http://gyeongseong.sen.hs.kr</t>
  </si>
  <si>
    <r>
      <rPr>
        <sz val="10"/>
        <rFont val="Noto Sans CJK SC"/>
        <family val="2"/>
      </rPr>
      <t xml:space="preserve">서울특별시 마포구 성미산로 </t>
    </r>
    <r>
      <rPr>
        <sz val="10"/>
        <rFont val="맑은 고딕"/>
        <family val="0"/>
        <charset val="1"/>
      </rPr>
      <t xml:space="preserve">111</t>
    </r>
  </si>
  <si>
    <t xml:space="preserve">한성과학고등학교</t>
  </si>
  <si>
    <t xml:space="preserve">02-6917-0000</t>
  </si>
  <si>
    <t xml:space="preserve">http://hansungsh.sen.hs.kr</t>
  </si>
  <si>
    <r>
      <rPr>
        <sz val="10"/>
        <rFont val="Noto Sans CJK SC"/>
        <family val="2"/>
      </rPr>
      <t xml:space="preserve">서울특별시 서대문구 통일로 </t>
    </r>
    <r>
      <rPr>
        <sz val="10"/>
        <rFont val="맑은 고딕"/>
        <family val="0"/>
        <charset val="1"/>
      </rPr>
      <t xml:space="preserve">279-79</t>
    </r>
  </si>
  <si>
    <t xml:space="preserve">서초고등학교</t>
  </si>
  <si>
    <t xml:space="preserve">02-584-4234</t>
  </si>
  <si>
    <t xml:space="preserve">http://seocho.sen.hs.kr</t>
  </si>
  <si>
    <r>
      <rPr>
        <sz val="10"/>
        <rFont val="Noto Sans CJK SC"/>
        <family val="2"/>
      </rPr>
      <t xml:space="preserve">서울특별시 서초구 반포대로</t>
    </r>
    <r>
      <rPr>
        <sz val="10"/>
        <rFont val="맑은 고딕"/>
        <family val="0"/>
        <charset val="1"/>
      </rPr>
      <t xml:space="preserve">27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29</t>
    </r>
  </si>
  <si>
    <t xml:space="preserve">양재고등학교</t>
  </si>
  <si>
    <t xml:space="preserve">02-571-4457</t>
  </si>
  <si>
    <t xml:space="preserve">http://yangjae.sen.hs.kr</t>
  </si>
  <si>
    <r>
      <rPr>
        <sz val="10"/>
        <rFont val="Noto Sans CJK SC"/>
        <family val="2"/>
      </rPr>
      <t xml:space="preserve">서울특별시 서초구 남부순환로</t>
    </r>
    <r>
      <rPr>
        <sz val="10"/>
        <rFont val="맑은 고딕"/>
        <family val="0"/>
        <charset val="1"/>
      </rPr>
      <t xml:space="preserve">346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9</t>
    </r>
  </si>
  <si>
    <t xml:space="preserve">고명외식고등학교</t>
  </si>
  <si>
    <t xml:space="preserve">02-928-8366</t>
  </si>
  <si>
    <t xml:space="preserve">http://komyung.sen.hs.kr</t>
  </si>
  <si>
    <t xml:space="preserve">성신여자고등학교</t>
  </si>
  <si>
    <t xml:space="preserve">02-6930-9100</t>
  </si>
  <si>
    <t xml:space="preserve">http://sungshin.sen.hs.kr</t>
  </si>
  <si>
    <r>
      <rPr>
        <sz val="10"/>
        <rFont val="Noto Sans CJK SC"/>
        <family val="2"/>
      </rPr>
      <t xml:space="preserve">서울특별시 성북구 동소문로</t>
    </r>
    <r>
      <rPr>
        <sz val="10"/>
        <rFont val="맑은 고딕"/>
        <family val="0"/>
        <charset val="1"/>
      </rPr>
      <t xml:space="preserve">26</t>
    </r>
    <r>
      <rPr>
        <sz val="10"/>
        <rFont val="Noto Sans CJK SC"/>
        <family val="2"/>
      </rPr>
      <t xml:space="preserve">가길 </t>
    </r>
    <r>
      <rPr>
        <sz val="10"/>
        <rFont val="맑은 고딕"/>
        <family val="0"/>
        <charset val="1"/>
      </rPr>
      <t xml:space="preserve">80</t>
    </r>
  </si>
  <si>
    <t xml:space="preserve">한성여자고등학교</t>
  </si>
  <si>
    <t xml:space="preserve">02-742-2845</t>
  </si>
  <si>
    <t xml:space="preserve">http://hansung-g.sen.hs.kr</t>
  </si>
  <si>
    <r>
      <rPr>
        <sz val="10"/>
        <rFont val="Noto Sans CJK SC"/>
        <family val="2"/>
      </rPr>
      <t xml:space="preserve">서울특별시 성북구 삼선교로</t>
    </r>
    <r>
      <rPr>
        <sz val="10"/>
        <rFont val="맑은 고딕"/>
        <family val="0"/>
        <charset val="1"/>
      </rPr>
      <t xml:space="preserve">16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117</t>
    </r>
  </si>
  <si>
    <t xml:space="preserve">서울인공지능고등학교</t>
  </si>
  <si>
    <t xml:space="preserve">02-6711-0508</t>
  </si>
  <si>
    <t xml:space="preserve">http://seoulai.sen.hs.kr</t>
  </si>
  <si>
    <r>
      <rPr>
        <sz val="10"/>
        <rFont val="Noto Sans CJK SC"/>
        <family val="2"/>
      </rPr>
      <t xml:space="preserve">서울특별시 송파구 양산로 </t>
    </r>
    <r>
      <rPr>
        <sz val="10"/>
        <rFont val="맑은 고딕"/>
        <family val="0"/>
        <charset val="1"/>
      </rPr>
      <t xml:space="preserve">21</t>
    </r>
  </si>
  <si>
    <t xml:space="preserve">정신여자고등학교</t>
  </si>
  <si>
    <t xml:space="preserve">02-423-4013</t>
  </si>
  <si>
    <t xml:space="preserve">http://chungshin.sen.hs.kr</t>
  </si>
  <si>
    <r>
      <rPr>
        <sz val="10"/>
        <rFont val="Noto Sans CJK SC"/>
        <family val="2"/>
      </rPr>
      <t xml:space="preserve">서울특별시 송파구 올림픽로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16</t>
    </r>
  </si>
  <si>
    <t xml:space="preserve">서울금융고등학교</t>
  </si>
  <si>
    <t xml:space="preserve">02-2694-3710</t>
  </si>
  <si>
    <t xml:space="preserve">http://seoulfc.sen.hs.kr</t>
  </si>
  <si>
    <r>
      <rPr>
        <sz val="10"/>
        <rFont val="Noto Sans CJK SC"/>
        <family val="2"/>
      </rPr>
      <t xml:space="preserve">서울특별시 양천구 가로공원로</t>
    </r>
    <r>
      <rPr>
        <sz val="10"/>
        <rFont val="맑은 고딕"/>
        <family val="0"/>
        <charset val="1"/>
      </rPr>
      <t xml:space="preserve">61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19</t>
    </r>
  </si>
  <si>
    <t xml:space="preserve">진명여자고등학교</t>
  </si>
  <si>
    <t xml:space="preserve">02-2643-1711</t>
  </si>
  <si>
    <t xml:space="preserve">http://jm.sen.hs.kr</t>
  </si>
  <si>
    <r>
      <rPr>
        <sz val="10"/>
        <rFont val="Noto Sans CJK SC"/>
        <family val="2"/>
      </rPr>
      <t xml:space="preserve">서울특별시 양천구 목동로 </t>
    </r>
    <r>
      <rPr>
        <sz val="10"/>
        <rFont val="맑은 고딕"/>
        <family val="0"/>
        <charset val="1"/>
      </rPr>
      <t xml:space="preserve">170</t>
    </r>
  </si>
  <si>
    <t xml:space="preserve">선린인터넷고등학교</t>
  </si>
  <si>
    <t xml:space="preserve">02-713-6211</t>
  </si>
  <si>
    <t xml:space="preserve">http://sunrint.sen.hs.kr</t>
  </si>
  <si>
    <r>
      <rPr>
        <sz val="10"/>
        <rFont val="Noto Sans CJK SC"/>
        <family val="2"/>
      </rPr>
      <t xml:space="preserve">서울특별시 용산구 원효로</t>
    </r>
    <r>
      <rPr>
        <sz val="10"/>
        <rFont val="맑은 고딕"/>
        <family val="0"/>
        <charset val="1"/>
      </rPr>
      <t xml:space="preserve">97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33-4</t>
    </r>
  </si>
  <si>
    <t xml:space="preserve">성심여자고등학교</t>
  </si>
  <si>
    <t xml:space="preserve">02-702-5501</t>
  </si>
  <si>
    <t xml:space="preserve">http://sacredheart.sen.hs.kr</t>
  </si>
  <si>
    <r>
      <rPr>
        <sz val="10"/>
        <rFont val="Noto Sans CJK SC"/>
        <family val="2"/>
      </rPr>
      <t xml:space="preserve">서울특별시 용산구 원효로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49</t>
    </r>
  </si>
  <si>
    <t xml:space="preserve">중경고등학교</t>
  </si>
  <si>
    <t xml:space="preserve">02-793-2540</t>
  </si>
  <si>
    <t xml:space="preserve">http://jungkyung.sen.hs.kr</t>
  </si>
  <si>
    <r>
      <rPr>
        <sz val="10"/>
        <rFont val="Noto Sans CJK SC"/>
        <family val="2"/>
      </rPr>
      <t xml:space="preserve">서울특별시 용산구 이촌로</t>
    </r>
    <r>
      <rPr>
        <sz val="10"/>
        <rFont val="맑은 고딕"/>
        <family val="0"/>
        <charset val="1"/>
      </rPr>
      <t xml:space="preserve">84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34</t>
    </r>
  </si>
  <si>
    <t xml:space="preserve">선일빅데이터고등학교</t>
  </si>
  <si>
    <t xml:space="preserve">02-355-5648</t>
  </si>
  <si>
    <t xml:space="preserve">http://bigdata.sen.hs.kr</t>
  </si>
  <si>
    <r>
      <rPr>
        <sz val="10"/>
        <rFont val="Noto Sans CJK SC"/>
        <family val="2"/>
      </rPr>
      <t xml:space="preserve">서울특별시 은평구 갈현로</t>
    </r>
    <r>
      <rPr>
        <sz val="10"/>
        <rFont val="맑은 고딕"/>
        <family val="0"/>
        <charset val="1"/>
      </rPr>
      <t xml:space="preserve">29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27</t>
    </r>
  </si>
  <si>
    <t xml:space="preserve">숭실고등학교</t>
  </si>
  <si>
    <t xml:space="preserve">02-373-5910</t>
  </si>
  <si>
    <t xml:space="preserve">http://soongsil.sen.hs.kr</t>
  </si>
  <si>
    <r>
      <rPr>
        <sz val="10"/>
        <rFont val="Noto Sans CJK SC"/>
        <family val="2"/>
      </rPr>
      <t xml:space="preserve">서울특별시 은평구 은평터널로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</t>
    </r>
  </si>
  <si>
    <t xml:space="preserve">신도고등학교</t>
  </si>
  <si>
    <t xml:space="preserve">02-3157-0021</t>
  </si>
  <si>
    <t xml:space="preserve">http://sindo.sen.hs.kr</t>
  </si>
  <si>
    <r>
      <rPr>
        <sz val="10"/>
        <rFont val="Noto Sans CJK SC"/>
        <family val="2"/>
      </rPr>
      <t xml:space="preserve">서울특별시 은평구 통일로 </t>
    </r>
    <r>
      <rPr>
        <sz val="10"/>
        <rFont val="맑은 고딕"/>
        <family val="0"/>
        <charset val="1"/>
      </rPr>
      <t xml:space="preserve">961</t>
    </r>
  </si>
  <si>
    <t xml:space="preserve">성동글로벌경영고등학교</t>
  </si>
  <si>
    <t xml:space="preserve">02-2252-1932</t>
  </si>
  <si>
    <t xml:space="preserve">http://sdglobal.sen.hs.kr</t>
  </si>
  <si>
    <r>
      <rPr>
        <sz val="10"/>
        <rFont val="Noto Sans CJK SC"/>
        <family val="2"/>
      </rPr>
      <t xml:space="preserve">서울특별시 중구 퇴계로 </t>
    </r>
    <r>
      <rPr>
        <sz val="10"/>
        <rFont val="맑은 고딕"/>
        <family val="0"/>
        <charset val="1"/>
      </rPr>
      <t xml:space="preserve">375</t>
    </r>
  </si>
  <si>
    <t xml:space="preserve">장충고등학교</t>
  </si>
  <si>
    <t xml:space="preserve">070-8686-7145</t>
  </si>
  <si>
    <t xml:space="preserve">http://jangchung.sen.hs.kr</t>
  </si>
  <si>
    <r>
      <rPr>
        <sz val="10"/>
        <rFont val="Noto Sans CJK SC"/>
        <family val="2"/>
      </rPr>
      <t xml:space="preserve">서울특별시 중구 동호로</t>
    </r>
    <r>
      <rPr>
        <sz val="10"/>
        <rFont val="맑은 고딕"/>
        <family val="0"/>
        <charset val="1"/>
      </rPr>
      <t xml:space="preserve">15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93</t>
    </r>
  </si>
  <si>
    <t xml:space="preserve">중화고등학교</t>
  </si>
  <si>
    <t xml:space="preserve">02-491-6807</t>
  </si>
  <si>
    <t xml:space="preserve">http://jung-hwa.sen.hs.kr</t>
  </si>
  <si>
    <r>
      <rPr>
        <sz val="10"/>
        <rFont val="Noto Sans CJK SC"/>
        <family val="2"/>
      </rPr>
      <t xml:space="preserve">서울특별시 중랑구 봉화산로</t>
    </r>
    <r>
      <rPr>
        <sz val="10"/>
        <rFont val="맑은 고딕"/>
        <family val="0"/>
        <charset val="1"/>
      </rPr>
      <t xml:space="preserve">27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62</t>
    </r>
  </si>
  <si>
    <t xml:space="preserve">서울교육대학교부설초등학교</t>
  </si>
  <si>
    <t xml:space="preserve">02-6009-6000</t>
  </si>
  <si>
    <t xml:space="preserve">http://snueps.sen.es.kr</t>
  </si>
  <si>
    <r>
      <rPr>
        <sz val="10"/>
        <rFont val="Noto Sans CJK SC"/>
        <family val="2"/>
      </rPr>
      <t xml:space="preserve">서울특별시 서초구 서초중앙로 </t>
    </r>
    <r>
      <rPr>
        <sz val="10"/>
        <rFont val="맑은 고딕"/>
        <family val="0"/>
        <charset val="1"/>
      </rPr>
      <t xml:space="preserve">96</t>
    </r>
  </si>
  <si>
    <t xml:space="preserve">서울개봉초등학교</t>
  </si>
  <si>
    <t xml:space="preserve">02-2612-6058</t>
  </si>
  <si>
    <t xml:space="preserve">http://gaebong.sen.es.kr</t>
  </si>
  <si>
    <r>
      <rPr>
        <sz val="10"/>
        <rFont val="Noto Sans CJK SC"/>
        <family val="2"/>
      </rPr>
      <t xml:space="preserve">서울특별시 구로구 개봉로</t>
    </r>
    <r>
      <rPr>
        <sz val="10"/>
        <rFont val="맑은 고딕"/>
        <family val="0"/>
        <charset val="1"/>
      </rPr>
      <t xml:space="preserve">16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30-11</t>
    </r>
  </si>
  <si>
    <t xml:space="preserve">서울구로초등학교</t>
  </si>
  <si>
    <t xml:space="preserve">02-861-1941</t>
  </si>
  <si>
    <t xml:space="preserve">http://guro.sen.es.kr</t>
  </si>
  <si>
    <r>
      <rPr>
        <sz val="10"/>
        <rFont val="Noto Sans CJK SC"/>
        <family val="2"/>
      </rPr>
      <t xml:space="preserve">서울특별시 구로구 구로중앙로</t>
    </r>
    <r>
      <rPr>
        <sz val="10"/>
        <rFont val="맑은 고딕"/>
        <family val="0"/>
        <charset val="1"/>
      </rPr>
      <t xml:space="preserve">27</t>
    </r>
    <r>
      <rPr>
        <sz val="10"/>
        <rFont val="Noto Sans CJK SC"/>
        <family val="2"/>
      </rPr>
      <t xml:space="preserve">나길 </t>
    </r>
    <r>
      <rPr>
        <sz val="10"/>
        <rFont val="맑은 고딕"/>
        <family val="0"/>
        <charset val="1"/>
      </rPr>
      <t xml:space="preserve">9</t>
    </r>
  </si>
  <si>
    <t xml:space="preserve">서울덕의초등학교</t>
  </si>
  <si>
    <t xml:space="preserve">02-2685-0928</t>
  </si>
  <si>
    <t xml:space="preserve">http://dukeui.sen.es.kr</t>
  </si>
  <si>
    <r>
      <rPr>
        <sz val="10"/>
        <rFont val="Noto Sans CJK SC"/>
        <family val="2"/>
      </rPr>
      <t xml:space="preserve">서울특별시 구로구 고척로 </t>
    </r>
    <r>
      <rPr>
        <sz val="10"/>
        <rFont val="맑은 고딕"/>
        <family val="0"/>
        <charset val="1"/>
      </rPr>
      <t xml:space="preserve">213</t>
    </r>
  </si>
  <si>
    <t xml:space="preserve">서울동구로초등학교</t>
  </si>
  <si>
    <t xml:space="preserve">02-853-2407</t>
  </si>
  <si>
    <t xml:space="preserve">http://dongguro.sen.es.kr</t>
  </si>
  <si>
    <r>
      <rPr>
        <sz val="10"/>
        <rFont val="Noto Sans CJK SC"/>
        <family val="2"/>
      </rPr>
      <t xml:space="preserve">서울특별시 구로구 구로중앙로</t>
    </r>
    <r>
      <rPr>
        <sz val="10"/>
        <rFont val="맑은 고딕"/>
        <family val="0"/>
        <charset val="1"/>
      </rPr>
      <t xml:space="preserve">14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43</t>
    </r>
  </si>
  <si>
    <t xml:space="preserve">영서중학교</t>
  </si>
  <si>
    <t xml:space="preserve">02-856-9567</t>
  </si>
  <si>
    <t xml:space="preserve">http://yeongseo.sen.ms.kr</t>
  </si>
  <si>
    <r>
      <rPr>
        <sz val="10"/>
        <rFont val="Noto Sans CJK SC"/>
        <family val="2"/>
      </rPr>
      <t xml:space="preserve">서울특별시 구로구 도림로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35</t>
    </r>
  </si>
  <si>
    <t xml:space="preserve">오류중학교</t>
  </si>
  <si>
    <t xml:space="preserve">02-2612-2602</t>
  </si>
  <si>
    <t xml:space="preserve">http://oryu.sen.ms.kr</t>
  </si>
  <si>
    <r>
      <rPr>
        <sz val="10"/>
        <rFont val="Noto Sans CJK SC"/>
        <family val="2"/>
      </rPr>
      <t xml:space="preserve">서울특별시 구로구 고척로</t>
    </r>
    <r>
      <rPr>
        <sz val="10"/>
        <rFont val="맑은 고딕"/>
        <family val="0"/>
        <charset val="1"/>
      </rPr>
      <t xml:space="preserve">27</t>
    </r>
    <r>
      <rPr>
        <sz val="10"/>
        <rFont val="Noto Sans CJK SC"/>
        <family val="2"/>
      </rPr>
      <t xml:space="preserve">바길 </t>
    </r>
    <r>
      <rPr>
        <sz val="10"/>
        <rFont val="맑은 고딕"/>
        <family val="0"/>
        <charset val="1"/>
      </rPr>
      <t xml:space="preserve">19</t>
    </r>
  </si>
  <si>
    <t xml:space="preserve">동광초등학교</t>
  </si>
  <si>
    <t xml:space="preserve">02-891-0151</t>
  </si>
  <si>
    <t xml:space="preserve">http://donggwang.sen.es.kr</t>
  </si>
  <si>
    <t xml:space="preserve">서울가산초등학교</t>
  </si>
  <si>
    <t xml:space="preserve">02-864-3206</t>
  </si>
  <si>
    <t xml:space="preserve">http://gasan.sen.es.kr</t>
  </si>
  <si>
    <r>
      <rPr>
        <sz val="10"/>
        <rFont val="Noto Sans CJK SC"/>
        <family val="2"/>
      </rPr>
      <t xml:space="preserve">서울특별시 금천구 남부순환로 </t>
    </r>
    <r>
      <rPr>
        <sz val="10"/>
        <rFont val="맑은 고딕"/>
        <family val="0"/>
        <charset val="1"/>
      </rPr>
      <t xml:space="preserve">1304-11</t>
    </r>
  </si>
  <si>
    <t xml:space="preserve">서울안천초등학교</t>
  </si>
  <si>
    <t xml:space="preserve">02-894-0858</t>
  </si>
  <si>
    <t xml:space="preserve">http://ancheon.sen.es.kr</t>
  </si>
  <si>
    <r>
      <rPr>
        <sz val="10"/>
        <rFont val="Noto Sans CJK SC"/>
        <family val="2"/>
      </rPr>
      <t xml:space="preserve">서울특별시 금천구 한내로 </t>
    </r>
    <r>
      <rPr>
        <sz val="10"/>
        <rFont val="맑은 고딕"/>
        <family val="0"/>
        <charset val="1"/>
      </rPr>
      <t xml:space="preserve">69-16</t>
    </r>
  </si>
  <si>
    <t xml:space="preserve">서울윤중초등학교</t>
  </si>
  <si>
    <t xml:space="preserve">02-782-2042</t>
  </si>
  <si>
    <t xml:space="preserve">http://yunjung.sen.es.kr</t>
  </si>
  <si>
    <r>
      <rPr>
        <sz val="10"/>
        <rFont val="Noto Sans CJK SC"/>
        <family val="2"/>
      </rPr>
      <t xml:space="preserve">서울특별시 영등포구 여의나루로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14</t>
    </r>
  </si>
  <si>
    <t xml:space="preserve">서울답십리초등학교</t>
  </si>
  <si>
    <t xml:space="preserve">02-2242-9256</t>
  </si>
  <si>
    <t xml:space="preserve">http://dapsimni.sen.es.kr</t>
  </si>
  <si>
    <r>
      <rPr>
        <sz val="10"/>
        <rFont val="Noto Sans CJK SC"/>
        <family val="2"/>
      </rPr>
      <t xml:space="preserve">서울특별시 동대문구 전농로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23</t>
    </r>
  </si>
  <si>
    <t xml:space="preserve">서울신답초등학교</t>
  </si>
  <si>
    <t xml:space="preserve">02-2212-1485</t>
  </si>
  <si>
    <t xml:space="preserve">http://shindap.sen.es.kr</t>
  </si>
  <si>
    <r>
      <rPr>
        <sz val="10"/>
        <rFont val="Noto Sans CJK SC"/>
        <family val="2"/>
      </rPr>
      <t xml:space="preserve">서울특별시 동대문구 천호대로 </t>
    </r>
    <r>
      <rPr>
        <sz val="10"/>
        <rFont val="맑은 고딕"/>
        <family val="0"/>
        <charset val="1"/>
      </rPr>
      <t xml:space="preserve">177</t>
    </r>
  </si>
  <si>
    <t xml:space="preserve">서울안평초등학교</t>
  </si>
  <si>
    <t xml:space="preserve">02-2214-0258</t>
  </si>
  <si>
    <t xml:space="preserve">http://anpyeong.sen.es.kr</t>
  </si>
  <si>
    <r>
      <rPr>
        <sz val="10"/>
        <rFont val="Noto Sans CJK SC"/>
        <family val="2"/>
      </rPr>
      <t xml:space="preserve">서울특별시 동대문구 장한로</t>
    </r>
    <r>
      <rPr>
        <sz val="10"/>
        <rFont val="맑은 고딕"/>
        <family val="0"/>
        <charset val="1"/>
      </rPr>
      <t xml:space="preserve">14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61</t>
    </r>
  </si>
  <si>
    <t xml:space="preserve">서울청량초등학교</t>
  </si>
  <si>
    <t xml:space="preserve">02-962-1341</t>
  </si>
  <si>
    <t xml:space="preserve">http://chongryang.sen.es.kr</t>
  </si>
  <si>
    <r>
      <rPr>
        <sz val="10"/>
        <rFont val="Noto Sans CJK SC"/>
        <family val="2"/>
      </rPr>
      <t xml:space="preserve">서울특별시 동대문구 회기로</t>
    </r>
    <r>
      <rPr>
        <sz val="10"/>
        <rFont val="맑은 고딕"/>
        <family val="0"/>
        <charset val="1"/>
      </rPr>
      <t xml:space="preserve">25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31</t>
    </r>
  </si>
  <si>
    <t xml:space="preserve">경희여자중학교</t>
  </si>
  <si>
    <t xml:space="preserve">02-6072-1888</t>
  </si>
  <si>
    <t xml:space="preserve">http://kyungheegls.sen.ms.kr</t>
  </si>
  <si>
    <t xml:space="preserve">동국대학교사범대학부속중학교</t>
  </si>
  <si>
    <t xml:space="preserve">02-6716-1700</t>
  </si>
  <si>
    <t xml:space="preserve">http://dongguk.sen.ms.kr</t>
  </si>
  <si>
    <t xml:space="preserve">휘경여자중학교</t>
  </si>
  <si>
    <t xml:space="preserve">02-2244-8927</t>
  </si>
  <si>
    <t xml:space="preserve">http://hwikyung.sen.ms.kr</t>
  </si>
  <si>
    <r>
      <rPr>
        <sz val="10"/>
        <rFont val="Noto Sans CJK SC"/>
        <family val="2"/>
      </rPr>
      <t xml:space="preserve">서울특별시 동대문구 한천로 </t>
    </r>
    <r>
      <rPr>
        <sz val="10"/>
        <rFont val="맑은 고딕"/>
        <family val="0"/>
        <charset val="1"/>
      </rPr>
      <t xml:space="preserve">247</t>
    </r>
  </si>
  <si>
    <t xml:space="preserve">영란여자중학교</t>
  </si>
  <si>
    <t xml:space="preserve">02-2209-0143</t>
  </si>
  <si>
    <t xml:space="preserve">http://youngran.sen.ms.kr</t>
  </si>
  <si>
    <r>
      <rPr>
        <sz val="10"/>
        <rFont val="Noto Sans CJK SC"/>
        <family val="2"/>
      </rPr>
      <t xml:space="preserve">서울특별시 중랑구 망우로</t>
    </r>
    <r>
      <rPr>
        <sz val="10"/>
        <rFont val="맑은 고딕"/>
        <family val="0"/>
        <charset val="1"/>
      </rPr>
      <t xml:space="preserve">73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56</t>
    </r>
  </si>
  <si>
    <t xml:space="preserve">원묵중학교</t>
  </si>
  <si>
    <t xml:space="preserve">02-2094-9800</t>
  </si>
  <si>
    <t xml:space="preserve">http://wonmook.sen.ms.kr</t>
  </si>
  <si>
    <r>
      <rPr>
        <sz val="10"/>
        <rFont val="Noto Sans CJK SC"/>
        <family val="2"/>
      </rPr>
      <t xml:space="preserve">서울특별시 중랑구 신내로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57</t>
    </r>
  </si>
  <si>
    <t xml:space="preserve">서울구암초등학교</t>
  </si>
  <si>
    <t xml:space="preserve">02-871-6041</t>
  </si>
  <si>
    <t xml:space="preserve">http://seoulguam.sen.es.kr</t>
  </si>
  <si>
    <r>
      <rPr>
        <sz val="10"/>
        <rFont val="Noto Sans CJK SC"/>
        <family val="2"/>
      </rPr>
      <t xml:space="preserve">서울특별시 관악구 구암길 </t>
    </r>
    <r>
      <rPr>
        <sz val="10"/>
        <rFont val="맑은 고딕"/>
        <family val="0"/>
        <charset val="1"/>
      </rPr>
      <t xml:space="preserve">1</t>
    </r>
  </si>
  <si>
    <t xml:space="preserve">서울봉현초등학교</t>
  </si>
  <si>
    <t xml:space="preserve">02-885-1985</t>
  </si>
  <si>
    <t xml:space="preserve">http://bonghyun.sen.es.kr</t>
  </si>
  <si>
    <r>
      <rPr>
        <sz val="10"/>
        <rFont val="Noto Sans CJK SC"/>
        <family val="2"/>
      </rPr>
      <t xml:space="preserve">서울특별시 관악구 성현로 </t>
    </r>
    <r>
      <rPr>
        <sz val="10"/>
        <rFont val="맑은 고딕"/>
        <family val="0"/>
        <charset val="1"/>
      </rPr>
      <t xml:space="preserve">117</t>
    </r>
  </si>
  <si>
    <t xml:space="preserve">구암중학교</t>
  </si>
  <si>
    <t xml:space="preserve">02-881-2900</t>
  </si>
  <si>
    <t xml:space="preserve">http://guahm.sen.ms.kr</t>
  </si>
  <si>
    <r>
      <rPr>
        <sz val="10"/>
        <rFont val="Noto Sans CJK SC"/>
        <family val="2"/>
      </rPr>
      <t xml:space="preserve">서울특별시 관악구 성현로 </t>
    </r>
    <r>
      <rPr>
        <sz val="10"/>
        <rFont val="맑은 고딕"/>
        <family val="0"/>
        <charset val="1"/>
      </rPr>
      <t xml:space="preserve">53</t>
    </r>
  </si>
  <si>
    <t xml:space="preserve">봉원중학교</t>
  </si>
  <si>
    <t xml:space="preserve">02-879-1543</t>
  </si>
  <si>
    <t xml:space="preserve">http://bongwon.sen.ms.kr</t>
  </si>
  <si>
    <r>
      <rPr>
        <sz val="10"/>
        <rFont val="Noto Sans CJK SC"/>
        <family val="2"/>
      </rPr>
      <t xml:space="preserve">서울특별시 관악구 관악로</t>
    </r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가길 </t>
    </r>
    <r>
      <rPr>
        <sz val="10"/>
        <rFont val="맑은 고딕"/>
        <family val="0"/>
        <charset val="1"/>
      </rPr>
      <t xml:space="preserve">15</t>
    </r>
  </si>
  <si>
    <t xml:space="preserve">서울대림초등학교</t>
  </si>
  <si>
    <t xml:space="preserve">02-822-1984</t>
  </si>
  <si>
    <t xml:space="preserve">http://seouldaelim.sen.es.kr</t>
  </si>
  <si>
    <r>
      <rPr>
        <sz val="10"/>
        <rFont val="Noto Sans CJK SC"/>
        <family val="2"/>
      </rPr>
      <t xml:space="preserve">서울특별시 동작구 대방동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22</t>
    </r>
  </si>
  <si>
    <t xml:space="preserve">서울삼일초등학교</t>
  </si>
  <si>
    <t xml:space="preserve">02-3477-9473</t>
  </si>
  <si>
    <t xml:space="preserve">http://samil.sen.es.kr</t>
  </si>
  <si>
    <r>
      <rPr>
        <sz val="10"/>
        <rFont val="Noto Sans CJK SC"/>
        <family val="2"/>
      </rPr>
      <t xml:space="preserve">서울특별시 동작구 사당로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나길 </t>
    </r>
    <r>
      <rPr>
        <sz val="10"/>
        <rFont val="맑은 고딕"/>
        <family val="0"/>
        <charset val="1"/>
      </rPr>
      <t xml:space="preserve">27</t>
    </r>
  </si>
  <si>
    <t xml:space="preserve">서울신상도초등학교</t>
  </si>
  <si>
    <t xml:space="preserve">02-822-6953</t>
  </si>
  <si>
    <t xml:space="preserve">http://shinsangdo.sen.es.kr</t>
  </si>
  <si>
    <r>
      <rPr>
        <sz val="10"/>
        <rFont val="Noto Sans CJK SC"/>
        <family val="2"/>
      </rPr>
      <t xml:space="preserve">서울특별시 동작구 장승배기로 </t>
    </r>
    <r>
      <rPr>
        <sz val="10"/>
        <rFont val="맑은 고딕"/>
        <family val="0"/>
        <charset val="1"/>
      </rPr>
      <t xml:space="preserve">14</t>
    </r>
  </si>
  <si>
    <t xml:space="preserve">서울영본초등학교</t>
  </si>
  <si>
    <t xml:space="preserve">02-815-4371</t>
  </si>
  <si>
    <t xml:space="preserve">http://yeongbon.sen.es.kr</t>
  </si>
  <si>
    <r>
      <rPr>
        <sz val="10"/>
        <rFont val="Noto Sans CJK SC"/>
        <family val="2"/>
      </rPr>
      <t xml:space="preserve">서울특별시 동작구 만양로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가길 </t>
    </r>
    <r>
      <rPr>
        <sz val="10"/>
        <rFont val="맑은 고딕"/>
        <family val="0"/>
        <charset val="1"/>
      </rPr>
      <t xml:space="preserve">69</t>
    </r>
  </si>
  <si>
    <t xml:space="preserve">서울영화초등학교</t>
  </si>
  <si>
    <t xml:space="preserve">02-824-6051</t>
  </si>
  <si>
    <t xml:space="preserve">http://younghwa.sen.es.kr</t>
  </si>
  <si>
    <r>
      <rPr>
        <sz val="10"/>
        <rFont val="Noto Sans CJK SC"/>
        <family val="2"/>
      </rPr>
      <t xml:space="preserve">서울특별시 동작구 등용로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</t>
    </r>
  </si>
  <si>
    <t xml:space="preserve">중앙대학교사범대학부속초등학교</t>
  </si>
  <si>
    <t xml:space="preserve">02-815-0145</t>
  </si>
  <si>
    <t xml:space="preserve">http://cau.sen.es.kr</t>
  </si>
  <si>
    <r>
      <rPr>
        <sz val="10"/>
        <rFont val="Noto Sans CJK SC"/>
        <family val="2"/>
      </rPr>
      <t xml:space="preserve">서울특별시 동작구 서달로 </t>
    </r>
    <r>
      <rPr>
        <sz val="10"/>
        <rFont val="맑은 고딕"/>
        <family val="0"/>
        <charset val="1"/>
      </rPr>
      <t xml:space="preserve">135</t>
    </r>
  </si>
  <si>
    <t xml:space="preserve">성남중학교</t>
  </si>
  <si>
    <t xml:space="preserve">02-815-1332</t>
  </si>
  <si>
    <t xml:space="preserve">http://sungnam.sen.ms.kr</t>
  </si>
  <si>
    <t xml:space="preserve">상명초등학교</t>
  </si>
  <si>
    <t xml:space="preserve">02-3788-3300</t>
  </si>
  <si>
    <t xml:space="preserve">http://sangmyeong.net</t>
  </si>
  <si>
    <r>
      <rPr>
        <sz val="10"/>
        <rFont val="Noto Sans CJK SC"/>
        <family val="2"/>
      </rPr>
      <t xml:space="preserve">서울특별시 노원구 덕릉로 </t>
    </r>
    <r>
      <rPr>
        <sz val="10"/>
        <rFont val="맑은 고딕"/>
        <family val="0"/>
        <charset val="1"/>
      </rPr>
      <t xml:space="preserve">541</t>
    </r>
  </si>
  <si>
    <t xml:space="preserve">서울공연초등학교</t>
  </si>
  <si>
    <t xml:space="preserve">02-3399-2100</t>
  </si>
  <si>
    <t xml:space="preserve">http://gongyeon.sen.es.kr</t>
  </si>
  <si>
    <r>
      <rPr>
        <sz val="10"/>
        <rFont val="Noto Sans CJK SC"/>
        <family val="2"/>
      </rPr>
      <t xml:space="preserve">서울특별시 노원구 동일로</t>
    </r>
    <r>
      <rPr>
        <sz val="10"/>
        <rFont val="맑은 고딕"/>
        <family val="0"/>
        <charset val="1"/>
      </rPr>
      <t xml:space="preserve">192</t>
    </r>
    <r>
      <rPr>
        <sz val="10"/>
        <rFont val="Noto Sans CJK SC"/>
        <family val="2"/>
      </rPr>
      <t xml:space="preserve">가길 </t>
    </r>
    <r>
      <rPr>
        <sz val="10"/>
        <rFont val="맑은 고딕"/>
        <family val="0"/>
        <charset val="1"/>
      </rPr>
      <t xml:space="preserve">16</t>
    </r>
  </si>
  <si>
    <t xml:space="preserve">서울당현초등학교</t>
  </si>
  <si>
    <t xml:space="preserve">02-932-0605</t>
  </si>
  <si>
    <t xml:space="preserve">http://danghyeon.sen.es.kr</t>
  </si>
  <si>
    <r>
      <rPr>
        <sz val="10"/>
        <rFont val="Noto Sans CJK SC"/>
        <family val="2"/>
      </rPr>
      <t xml:space="preserve">서울특별시 노원구 동일로</t>
    </r>
    <r>
      <rPr>
        <sz val="10"/>
        <rFont val="맑은 고딕"/>
        <family val="0"/>
        <charset val="1"/>
      </rPr>
      <t xml:space="preserve">213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52</t>
    </r>
  </si>
  <si>
    <t xml:space="preserve">서울덕암초등학교</t>
  </si>
  <si>
    <t xml:space="preserve">02-3392-0058</t>
  </si>
  <si>
    <t xml:space="preserve">http://deokam.sen.es.kr</t>
  </si>
  <si>
    <r>
      <rPr>
        <sz val="10"/>
        <rFont val="Noto Sans CJK SC"/>
        <family val="2"/>
      </rPr>
      <t xml:space="preserve">서울특별시 노원구 덕릉로</t>
    </r>
    <r>
      <rPr>
        <sz val="10"/>
        <rFont val="맑은 고딕"/>
        <family val="0"/>
        <charset val="1"/>
      </rPr>
      <t xml:space="preserve">112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68</t>
    </r>
  </si>
  <si>
    <t xml:space="preserve">서울동일초등학교</t>
  </si>
  <si>
    <t xml:space="preserve">02-935-8225</t>
  </si>
  <si>
    <t xml:space="preserve">http://dongil.sen.es.kr</t>
  </si>
  <si>
    <r>
      <rPr>
        <sz val="10"/>
        <rFont val="Noto Sans CJK SC"/>
        <family val="2"/>
      </rPr>
      <t xml:space="preserve">서울특별시 노원구 한글비석로 </t>
    </r>
    <r>
      <rPr>
        <sz val="10"/>
        <rFont val="맑은 고딕"/>
        <family val="0"/>
        <charset val="1"/>
      </rPr>
      <t xml:space="preserve">566</t>
    </r>
  </si>
  <si>
    <t xml:space="preserve">서울신계초등학교</t>
  </si>
  <si>
    <t xml:space="preserve">02-902-0009</t>
  </si>
  <si>
    <t xml:space="preserve">http://singye.sen.es.kr</t>
  </si>
  <si>
    <r>
      <rPr>
        <sz val="10"/>
        <rFont val="Noto Sans CJK SC"/>
        <family val="2"/>
      </rPr>
      <t xml:space="preserve">서울특별시 노원구 초안산로 </t>
    </r>
    <r>
      <rPr>
        <sz val="10"/>
        <rFont val="맑은 고딕"/>
        <family val="0"/>
        <charset val="1"/>
      </rPr>
      <t xml:space="preserve">29</t>
    </r>
  </si>
  <si>
    <t xml:space="preserve">서울원광초등학교</t>
  </si>
  <si>
    <t xml:space="preserve">02-951-3358</t>
  </si>
  <si>
    <t xml:space="preserve">http://wonkwang.sen.es.kr</t>
  </si>
  <si>
    <r>
      <rPr>
        <sz val="10"/>
        <rFont val="Noto Sans CJK SC"/>
        <family val="2"/>
      </rPr>
      <t xml:space="preserve">서울특별시 노원구 덕릉로</t>
    </r>
    <r>
      <rPr>
        <sz val="10"/>
        <rFont val="맑은 고딕"/>
        <family val="0"/>
        <charset val="1"/>
      </rPr>
      <t xml:space="preserve">76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18</t>
    </r>
  </si>
  <si>
    <t xml:space="preserve">02-930-0761</t>
  </si>
  <si>
    <t xml:space="preserve">http://sangwon.sen.ms.kr</t>
  </si>
  <si>
    <r>
      <rPr>
        <sz val="10"/>
        <rFont val="Noto Sans CJK SC"/>
        <family val="2"/>
      </rPr>
      <t xml:space="preserve">서울특별시 노원구 수락산로 </t>
    </r>
    <r>
      <rPr>
        <sz val="10"/>
        <rFont val="맑은 고딕"/>
        <family val="0"/>
        <charset val="1"/>
      </rPr>
      <t xml:space="preserve">182</t>
    </r>
  </si>
  <si>
    <t xml:space="preserve">염광중학교</t>
  </si>
  <si>
    <t xml:space="preserve">02-906-1102</t>
  </si>
  <si>
    <t xml:space="preserve">http://yumkwang.sen.ms.kr</t>
  </si>
  <si>
    <t xml:space="preserve">중원중학교</t>
  </si>
  <si>
    <t xml:space="preserve">02-971-2788</t>
  </si>
  <si>
    <t xml:space="preserve">http://joongwon.sen.ms.kr</t>
  </si>
  <si>
    <r>
      <rPr>
        <sz val="10"/>
        <rFont val="Noto Sans CJK SC"/>
        <family val="2"/>
      </rPr>
      <t xml:space="preserve">서울특별시 노원구 공릉로 </t>
    </r>
    <r>
      <rPr>
        <sz val="10"/>
        <rFont val="맑은 고딕"/>
        <family val="0"/>
        <charset val="1"/>
      </rPr>
      <t xml:space="preserve">420</t>
    </r>
  </si>
  <si>
    <t xml:space="preserve">동북초등학교</t>
  </si>
  <si>
    <t xml:space="preserve">02-993-1233</t>
  </si>
  <si>
    <t xml:space="preserve">http://dongbuk.sen.es.kr</t>
  </si>
  <si>
    <t xml:space="preserve">서울백운초등학교</t>
  </si>
  <si>
    <t xml:space="preserve">02-993-5727</t>
  </si>
  <si>
    <t xml:space="preserve">http://s-baegun.sen.es.kr</t>
  </si>
  <si>
    <r>
      <rPr>
        <sz val="10"/>
        <rFont val="Noto Sans CJK SC"/>
        <family val="2"/>
      </rPr>
      <t xml:space="preserve">서울특별시 도봉구 삼양로</t>
    </r>
    <r>
      <rPr>
        <sz val="10"/>
        <rFont val="맑은 고딕"/>
        <family val="0"/>
        <charset val="1"/>
      </rPr>
      <t xml:space="preserve">146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17</t>
    </r>
  </si>
  <si>
    <t xml:space="preserve">서울숭미초등학교</t>
  </si>
  <si>
    <t xml:space="preserve">02-904-9552</t>
  </si>
  <si>
    <t xml:space="preserve">http://sungmi.sen.es.kr</t>
  </si>
  <si>
    <r>
      <rPr>
        <sz val="10"/>
        <rFont val="Noto Sans CJK SC"/>
        <family val="2"/>
      </rPr>
      <t xml:space="preserve">서울특별시 도봉구 노해로 </t>
    </r>
    <r>
      <rPr>
        <sz val="10"/>
        <rFont val="맑은 고딕"/>
        <family val="0"/>
        <charset val="1"/>
      </rPr>
      <t xml:space="preserve">179</t>
    </r>
  </si>
  <si>
    <t xml:space="preserve">서울창일초등학교</t>
  </si>
  <si>
    <t xml:space="preserve">02-996-9167</t>
  </si>
  <si>
    <t xml:space="preserve">http://changil.sen.es.kr</t>
  </si>
  <si>
    <r>
      <rPr>
        <sz val="10"/>
        <rFont val="Noto Sans CJK SC"/>
        <family val="2"/>
      </rPr>
      <t xml:space="preserve">서울특별시 도봉구 노해로</t>
    </r>
    <r>
      <rPr>
        <sz val="10"/>
        <rFont val="맑은 고딕"/>
        <family val="0"/>
        <charset val="1"/>
      </rPr>
      <t xml:space="preserve">66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84</t>
    </r>
  </si>
  <si>
    <t xml:space="preserve">서울초당초등학교</t>
  </si>
  <si>
    <t xml:space="preserve">02-956-1561</t>
  </si>
  <si>
    <t xml:space="preserve">http://chodang.sen.es.kr</t>
  </si>
  <si>
    <r>
      <rPr>
        <sz val="10"/>
        <rFont val="Noto Sans CJK SC"/>
        <family val="2"/>
      </rPr>
      <t xml:space="preserve">서울특별시 도봉구 해등로</t>
    </r>
    <r>
      <rPr>
        <sz val="10"/>
        <rFont val="맑은 고딕"/>
        <family val="0"/>
        <charset val="1"/>
      </rPr>
      <t xml:space="preserve">32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</t>
    </r>
  </si>
  <si>
    <t xml:space="preserve">창일중학교</t>
  </si>
  <si>
    <t xml:space="preserve">02-994-5934</t>
  </si>
  <si>
    <t xml:space="preserve">http://changil.sen.ms.kr</t>
  </si>
  <si>
    <r>
      <rPr>
        <sz val="10"/>
        <rFont val="Noto Sans CJK SC"/>
        <family val="2"/>
      </rPr>
      <t xml:space="preserve">서울특별시 도봉구 노해로</t>
    </r>
    <r>
      <rPr>
        <sz val="10"/>
        <rFont val="맑은 고딕"/>
        <family val="0"/>
        <charset val="1"/>
      </rPr>
      <t xml:space="preserve">66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60</t>
    </r>
  </si>
  <si>
    <t xml:space="preserve">서울서강초등학교</t>
  </si>
  <si>
    <t xml:space="preserve">02-334-2410</t>
  </si>
  <si>
    <t xml:space="preserve">http://seogang.sen.es.kr</t>
  </si>
  <si>
    <r>
      <rPr>
        <sz val="10"/>
        <rFont val="Noto Sans CJK SC"/>
        <family val="2"/>
      </rPr>
      <t xml:space="preserve">서울특별시 마포구 독막로 </t>
    </r>
    <r>
      <rPr>
        <sz val="10"/>
        <rFont val="맑은 고딕"/>
        <family val="0"/>
        <charset val="1"/>
      </rPr>
      <t xml:space="preserve">113</t>
    </r>
  </si>
  <si>
    <t xml:space="preserve">서울하늘초등학교</t>
  </si>
  <si>
    <t xml:space="preserve">02-305-7762</t>
  </si>
  <si>
    <t xml:space="preserve">http://sky.sen.es.kr</t>
  </si>
  <si>
    <r>
      <rPr>
        <sz val="10"/>
        <rFont val="Noto Sans CJK SC"/>
        <family val="2"/>
      </rPr>
      <t xml:space="preserve">서울특별시 마포구 월드컵북로 </t>
    </r>
    <r>
      <rPr>
        <sz val="10"/>
        <rFont val="맑은 고딕"/>
        <family val="0"/>
        <charset val="1"/>
      </rPr>
      <t xml:space="preserve">502-14</t>
    </r>
  </si>
  <si>
    <t xml:space="preserve">서울홍제초등학교</t>
  </si>
  <si>
    <t xml:space="preserve">02-396-7235</t>
  </si>
  <si>
    <t xml:space="preserve">http://hongje.sen.es.kr</t>
  </si>
  <si>
    <r>
      <rPr>
        <sz val="10"/>
        <rFont val="Noto Sans CJK SC"/>
        <family val="2"/>
      </rPr>
      <t xml:space="preserve">서울특별시 서대문구 홍은중앙로 </t>
    </r>
    <r>
      <rPr>
        <sz val="10"/>
        <rFont val="맑은 고딕"/>
        <family val="0"/>
        <charset val="1"/>
      </rPr>
      <t xml:space="preserve">13</t>
    </r>
  </si>
  <si>
    <t xml:space="preserve">이화여자대학교사범대학부속초등학교</t>
  </si>
  <si>
    <t xml:space="preserve">02-363-5555</t>
  </si>
  <si>
    <t xml:space="preserve">http://ewha.sen.es.kr</t>
  </si>
  <si>
    <r>
      <rPr>
        <sz val="10"/>
        <rFont val="Noto Sans CJK SC"/>
        <family val="2"/>
      </rPr>
      <t xml:space="preserve">서울특별시 서대문구 성산로 </t>
    </r>
    <r>
      <rPr>
        <sz val="10"/>
        <rFont val="맑은 고딕"/>
        <family val="0"/>
        <charset val="1"/>
      </rPr>
      <t xml:space="preserve">512-39</t>
    </r>
  </si>
  <si>
    <t xml:space="preserve">명지중학교</t>
  </si>
  <si>
    <t xml:space="preserve">02-302-7072</t>
  </si>
  <si>
    <t xml:space="preserve">http://myongji.sen.ms.kr</t>
  </si>
  <si>
    <r>
      <rPr>
        <sz val="10"/>
        <rFont val="Noto Sans CJK SC"/>
        <family val="2"/>
      </rPr>
      <t xml:space="preserve">서울특별시 서대문구 명지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56</t>
    </r>
  </si>
  <si>
    <t xml:space="preserve">연희중학교</t>
  </si>
  <si>
    <t xml:space="preserve">02-372-2992</t>
  </si>
  <si>
    <t xml:space="preserve">http://yonhi.sen.ms.kr</t>
  </si>
  <si>
    <r>
      <rPr>
        <sz val="10"/>
        <rFont val="Noto Sans CJK SC"/>
        <family val="2"/>
      </rPr>
      <t xml:space="preserve">서울특별시 서대문구 증가로 </t>
    </r>
    <r>
      <rPr>
        <sz val="10"/>
        <rFont val="맑은 고딕"/>
        <family val="0"/>
        <charset val="1"/>
      </rPr>
      <t xml:space="preserve">170</t>
    </r>
  </si>
  <si>
    <t xml:space="preserve">서울녹번초등학교</t>
  </si>
  <si>
    <t xml:space="preserve">02-386-0753</t>
  </si>
  <si>
    <t xml:space="preserve">http://nokbun.sen.es.kr</t>
  </si>
  <si>
    <r>
      <rPr>
        <sz val="10"/>
        <rFont val="Noto Sans CJK SC"/>
        <family val="2"/>
      </rPr>
      <t xml:space="preserve">서울특별시 은평구 녹번로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</t>
    </r>
  </si>
  <si>
    <t xml:space="preserve">서울대조초등학교</t>
  </si>
  <si>
    <t xml:space="preserve">02-355-3784</t>
  </si>
  <si>
    <t xml:space="preserve">http://daejo.sen.es.kr</t>
  </si>
  <si>
    <r>
      <rPr>
        <sz val="10"/>
        <rFont val="Noto Sans CJK SC"/>
        <family val="2"/>
      </rPr>
      <t xml:space="preserve">서울특별시 은평구 연서로</t>
    </r>
    <r>
      <rPr>
        <sz val="10"/>
        <rFont val="맑은 고딕"/>
        <family val="0"/>
        <charset val="1"/>
      </rPr>
      <t xml:space="preserve">18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17</t>
    </r>
  </si>
  <si>
    <t xml:space="preserve">서울수색초등학교</t>
  </si>
  <si>
    <t xml:space="preserve">02-372-8286</t>
  </si>
  <si>
    <t xml:space="preserve">http://susaek.sen.es.kr</t>
  </si>
  <si>
    <r>
      <rPr>
        <sz val="10"/>
        <rFont val="Noto Sans CJK SC"/>
        <family val="2"/>
      </rPr>
      <t xml:space="preserve">서울특별시 은평구 수색로</t>
    </r>
    <r>
      <rPr>
        <sz val="10"/>
        <rFont val="맑은 고딕"/>
        <family val="0"/>
        <charset val="1"/>
      </rPr>
      <t xml:space="preserve">16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21</t>
    </r>
  </si>
  <si>
    <t xml:space="preserve">서울은명초등학교</t>
  </si>
  <si>
    <t xml:space="preserve">02-359-9517</t>
  </si>
  <si>
    <t xml:space="preserve">http://em.sen.es.kr</t>
  </si>
  <si>
    <r>
      <rPr>
        <sz val="10"/>
        <rFont val="Noto Sans CJK SC"/>
        <family val="2"/>
      </rPr>
      <t xml:space="preserve">서울특별시 은평구 은평로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21-9</t>
    </r>
  </si>
  <si>
    <t xml:space="preserve">선일초등학교</t>
  </si>
  <si>
    <t xml:space="preserve">02-355-0160</t>
  </si>
  <si>
    <t xml:space="preserve">http://sunil.sen.es.kr</t>
  </si>
  <si>
    <t xml:space="preserve">대성중학교</t>
  </si>
  <si>
    <t xml:space="preserve">02-6252-1100</t>
  </si>
  <si>
    <t xml:space="preserve">http://dsms.sen.ms.kr</t>
  </si>
  <si>
    <r>
      <rPr>
        <sz val="10"/>
        <rFont val="Noto Sans CJK SC"/>
        <family val="2"/>
      </rPr>
      <t xml:space="preserve">서울특별시 은평구 갈현로</t>
    </r>
    <r>
      <rPr>
        <sz val="10"/>
        <rFont val="맑은 고딕"/>
        <family val="0"/>
        <charset val="1"/>
      </rPr>
      <t xml:space="preserve">29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51-24</t>
    </r>
  </si>
  <si>
    <t xml:space="preserve">덕산중학교</t>
  </si>
  <si>
    <t xml:space="preserve">02-3146-7200</t>
  </si>
  <si>
    <t xml:space="preserve">http://duksan.sen.ms.kr</t>
  </si>
  <si>
    <r>
      <rPr>
        <sz val="10"/>
        <rFont val="Noto Sans CJK SC"/>
        <family val="2"/>
      </rPr>
      <t xml:space="preserve">서울특별시 은평구 가좌로 </t>
    </r>
    <r>
      <rPr>
        <sz val="10"/>
        <rFont val="맑은 고딕"/>
        <family val="0"/>
        <charset val="1"/>
      </rPr>
      <t xml:space="preserve">400</t>
    </r>
  </si>
  <si>
    <t xml:space="preserve">선정중학교</t>
  </si>
  <si>
    <t xml:space="preserve">02-3156-1400</t>
  </si>
  <si>
    <t xml:space="preserve">http://sunjung.sen.ms.kr</t>
  </si>
  <si>
    <r>
      <rPr>
        <sz val="10"/>
        <rFont val="Noto Sans CJK SC"/>
        <family val="2"/>
      </rPr>
      <t xml:space="preserve">서울특별시 은평구 서오릉로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19</t>
    </r>
  </si>
  <si>
    <t xml:space="preserve">증산중학교</t>
  </si>
  <si>
    <t xml:space="preserve">02-303-9294</t>
  </si>
  <si>
    <t xml:space="preserve">http://jeungsan.sen.ms.kr</t>
  </si>
  <si>
    <r>
      <rPr>
        <sz val="10"/>
        <rFont val="Noto Sans CJK SC"/>
        <family val="2"/>
      </rPr>
      <t xml:space="preserve">서울특별시 은평구 증산로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27-30</t>
    </r>
  </si>
  <si>
    <t xml:space="preserve">서울광장초등학교</t>
  </si>
  <si>
    <t xml:space="preserve">02-2139-1501</t>
  </si>
  <si>
    <t xml:space="preserve">http://kwangjang.sen.es.kr</t>
  </si>
  <si>
    <r>
      <rPr>
        <sz val="10"/>
        <rFont val="Noto Sans CJK SC"/>
        <family val="2"/>
      </rPr>
      <t xml:space="preserve">서울특별시 광진구 광장로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27</t>
    </r>
  </si>
  <si>
    <t xml:space="preserve">서울구남초등학교</t>
  </si>
  <si>
    <t xml:space="preserve">02-453-8921</t>
  </si>
  <si>
    <t xml:space="preserve">http://gunam.sen.es.kr</t>
  </si>
  <si>
    <r>
      <rPr>
        <sz val="10"/>
        <rFont val="Noto Sans CJK SC"/>
        <family val="2"/>
      </rPr>
      <t xml:space="preserve">서울특별시 광진구 구의강변로 </t>
    </r>
    <r>
      <rPr>
        <sz val="10"/>
        <rFont val="맑은 고딕"/>
        <family val="0"/>
        <charset val="1"/>
      </rPr>
      <t xml:space="preserve">69</t>
    </r>
  </si>
  <si>
    <t xml:space="preserve">서울양남초등학교</t>
  </si>
  <si>
    <t xml:space="preserve">02-452-8189</t>
  </si>
  <si>
    <t xml:space="preserve">http://s-yangnam.sen.es.kr</t>
  </si>
  <si>
    <r>
      <rPr>
        <sz val="10"/>
        <rFont val="Noto Sans CJK SC"/>
        <family val="2"/>
      </rPr>
      <t xml:space="preserve">서울특별시 광진구 뚝섬로</t>
    </r>
    <r>
      <rPr>
        <sz val="10"/>
        <rFont val="맑은 고딕"/>
        <family val="0"/>
        <charset val="1"/>
      </rPr>
      <t xml:space="preserve">64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71</t>
    </r>
  </si>
  <si>
    <t xml:space="preserve">성동초등학교</t>
  </si>
  <si>
    <t xml:space="preserve">02-447-2642</t>
  </si>
  <si>
    <t xml:space="preserve">http://sungdong.sen.es.kr</t>
  </si>
  <si>
    <r>
      <rPr>
        <sz val="10"/>
        <rFont val="Noto Sans CJK SC"/>
        <family val="2"/>
      </rPr>
      <t xml:space="preserve">서울특별시 광진구 자양로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63</t>
    </r>
  </si>
  <si>
    <t xml:space="preserve">건국대학교사범대학부속중학교</t>
  </si>
  <si>
    <t xml:space="preserve">02-457-0318</t>
  </si>
  <si>
    <t xml:space="preserve">http://konkuk.sen.ms.kr</t>
  </si>
  <si>
    <r>
      <rPr>
        <sz val="10"/>
        <rFont val="Noto Sans CJK SC"/>
        <family val="2"/>
      </rPr>
      <t xml:space="preserve">서울특별시 광진구 자양로 </t>
    </r>
    <r>
      <rPr>
        <sz val="10"/>
        <rFont val="맑은 고딕"/>
        <family val="0"/>
        <charset val="1"/>
      </rPr>
      <t xml:space="preserve">145-1</t>
    </r>
  </si>
  <si>
    <t xml:space="preserve">대원국제중학교</t>
  </si>
  <si>
    <t xml:space="preserve">02-2204-1592</t>
  </si>
  <si>
    <t xml:space="preserve">http://daewon.ms.kr</t>
  </si>
  <si>
    <t xml:space="preserve">동국대학교사범대학부속가람중학교</t>
  </si>
  <si>
    <t xml:space="preserve">02-6948-2280</t>
  </si>
  <si>
    <t xml:space="preserve">http://garam.sen.ms.kr</t>
  </si>
  <si>
    <t xml:space="preserve">자양중학교</t>
  </si>
  <si>
    <t xml:space="preserve">02-446-0365</t>
  </si>
  <si>
    <t xml:space="preserve">http://jayang.sen.ms.kr</t>
  </si>
  <si>
    <r>
      <rPr>
        <sz val="10"/>
        <rFont val="Noto Sans CJK SC"/>
        <family val="2"/>
      </rPr>
      <t xml:space="preserve">서울특별시 광진구 뚝섬로</t>
    </r>
    <r>
      <rPr>
        <sz val="10"/>
        <rFont val="맑은 고딕"/>
        <family val="0"/>
        <charset val="1"/>
      </rPr>
      <t xml:space="preserve">41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33</t>
    </r>
  </si>
  <si>
    <t xml:space="preserve">서울응봉초등학교</t>
  </si>
  <si>
    <t xml:space="preserve">02-2281-0816</t>
  </si>
  <si>
    <t xml:space="preserve">http://eb.sen.es.kr</t>
  </si>
  <si>
    <r>
      <rPr>
        <sz val="10"/>
        <rFont val="Noto Sans CJK SC"/>
        <family val="2"/>
      </rPr>
      <t xml:space="preserve">서울특별시 성동구 독서당로</t>
    </r>
    <r>
      <rPr>
        <sz val="10"/>
        <rFont val="맑은 고딕"/>
        <family val="0"/>
        <charset val="1"/>
      </rPr>
      <t xml:space="preserve">62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28</t>
    </r>
  </si>
  <si>
    <t xml:space="preserve">서울행당초등학교</t>
  </si>
  <si>
    <t xml:space="preserve">02-2292-9434</t>
  </si>
  <si>
    <t xml:space="preserve">http://hd.sen.es.kr</t>
  </si>
  <si>
    <r>
      <rPr>
        <sz val="10"/>
        <rFont val="Noto Sans CJK SC"/>
        <family val="2"/>
      </rPr>
      <t xml:space="preserve">서울특별시 성동구 고산자로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</t>
    </r>
  </si>
  <si>
    <t xml:space="preserve">한양대학교사범대학부속중학교</t>
  </si>
  <si>
    <t xml:space="preserve">02-2200-3700</t>
  </si>
  <si>
    <t xml:space="preserve">http://hyu.sen.ms.kr</t>
  </si>
  <si>
    <t xml:space="preserve">서울미양초등학교</t>
  </si>
  <si>
    <t xml:space="preserve">02-989-9467</t>
  </si>
  <si>
    <t xml:space="preserve">http://mi-yang.sen.es.kr</t>
  </si>
  <si>
    <r>
      <rPr>
        <sz val="10"/>
        <rFont val="Noto Sans CJK SC"/>
        <family val="2"/>
      </rPr>
      <t xml:space="preserve">서울특별시 강북구 솔샘로 </t>
    </r>
    <r>
      <rPr>
        <sz val="10"/>
        <rFont val="맑은 고딕"/>
        <family val="0"/>
        <charset val="1"/>
      </rPr>
      <t xml:space="preserve">195</t>
    </r>
  </si>
  <si>
    <t xml:space="preserve">서울송천초등학교</t>
  </si>
  <si>
    <t xml:space="preserve">02-982-9511</t>
  </si>
  <si>
    <t xml:space="preserve">http://song-cheon.sen.es.kr</t>
  </si>
  <si>
    <r>
      <rPr>
        <sz val="10"/>
        <rFont val="Noto Sans CJK SC"/>
        <family val="2"/>
      </rPr>
      <t xml:space="preserve">서울특별시 강북구 삼양로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29</t>
    </r>
  </si>
  <si>
    <t xml:space="preserve">삼각산중학교</t>
  </si>
  <si>
    <t xml:space="preserve">02-944-4999</t>
  </si>
  <si>
    <t xml:space="preserve">http://samgaksan.sen.ms.kr</t>
  </si>
  <si>
    <r>
      <rPr>
        <sz val="10"/>
        <rFont val="Noto Sans CJK SC"/>
        <family val="2"/>
      </rPr>
      <t xml:space="preserve">서울특별시 강북구 삼양로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141</t>
    </r>
  </si>
  <si>
    <t xml:space="preserve">화계중학교</t>
  </si>
  <si>
    <t xml:space="preserve">02-986-3073</t>
  </si>
  <si>
    <t xml:space="preserve">http://hwagye.sen.ms.kr</t>
  </si>
  <si>
    <r>
      <rPr>
        <sz val="10"/>
        <rFont val="Noto Sans CJK SC"/>
        <family val="2"/>
      </rPr>
      <t xml:space="preserve">서울특별시 강북구 화계사길 </t>
    </r>
    <r>
      <rPr>
        <sz val="10"/>
        <rFont val="맑은 고딕"/>
        <family val="0"/>
        <charset val="1"/>
      </rPr>
      <t xml:space="preserve">63</t>
    </r>
  </si>
  <si>
    <t xml:space="preserve">서울개운초등학교</t>
  </si>
  <si>
    <t xml:space="preserve">02-925-8838</t>
  </si>
  <si>
    <t xml:space="preserve">http://gaewoon.sen.es.kr</t>
  </si>
  <si>
    <r>
      <rPr>
        <sz val="10"/>
        <rFont val="Noto Sans CJK SC"/>
        <family val="2"/>
      </rPr>
      <t xml:space="preserve">서울특별시 성북구 정릉로</t>
    </r>
    <r>
      <rPr>
        <sz val="10"/>
        <rFont val="맑은 고딕"/>
        <family val="0"/>
        <charset val="1"/>
      </rPr>
      <t xml:space="preserve">48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52</t>
    </r>
  </si>
  <si>
    <t xml:space="preserve">서울숭곡초등학교</t>
  </si>
  <si>
    <t xml:space="preserve">02-912-5846</t>
  </si>
  <si>
    <t xml:space="preserve">http://soonggok.sen.es.kr</t>
  </si>
  <si>
    <r>
      <rPr>
        <sz val="10"/>
        <rFont val="Noto Sans CJK SC"/>
        <family val="2"/>
      </rPr>
      <t xml:space="preserve">서울특별시 성북구 종암로</t>
    </r>
    <r>
      <rPr>
        <sz val="10"/>
        <rFont val="맑은 고딕"/>
        <family val="0"/>
        <charset val="1"/>
      </rPr>
      <t xml:space="preserve">40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30</t>
    </r>
  </si>
  <si>
    <t xml:space="preserve">서울숭덕초등학교</t>
  </si>
  <si>
    <t xml:space="preserve">02-911-1761</t>
  </si>
  <si>
    <t xml:space="preserve">http://soongduck.sen.es.kr</t>
  </si>
  <si>
    <r>
      <rPr>
        <sz val="10"/>
        <rFont val="Noto Sans CJK SC"/>
        <family val="2"/>
      </rPr>
      <t xml:space="preserve">서울특별시 성북구 정릉로 </t>
    </r>
    <r>
      <rPr>
        <sz val="10"/>
        <rFont val="맑은 고딕"/>
        <family val="0"/>
        <charset val="1"/>
      </rPr>
      <t xml:space="preserve">279</t>
    </r>
  </si>
  <si>
    <t xml:space="preserve">서울장위초등학교</t>
  </si>
  <si>
    <t xml:space="preserve">02-942-1772</t>
  </si>
  <si>
    <t xml:space="preserve">http://jangwicho.sen.es.kr</t>
  </si>
  <si>
    <r>
      <rPr>
        <sz val="10"/>
        <rFont val="Noto Sans CJK SC"/>
        <family val="2"/>
      </rPr>
      <t xml:space="preserve">서울특별시 성북구 장월로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가길 </t>
    </r>
    <r>
      <rPr>
        <sz val="10"/>
        <rFont val="맑은 고딕"/>
        <family val="0"/>
        <charset val="1"/>
      </rPr>
      <t xml:space="preserve">41</t>
    </r>
  </si>
  <si>
    <t xml:space="preserve">서울정덕초등학교</t>
  </si>
  <si>
    <t xml:space="preserve">02-928-0422</t>
  </si>
  <si>
    <t xml:space="preserve">http://jeongdeok.sen.es.kr</t>
  </si>
  <si>
    <r>
      <rPr>
        <sz val="10"/>
        <rFont val="Noto Sans CJK SC"/>
        <family val="2"/>
      </rPr>
      <t xml:space="preserve">서울특별시 성북구 아리랑로 </t>
    </r>
    <r>
      <rPr>
        <sz val="10"/>
        <rFont val="맑은 고딕"/>
        <family val="0"/>
        <charset val="1"/>
      </rPr>
      <t xml:space="preserve">63</t>
    </r>
  </si>
  <si>
    <t xml:space="preserve">우촌초등학교</t>
  </si>
  <si>
    <t xml:space="preserve">02-929-1671</t>
  </si>
  <si>
    <t xml:space="preserve">http://uchon.sen.es.kr</t>
  </si>
  <si>
    <r>
      <rPr>
        <sz val="10"/>
        <rFont val="Noto Sans CJK SC"/>
        <family val="2"/>
      </rPr>
      <t xml:space="preserve">서울특별시 성북구 성북로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52-1</t>
    </r>
  </si>
  <si>
    <t xml:space="preserve">월곡중학교</t>
  </si>
  <si>
    <t xml:space="preserve">02-6496-6600</t>
  </si>
  <si>
    <t xml:space="preserve">http://wolgok.sen.ms.kr</t>
  </si>
  <si>
    <r>
      <rPr>
        <sz val="10"/>
        <rFont val="Noto Sans CJK SC"/>
        <family val="2"/>
      </rPr>
      <t xml:space="preserve">서울특별시 성북구 장월로 </t>
    </r>
    <r>
      <rPr>
        <sz val="10"/>
        <rFont val="맑은 고딕"/>
        <family val="0"/>
        <charset val="1"/>
      </rPr>
      <t xml:space="preserve">6</t>
    </r>
  </si>
  <si>
    <t xml:space="preserve">종암중학교</t>
  </si>
  <si>
    <t xml:space="preserve">02-928-7041</t>
  </si>
  <si>
    <t xml:space="preserve">http://jongam.sen.ms.kr</t>
  </si>
  <si>
    <r>
      <rPr>
        <sz val="10"/>
        <rFont val="Noto Sans CJK SC"/>
        <family val="2"/>
      </rPr>
      <t xml:space="preserve">서울특별시 성북구 종암로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80-17</t>
    </r>
  </si>
  <si>
    <t xml:space="preserve">홍익대학교사범대학부속중학교</t>
  </si>
  <si>
    <t xml:space="preserve">02-762-0824</t>
  </si>
  <si>
    <t xml:space="preserve">http://hongik.sen.ms.kr</t>
  </si>
  <si>
    <t xml:space="preserve">서울용암초등학교</t>
  </si>
  <si>
    <t xml:space="preserve">02-796-2167</t>
  </si>
  <si>
    <t xml:space="preserve">http://yongam.sen.es.kr</t>
  </si>
  <si>
    <r>
      <rPr>
        <sz val="10"/>
        <rFont val="Noto Sans CJK SC"/>
        <family val="2"/>
      </rPr>
      <t xml:space="preserve">서울특별시 용산구 녹사평대로</t>
    </r>
    <r>
      <rPr>
        <sz val="10"/>
        <rFont val="맑은 고딕"/>
        <family val="0"/>
        <charset val="1"/>
      </rPr>
      <t xml:space="preserve">60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39</t>
    </r>
  </si>
  <si>
    <t xml:space="preserve">서울한강초등학교</t>
  </si>
  <si>
    <t xml:space="preserve">02-795-0584</t>
  </si>
  <si>
    <t xml:space="preserve">http://hangang.sen.es.kr</t>
  </si>
  <si>
    <r>
      <rPr>
        <sz val="10"/>
        <rFont val="Noto Sans CJK SC"/>
        <family val="2"/>
      </rPr>
      <t xml:space="preserve">서울특별시 용산구 한강대로</t>
    </r>
    <r>
      <rPr>
        <sz val="10"/>
        <rFont val="맑은 고딕"/>
        <family val="0"/>
        <charset val="1"/>
      </rPr>
      <t xml:space="preserve">14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9</t>
    </r>
  </si>
  <si>
    <t xml:space="preserve">용강중학교</t>
  </si>
  <si>
    <t xml:space="preserve">02-795-6176</t>
  </si>
  <si>
    <t xml:space="preserve">http://yonggang.sen.ms.kr</t>
  </si>
  <si>
    <r>
      <rPr>
        <sz val="10"/>
        <rFont val="Noto Sans CJK SC"/>
        <family val="2"/>
      </rPr>
      <t xml:space="preserve">서울특별시 용산구 이촌로</t>
    </r>
    <r>
      <rPr>
        <sz val="10"/>
        <rFont val="맑은 고딕"/>
        <family val="0"/>
        <charset val="1"/>
      </rPr>
      <t xml:space="preserve">65</t>
    </r>
    <r>
      <rPr>
        <sz val="10"/>
        <rFont val="Noto Sans CJK SC"/>
        <family val="2"/>
      </rPr>
      <t xml:space="preserve">가길 </t>
    </r>
    <r>
      <rPr>
        <sz val="10"/>
        <rFont val="맑은 고딕"/>
        <family val="0"/>
        <charset val="1"/>
      </rPr>
      <t xml:space="preserve">91</t>
    </r>
  </si>
  <si>
    <t xml:space="preserve">한강중학교</t>
  </si>
  <si>
    <t xml:space="preserve">02-794-1791</t>
  </si>
  <si>
    <t xml:space="preserve">http://hangang.sen.ms.kr</t>
  </si>
  <si>
    <r>
      <rPr>
        <sz val="10"/>
        <rFont val="Noto Sans CJK SC"/>
        <family val="2"/>
      </rPr>
      <t xml:space="preserve">서울특별시 용산구 녹사평대로 </t>
    </r>
    <r>
      <rPr>
        <sz val="10"/>
        <rFont val="맑은 고딕"/>
        <family val="0"/>
        <charset val="1"/>
      </rPr>
      <t xml:space="preserve">73</t>
    </r>
  </si>
  <si>
    <t xml:space="preserve">운현초등학교</t>
  </si>
  <si>
    <t xml:space="preserve">02-765-0895</t>
  </si>
  <si>
    <t xml:space="preserve">http://unhyun.sen.es.kr</t>
  </si>
  <si>
    <r>
      <rPr>
        <sz val="10"/>
        <rFont val="Noto Sans CJK SC"/>
        <family val="2"/>
      </rPr>
      <t xml:space="preserve">서울특별시 종로구 삼일대로 </t>
    </r>
    <r>
      <rPr>
        <sz val="10"/>
        <rFont val="맑은 고딕"/>
        <family val="0"/>
        <charset val="1"/>
      </rPr>
      <t xml:space="preserve">460</t>
    </r>
  </si>
  <si>
    <t xml:space="preserve">덕성여자중학교</t>
  </si>
  <si>
    <t xml:space="preserve">02-733-4807</t>
  </si>
  <si>
    <t xml:space="preserve">http://duksung.sen.ms.kr</t>
  </si>
  <si>
    <r>
      <rPr>
        <sz val="10"/>
        <rFont val="Noto Sans CJK SC"/>
        <family val="2"/>
      </rPr>
      <t xml:space="preserve">서울특별시 종로구 율곡로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49</t>
    </r>
  </si>
  <si>
    <t xml:space="preserve">서울청구초등학교</t>
  </si>
  <si>
    <t xml:space="preserve">02-2252-1866</t>
  </si>
  <si>
    <t xml:space="preserve">http://cheonggu.sen.es.kr</t>
  </si>
  <si>
    <r>
      <rPr>
        <sz val="10"/>
        <rFont val="Noto Sans CJK SC"/>
        <family val="2"/>
      </rPr>
      <t xml:space="preserve">서울특별시 중구 다산로 </t>
    </r>
    <r>
      <rPr>
        <sz val="10"/>
        <rFont val="맑은 고딕"/>
        <family val="0"/>
        <charset val="1"/>
      </rPr>
      <t xml:space="preserve">170</t>
    </r>
  </si>
  <si>
    <t xml:space="preserve">금호중학교</t>
  </si>
  <si>
    <t xml:space="preserve">02-2088-0549</t>
  </si>
  <si>
    <t xml:space="preserve">http://geumho.sen.ms.kr</t>
  </si>
  <si>
    <r>
      <rPr>
        <sz val="10"/>
        <rFont val="Noto Sans CJK SC"/>
        <family val="2"/>
      </rPr>
      <t xml:space="preserve">서울특별시 중구 청구로 </t>
    </r>
    <r>
      <rPr>
        <sz val="10"/>
        <rFont val="맑은 고딕"/>
        <family val="0"/>
        <charset val="1"/>
      </rPr>
      <t xml:space="preserve">6</t>
    </r>
  </si>
  <si>
    <t xml:space="preserve">부산정보관광고등학교</t>
  </si>
  <si>
    <t xml:space="preserve">051-518-7922</t>
  </si>
  <si>
    <t xml:space="preserve">http://www.pusan-ith.hs.kr</t>
  </si>
  <si>
    <r>
      <rPr>
        <sz val="10"/>
        <rFont val="Noto Sans CJK SC"/>
        <family val="2"/>
      </rPr>
      <t xml:space="preserve">부산광역시 금정구 동현로 </t>
    </r>
    <r>
      <rPr>
        <sz val="10"/>
        <rFont val="맑은 고딕"/>
        <family val="0"/>
        <charset val="1"/>
      </rPr>
      <t xml:space="preserve">37</t>
    </r>
  </si>
  <si>
    <t xml:space="preserve">동명공업고등학교</t>
  </si>
  <si>
    <t xml:space="preserve">051-610-2527</t>
  </si>
  <si>
    <t xml:space="preserve">http://tm.hs.kr</t>
  </si>
  <si>
    <r>
      <rPr>
        <sz val="10"/>
        <rFont val="Noto Sans CJK SC"/>
        <family val="2"/>
      </rPr>
      <t xml:space="preserve">부산광역시 남구 신선로 </t>
    </r>
    <r>
      <rPr>
        <sz val="10"/>
        <rFont val="맑은 고딕"/>
        <family val="0"/>
        <charset val="1"/>
      </rPr>
      <t xml:space="preserve">410</t>
    </r>
  </si>
  <si>
    <t xml:space="preserve">배정미래고등학교</t>
  </si>
  <si>
    <t xml:space="preserve">051-635-2291</t>
  </si>
  <si>
    <t xml:space="preserve">http://mr.hs.kr</t>
  </si>
  <si>
    <r>
      <rPr>
        <sz val="10"/>
        <rFont val="Noto Sans CJK SC"/>
        <family val="2"/>
      </rPr>
      <t xml:space="preserve">부산광역시 남구 장고개로</t>
    </r>
    <r>
      <rPr>
        <sz val="10"/>
        <rFont val="맑은 고딕"/>
        <family val="0"/>
        <charset val="1"/>
      </rPr>
      <t xml:space="preserve">85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14-40</t>
    </r>
  </si>
  <si>
    <t xml:space="preserve">세연고등학교</t>
  </si>
  <si>
    <t xml:space="preserve">051-632-4251</t>
  </si>
  <si>
    <t xml:space="preserve">http://seyeon.hs.kr</t>
  </si>
  <si>
    <r>
      <rPr>
        <sz val="10"/>
        <rFont val="Noto Sans CJK SC"/>
        <family val="2"/>
      </rPr>
      <t xml:space="preserve">부산광역시 남구 진남로 </t>
    </r>
    <r>
      <rPr>
        <sz val="10"/>
        <rFont val="맑은 고딕"/>
        <family val="0"/>
        <charset val="1"/>
      </rPr>
      <t xml:space="preserve">82-19</t>
    </r>
  </si>
  <si>
    <t xml:space="preserve">용인고등학교</t>
  </si>
  <si>
    <t xml:space="preserve">051-525-0029</t>
  </si>
  <si>
    <t xml:space="preserve">http://psyongin.hs.kr</t>
  </si>
  <si>
    <r>
      <rPr>
        <sz val="10"/>
        <rFont val="Noto Sans CJK SC"/>
        <family val="2"/>
      </rPr>
      <t xml:space="preserve">부산광역시 동래구 시실로</t>
    </r>
    <r>
      <rPr>
        <sz val="10"/>
        <rFont val="맑은 고딕"/>
        <family val="0"/>
        <charset val="1"/>
      </rPr>
      <t xml:space="preserve">107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37</t>
    </r>
  </si>
  <si>
    <t xml:space="preserve">세정고등학교</t>
  </si>
  <si>
    <t xml:space="preserve">051-860-1500</t>
  </si>
  <si>
    <t xml:space="preserve">http://www.sejeong.hs.kr</t>
  </si>
  <si>
    <r>
      <rPr>
        <sz val="10"/>
        <rFont val="Noto Sans CJK SC"/>
        <family val="2"/>
      </rPr>
      <t xml:space="preserve">부산광역시 부산진구 양정로 </t>
    </r>
    <r>
      <rPr>
        <sz val="10"/>
        <rFont val="맑은 고딕"/>
        <family val="0"/>
        <charset val="1"/>
      </rPr>
      <t xml:space="preserve">88-12</t>
    </r>
  </si>
  <si>
    <t xml:space="preserve">대덕여자고등학교</t>
  </si>
  <si>
    <t xml:space="preserve">051-309-8810</t>
  </si>
  <si>
    <t xml:space="preserve">http://daeduk.hs.kr</t>
  </si>
  <si>
    <r>
      <rPr>
        <sz val="10"/>
        <rFont val="Noto Sans CJK SC"/>
        <family val="2"/>
      </rPr>
      <t xml:space="preserve">부산광역시 사상구 백양대로</t>
    </r>
    <r>
      <rPr>
        <sz val="10"/>
        <rFont val="맑은 고딕"/>
        <family val="0"/>
        <charset val="1"/>
      </rPr>
      <t xml:space="preserve">804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42-55</t>
    </r>
  </si>
  <si>
    <t xml:space="preserve">051-292-3225</t>
  </si>
  <si>
    <t xml:space="preserve">http://www.daegwang.hs.kr</t>
  </si>
  <si>
    <r>
      <rPr>
        <sz val="10"/>
        <rFont val="Noto Sans CJK SC"/>
        <family val="2"/>
      </rPr>
      <t xml:space="preserve">부산광역시 사하구 동매로 </t>
    </r>
    <r>
      <rPr>
        <sz val="10"/>
        <rFont val="맑은 고딕"/>
        <family val="0"/>
        <charset val="1"/>
      </rPr>
      <t xml:space="preserve">135</t>
    </r>
  </si>
  <si>
    <t xml:space="preserve">경성전자고등학교</t>
  </si>
  <si>
    <t xml:space="preserve">051-253-2450</t>
  </si>
  <si>
    <t xml:space="preserve">http://www.kse.hs.kr</t>
  </si>
  <si>
    <r>
      <rPr>
        <sz val="10"/>
        <rFont val="Noto Sans CJK SC"/>
        <family val="2"/>
      </rPr>
      <t xml:space="preserve">부산광역시 서구 꽃마을로 </t>
    </r>
    <r>
      <rPr>
        <sz val="10"/>
        <rFont val="맑은 고딕"/>
        <family val="0"/>
        <charset val="1"/>
      </rPr>
      <t xml:space="preserve">25</t>
    </r>
  </si>
  <si>
    <t xml:space="preserve">덕문여자고등학교</t>
  </si>
  <si>
    <t xml:space="preserve">051-756-1802</t>
  </si>
  <si>
    <t xml:space="preserve">http://www.dukmoon.hs.kr</t>
  </si>
  <si>
    <r>
      <rPr>
        <sz val="10"/>
        <rFont val="Noto Sans CJK SC"/>
        <family val="2"/>
      </rPr>
      <t xml:space="preserve">부산광역시 수영구 연수로</t>
    </r>
    <r>
      <rPr>
        <sz val="10"/>
        <rFont val="맑은 고딕"/>
        <family val="0"/>
        <charset val="1"/>
      </rPr>
      <t xml:space="preserve">310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114</t>
    </r>
  </si>
  <si>
    <t xml:space="preserve">계성여자고등학교</t>
  </si>
  <si>
    <t xml:space="preserve">051-503-4894</t>
  </si>
  <si>
    <t xml:space="preserve">http://school.busanedu.net/gyeseong-gc-h</t>
  </si>
  <si>
    <r>
      <rPr>
        <sz val="10"/>
        <rFont val="Noto Sans CJK SC"/>
        <family val="2"/>
      </rPr>
      <t xml:space="preserve">부산광역시 연제구 해맞이로</t>
    </r>
    <r>
      <rPr>
        <sz val="10"/>
        <rFont val="맑은 고딕"/>
        <family val="0"/>
        <charset val="1"/>
      </rPr>
      <t xml:space="preserve">109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47</t>
    </r>
  </si>
  <si>
    <t xml:space="preserve">부산영상예술고등학교</t>
  </si>
  <si>
    <t xml:space="preserve">051-419-0322</t>
  </si>
  <si>
    <t xml:space="preserve">http://visual.hs.kr</t>
  </si>
  <si>
    <r>
      <rPr>
        <sz val="10"/>
        <rFont val="Noto Sans CJK SC"/>
        <family val="2"/>
      </rPr>
      <t xml:space="preserve">부산광역시 영도구 영상길 </t>
    </r>
    <r>
      <rPr>
        <sz val="10"/>
        <rFont val="맑은 고딕"/>
        <family val="0"/>
        <charset val="1"/>
      </rPr>
      <t xml:space="preserve">100</t>
    </r>
  </si>
  <si>
    <t xml:space="preserve">부산문화여자고등학교</t>
  </si>
  <si>
    <t xml:space="preserve">051-746-2952</t>
  </si>
  <si>
    <t xml:space="preserve">http://bs-moonhwa.hs.kr</t>
  </si>
  <si>
    <r>
      <rPr>
        <sz val="10"/>
        <rFont val="Noto Sans CJK SC"/>
        <family val="2"/>
      </rPr>
      <t xml:space="preserve">부산광역시 해운대구 해운대로</t>
    </r>
    <r>
      <rPr>
        <sz val="10"/>
        <rFont val="맑은 고딕"/>
        <family val="0"/>
        <charset val="1"/>
      </rPr>
      <t xml:space="preserve">469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50</t>
    </r>
  </si>
  <si>
    <t xml:space="preserve">부산센텀여자고등학교</t>
  </si>
  <si>
    <t xml:space="preserve">051-731-3508</t>
  </si>
  <si>
    <t xml:space="preserve">http://school.busanedu.net/busan-cg-h/main.do</t>
  </si>
  <si>
    <r>
      <rPr>
        <sz val="10"/>
        <rFont val="Noto Sans CJK SC"/>
        <family val="2"/>
      </rPr>
      <t xml:space="preserve">부산광역시 해운대구 해운대로</t>
    </r>
    <r>
      <rPr>
        <sz val="10"/>
        <rFont val="맑은 고딕"/>
        <family val="0"/>
        <charset val="1"/>
      </rPr>
      <t xml:space="preserve">469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50-1</t>
    </r>
  </si>
  <si>
    <t xml:space="preserve">영산고등학교</t>
  </si>
  <si>
    <t xml:space="preserve">051-540-9500</t>
  </si>
  <si>
    <t xml:space="preserve">http://ysh.hs.kr</t>
  </si>
  <si>
    <r>
      <rPr>
        <sz val="10"/>
        <rFont val="Noto Sans CJK SC"/>
        <family val="2"/>
      </rPr>
      <t xml:space="preserve">부산광역시 해운대구 반송순환로 </t>
    </r>
    <r>
      <rPr>
        <sz val="10"/>
        <rFont val="맑은 고딕"/>
        <family val="0"/>
        <charset val="1"/>
      </rPr>
      <t xml:space="preserve">142-1</t>
    </r>
  </si>
  <si>
    <t xml:space="preserve">해운대관광고등학교</t>
  </si>
  <si>
    <t xml:space="preserve">051-742-0041</t>
  </si>
  <si>
    <t xml:space="preserve">http://www.h-tour.hs.kr</t>
  </si>
  <si>
    <r>
      <rPr>
        <sz val="10"/>
        <rFont val="Noto Sans CJK SC"/>
        <family val="2"/>
      </rPr>
      <t xml:space="preserve">부산광역시 해운대구 우동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로</t>
    </r>
    <r>
      <rPr>
        <sz val="10"/>
        <rFont val="맑은 고딕"/>
        <family val="0"/>
        <charset val="1"/>
      </rPr>
      <t xml:space="preserve">60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38</t>
    </r>
  </si>
  <si>
    <t xml:space="preserve">문현초등학교</t>
  </si>
  <si>
    <t xml:space="preserve">051-646-8565</t>
  </si>
  <si>
    <t xml:space="preserve">http://school.busanedu.net/moonhyun-e</t>
  </si>
  <si>
    <r>
      <rPr>
        <sz val="10"/>
        <rFont val="Noto Sans CJK SC"/>
        <family val="2"/>
      </rPr>
      <t xml:space="preserve">부산광역시 남구 고동골로 </t>
    </r>
    <r>
      <rPr>
        <sz val="10"/>
        <rFont val="맑은 고딕"/>
        <family val="0"/>
        <charset val="1"/>
      </rPr>
      <t xml:space="preserve">86-13</t>
    </r>
  </si>
  <si>
    <t xml:space="preserve">대천중학교</t>
  </si>
  <si>
    <t xml:space="preserve">051-622-7180</t>
  </si>
  <si>
    <t xml:space="preserve">http://www.daecheon.ms.kr</t>
  </si>
  <si>
    <r>
      <rPr>
        <sz val="10"/>
        <rFont val="Noto Sans CJK SC"/>
        <family val="2"/>
      </rPr>
      <t xml:space="preserve">부산광역시 남구 신선로 </t>
    </r>
    <r>
      <rPr>
        <sz val="10"/>
        <rFont val="맑은 고딕"/>
        <family val="0"/>
        <charset val="1"/>
      </rPr>
      <t xml:space="preserve">491</t>
    </r>
  </si>
  <si>
    <t xml:space="preserve">해연중학교</t>
  </si>
  <si>
    <t xml:space="preserve">051-646-5004</t>
  </si>
  <si>
    <t xml:space="preserve">http://www.haeyeon.ms.kr</t>
  </si>
  <si>
    <r>
      <rPr>
        <sz val="10"/>
        <rFont val="Noto Sans CJK SC"/>
        <family val="2"/>
      </rPr>
      <t xml:space="preserve">부산광역시 남구 진남로</t>
    </r>
    <r>
      <rPr>
        <sz val="10"/>
        <rFont val="맑은 고딕"/>
        <family val="0"/>
        <charset val="1"/>
      </rPr>
      <t xml:space="preserve">110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25</t>
    </r>
  </si>
  <si>
    <t xml:space="preserve">선화여자중학교</t>
  </si>
  <si>
    <t xml:space="preserve">051-460-0600</t>
  </si>
  <si>
    <t xml:space="preserve">http://seonhwa-gm.ms.kr</t>
  </si>
  <si>
    <t xml:space="preserve">개림초등학교</t>
  </si>
  <si>
    <t xml:space="preserve">051-607-7001</t>
  </si>
  <si>
    <r>
      <rPr>
        <sz val="10"/>
        <rFont val="Noto Sans CJK SC"/>
        <family val="2"/>
      </rPr>
      <t xml:space="preserve">부산광역시 부산진구 백양대로</t>
    </r>
    <r>
      <rPr>
        <sz val="10"/>
        <rFont val="맑은 고딕"/>
        <family val="0"/>
        <charset val="1"/>
      </rPr>
      <t xml:space="preserve">320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40</t>
    </r>
  </si>
  <si>
    <t xml:space="preserve">동래초등학교</t>
  </si>
  <si>
    <t xml:space="preserve">051-581-0901</t>
  </si>
  <si>
    <t xml:space="preserve">http://www.dongrae.es.kr</t>
  </si>
  <si>
    <r>
      <rPr>
        <sz val="10"/>
        <rFont val="Noto Sans CJK SC"/>
        <family val="2"/>
      </rPr>
      <t xml:space="preserve">부산광역시 금정구 체육공원로</t>
    </r>
    <r>
      <rPr>
        <sz val="10"/>
        <rFont val="맑은 고딕"/>
        <family val="0"/>
        <charset val="1"/>
      </rPr>
      <t xml:space="preserve">44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26</t>
    </r>
  </si>
  <si>
    <t xml:space="preserve">장서초등학교</t>
  </si>
  <si>
    <t xml:space="preserve">051-515-3606</t>
  </si>
  <si>
    <t xml:space="preserve">http://www.jangseo.es.kr</t>
  </si>
  <si>
    <r>
      <rPr>
        <sz val="10"/>
        <rFont val="Noto Sans CJK SC"/>
        <family val="2"/>
      </rPr>
      <t xml:space="preserve">부산광역시 금정구 금강로 </t>
    </r>
    <r>
      <rPr>
        <sz val="10"/>
        <rFont val="맑은 고딕"/>
        <family val="0"/>
        <charset val="1"/>
      </rPr>
      <t xml:space="preserve">453</t>
    </r>
  </si>
  <si>
    <t xml:space="preserve">부산예술중학교</t>
  </si>
  <si>
    <t xml:space="preserve">051-518-4032</t>
  </si>
  <si>
    <t xml:space="preserve">http://school.busanedu.net/pusanarts-m</t>
  </si>
  <si>
    <r>
      <rPr>
        <sz val="10"/>
        <rFont val="Noto Sans CJK SC"/>
        <family val="2"/>
      </rPr>
      <t xml:space="preserve">부산광역시 금정구 체육공원로 </t>
    </r>
    <r>
      <rPr>
        <sz val="10"/>
        <rFont val="맑은 고딕"/>
        <family val="0"/>
        <charset val="1"/>
      </rPr>
      <t xml:space="preserve">20</t>
    </r>
  </si>
  <si>
    <t xml:space="preserve">내성초등학교</t>
  </si>
  <si>
    <t xml:space="preserve">051-550-8600</t>
  </si>
  <si>
    <t xml:space="preserve">http://www.naesung.es.kr</t>
  </si>
  <si>
    <r>
      <rPr>
        <sz val="10"/>
        <rFont val="Noto Sans CJK SC"/>
        <family val="2"/>
      </rPr>
      <t xml:space="preserve">부산광역시 동래구 동래로 </t>
    </r>
    <r>
      <rPr>
        <sz val="10"/>
        <rFont val="맑은 고딕"/>
        <family val="0"/>
        <charset val="1"/>
      </rPr>
      <t xml:space="preserve">173</t>
    </r>
  </si>
  <si>
    <t xml:space="preserve">051-500-3200</t>
  </si>
  <si>
    <t xml:space="preserve">http://www.sajik.es.kr</t>
  </si>
  <si>
    <r>
      <rPr>
        <sz val="10"/>
        <rFont val="Noto Sans CJK SC"/>
        <family val="2"/>
      </rPr>
      <t xml:space="preserve">부산광역시 동래구 쇠미로</t>
    </r>
    <r>
      <rPr>
        <sz val="10"/>
        <rFont val="맑은 고딕"/>
        <family val="0"/>
        <charset val="1"/>
      </rPr>
      <t xml:space="preserve">81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7</t>
    </r>
  </si>
  <si>
    <t xml:space="preserve">온샘초등학교</t>
  </si>
  <si>
    <t xml:space="preserve">051-667-6900</t>
  </si>
  <si>
    <t xml:space="preserve">http://www.onsaem.es.kr</t>
  </si>
  <si>
    <r>
      <rPr>
        <sz val="10"/>
        <rFont val="Noto Sans CJK SC"/>
        <family val="2"/>
      </rPr>
      <t xml:space="preserve">부산광역시 동래구 충렬대로</t>
    </r>
    <r>
      <rPr>
        <sz val="10"/>
        <rFont val="맑은 고딕"/>
        <family val="0"/>
        <charset val="1"/>
      </rPr>
      <t xml:space="preserve">75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25</t>
    </r>
  </si>
  <si>
    <t xml:space="preserve">온천초등학교</t>
  </si>
  <si>
    <t xml:space="preserve">051-550-7800</t>
  </si>
  <si>
    <t xml:space="preserve">http://www.onchun.es.kr</t>
  </si>
  <si>
    <r>
      <rPr>
        <sz val="10"/>
        <rFont val="Noto Sans CJK SC"/>
        <family val="2"/>
      </rPr>
      <t xml:space="preserve">부산광역시 동래구 충렬대로</t>
    </r>
    <r>
      <rPr>
        <sz val="10"/>
        <rFont val="맑은 고딕"/>
        <family val="0"/>
        <charset val="1"/>
      </rPr>
      <t xml:space="preserve">107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124</t>
    </r>
  </si>
  <si>
    <t xml:space="preserve">연동초등학교</t>
  </si>
  <si>
    <t xml:space="preserve">051-853-7172</t>
  </si>
  <si>
    <t xml:space="preserve">http://yondong.es.kr</t>
  </si>
  <si>
    <r>
      <rPr>
        <sz val="10"/>
        <rFont val="Noto Sans CJK SC"/>
        <family val="2"/>
      </rPr>
      <t xml:space="preserve">부산광역시 연제구 고분로</t>
    </r>
    <r>
      <rPr>
        <sz val="10"/>
        <rFont val="맑은 고딕"/>
        <family val="0"/>
        <charset val="1"/>
      </rPr>
      <t xml:space="preserve">56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40</t>
    </r>
  </si>
  <si>
    <t xml:space="preserve">연산초등학교</t>
  </si>
  <si>
    <t xml:space="preserve">051-850-1901</t>
  </si>
  <si>
    <t xml:space="preserve">http://www.yonsan.es.kr</t>
  </si>
  <si>
    <r>
      <rPr>
        <sz val="10"/>
        <rFont val="Noto Sans CJK SC"/>
        <family val="2"/>
      </rPr>
      <t xml:space="preserve">부산광역시 연제구 월드컵대로 </t>
    </r>
    <r>
      <rPr>
        <sz val="10"/>
        <rFont val="맑은 고딕"/>
        <family val="0"/>
        <charset val="1"/>
      </rPr>
      <t xml:space="preserve">41</t>
    </r>
  </si>
  <si>
    <t xml:space="preserve">연서초등학교</t>
  </si>
  <si>
    <t xml:space="preserve">051-790-5400</t>
  </si>
  <si>
    <t xml:space="preserve">http://school.busanedu.net/yeonseo-e/main.do</t>
  </si>
  <si>
    <r>
      <rPr>
        <sz val="10"/>
        <rFont val="Noto Sans CJK SC"/>
        <family val="2"/>
      </rPr>
      <t xml:space="preserve">부산광역시 연제구 거제천로</t>
    </r>
    <r>
      <rPr>
        <sz val="10"/>
        <rFont val="맑은 고딕"/>
        <family val="0"/>
        <charset val="1"/>
      </rPr>
      <t xml:space="preserve">270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30</t>
    </r>
  </si>
  <si>
    <t xml:space="preserve">이사벨중학교</t>
  </si>
  <si>
    <t xml:space="preserve">051-590-2400</t>
  </si>
  <si>
    <t xml:space="preserve">http://school.busanedu.net/isabelle-m</t>
  </si>
  <si>
    <t xml:space="preserve">강서초등학교</t>
  </si>
  <si>
    <t xml:space="preserve">051-366-1900</t>
  </si>
  <si>
    <t xml:space="preserve">http://gangseoe.es.kr</t>
  </si>
  <si>
    <r>
      <rPr>
        <sz val="10"/>
        <rFont val="Noto Sans CJK SC"/>
        <family val="2"/>
      </rPr>
      <t xml:space="preserve">부산광역시 강서구 에코델타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94</t>
    </r>
  </si>
  <si>
    <t xml:space="preserve">녹산초등학교</t>
  </si>
  <si>
    <t xml:space="preserve">051-979-1000</t>
  </si>
  <si>
    <t xml:space="preserve">http://noksan.es.kr</t>
  </si>
  <si>
    <r>
      <rPr>
        <sz val="10"/>
        <rFont val="Noto Sans CJK SC"/>
        <family val="2"/>
      </rPr>
      <t xml:space="preserve">부산광역시 강서구 과학산단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로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55</t>
    </r>
  </si>
  <si>
    <t xml:space="preserve">대저중앙초등학교</t>
  </si>
  <si>
    <t xml:space="preserve">051-605-1000</t>
  </si>
  <si>
    <t xml:space="preserve">http://dj-ja.es.kr</t>
  </si>
  <si>
    <r>
      <rPr>
        <sz val="10"/>
        <rFont val="Noto Sans CJK SC"/>
        <family val="2"/>
      </rPr>
      <t xml:space="preserve">부산광역시 강서구 에코델타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23</t>
    </r>
  </si>
  <si>
    <t xml:space="preserve">신명초등학교</t>
  </si>
  <si>
    <t xml:space="preserve">051-792-1200</t>
  </si>
  <si>
    <t xml:space="preserve">http://bssm.es.kr</t>
  </si>
  <si>
    <r>
      <rPr>
        <sz val="10"/>
        <rFont val="Noto Sans CJK SC"/>
        <family val="2"/>
      </rPr>
      <t xml:space="preserve">부산광역시 강서구 명지국제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178</t>
    </r>
  </si>
  <si>
    <t xml:space="preserve">오션중학교</t>
  </si>
  <si>
    <t xml:space="preserve">051-609-1700</t>
  </si>
  <si>
    <t xml:space="preserve">http://ocean.ms.kr</t>
  </si>
  <si>
    <r>
      <rPr>
        <sz val="10"/>
        <rFont val="Noto Sans CJK SC"/>
        <family val="2"/>
      </rPr>
      <t xml:space="preserve">부산광역시 강서구 명지오션시티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221</t>
    </r>
  </si>
  <si>
    <t xml:space="preserve">명덕초등학교</t>
  </si>
  <si>
    <t xml:space="preserve">051-330-6800</t>
  </si>
  <si>
    <t xml:space="preserve">http://myd.es.kr</t>
  </si>
  <si>
    <r>
      <rPr>
        <sz val="10"/>
        <rFont val="Noto Sans CJK SC"/>
        <family val="2"/>
      </rPr>
      <t xml:space="preserve">부산광역시 북구 금곡대로</t>
    </r>
    <r>
      <rPr>
        <sz val="10"/>
        <rFont val="맑은 고딕"/>
        <family val="0"/>
        <charset val="1"/>
      </rPr>
      <t xml:space="preserve">186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43</t>
    </r>
  </si>
  <si>
    <t xml:space="preserve">구학초등학교</t>
  </si>
  <si>
    <t xml:space="preserve">051-313-3892</t>
  </si>
  <si>
    <t xml:space="preserve">http://www.guhag.es.kr</t>
  </si>
  <si>
    <r>
      <rPr>
        <sz val="10"/>
        <rFont val="Noto Sans CJK SC"/>
        <family val="2"/>
      </rPr>
      <t xml:space="preserve">부산광역시 사상구 학감대로 </t>
    </r>
    <r>
      <rPr>
        <sz val="10"/>
        <rFont val="맑은 고딕"/>
        <family val="0"/>
        <charset val="1"/>
      </rPr>
      <t xml:space="preserve">49</t>
    </r>
  </si>
  <si>
    <t xml:space="preserve">모덕초등학교</t>
  </si>
  <si>
    <t xml:space="preserve">051-320-0800</t>
  </si>
  <si>
    <t xml:space="preserve">http://school.busanedu.net/modeok-e</t>
  </si>
  <si>
    <r>
      <rPr>
        <sz val="10"/>
        <rFont val="Noto Sans CJK SC"/>
        <family val="2"/>
      </rPr>
      <t xml:space="preserve">부산광역시 사상구 덕상로 </t>
    </r>
    <r>
      <rPr>
        <sz val="10"/>
        <rFont val="맑은 고딕"/>
        <family val="0"/>
        <charset val="1"/>
      </rPr>
      <t xml:space="preserve">120</t>
    </r>
  </si>
  <si>
    <t xml:space="preserve">엄궁초등학교</t>
  </si>
  <si>
    <t xml:space="preserve">051-323-6840</t>
  </si>
  <si>
    <t xml:space="preserve">http://www.omgung.es.kr</t>
  </si>
  <si>
    <r>
      <rPr>
        <sz val="10"/>
        <rFont val="Noto Sans CJK SC"/>
        <family val="2"/>
      </rPr>
      <t xml:space="preserve">부산광역시 사상구 엄궁로</t>
    </r>
    <r>
      <rPr>
        <sz val="10"/>
        <rFont val="맑은 고딕"/>
        <family val="0"/>
        <charset val="1"/>
      </rPr>
      <t xml:space="preserve">191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23</t>
    </r>
  </si>
  <si>
    <t xml:space="preserve">옥천초등학교</t>
  </si>
  <si>
    <t xml:space="preserve">051-200-0600</t>
  </si>
  <si>
    <t xml:space="preserve">http://okchun.es.kr</t>
  </si>
  <si>
    <r>
      <rPr>
        <sz val="10"/>
        <rFont val="Noto Sans CJK SC"/>
        <family val="2"/>
      </rPr>
      <t xml:space="preserve">부산광역시 사하구 사하로 </t>
    </r>
    <r>
      <rPr>
        <sz val="10"/>
        <rFont val="맑은 고딕"/>
        <family val="0"/>
        <charset val="1"/>
      </rPr>
      <t xml:space="preserve">134</t>
    </r>
  </si>
  <si>
    <t xml:space="preserve">효림초등학교</t>
  </si>
  <si>
    <t xml:space="preserve">051-261-5220</t>
  </si>
  <si>
    <t xml:space="preserve">http://hyorim.es.kr</t>
  </si>
  <si>
    <r>
      <rPr>
        <sz val="10"/>
        <rFont val="Noto Sans CJK SC"/>
        <family val="2"/>
      </rPr>
      <t xml:space="preserve">부산광역시 사하구 장평로 </t>
    </r>
    <r>
      <rPr>
        <sz val="10"/>
        <rFont val="맑은 고딕"/>
        <family val="0"/>
        <charset val="1"/>
      </rPr>
      <t xml:space="preserve">106</t>
    </r>
  </si>
  <si>
    <t xml:space="preserve">사하중학교</t>
  </si>
  <si>
    <t xml:space="preserve">051-602-0102</t>
  </si>
  <si>
    <t xml:space="preserve">http://saha.ms.kr</t>
  </si>
  <si>
    <r>
      <rPr>
        <sz val="10"/>
        <rFont val="Noto Sans CJK SC"/>
        <family val="2"/>
      </rPr>
      <t xml:space="preserve">부산광역시 사하구 낙동대로</t>
    </r>
    <r>
      <rPr>
        <sz val="10"/>
        <rFont val="맑은 고딕"/>
        <family val="0"/>
        <charset val="1"/>
      </rPr>
      <t xml:space="preserve">302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35</t>
    </r>
  </si>
  <si>
    <t xml:space="preserve">부민초등학교</t>
  </si>
  <si>
    <t xml:space="preserve">051-603-2100</t>
  </si>
  <si>
    <t xml:space="preserve">http://www.bumin.es.kr</t>
  </si>
  <si>
    <r>
      <rPr>
        <sz val="10"/>
        <rFont val="Noto Sans CJK SC"/>
        <family val="2"/>
      </rPr>
      <t xml:space="preserve">부산광역시 서구 고운들로 </t>
    </r>
    <r>
      <rPr>
        <sz val="10"/>
        <rFont val="맑은 고딕"/>
        <family val="0"/>
        <charset val="1"/>
      </rPr>
      <t xml:space="preserve">12</t>
    </r>
  </si>
  <si>
    <t xml:space="preserve">남항초등학교</t>
  </si>
  <si>
    <t xml:space="preserve">051-417-4142</t>
  </si>
  <si>
    <t xml:space="preserve">http://namhang.es.kr</t>
  </si>
  <si>
    <r>
      <rPr>
        <sz val="10"/>
        <rFont val="Noto Sans CJK SC"/>
        <family val="2"/>
      </rPr>
      <t xml:space="preserve">부산광역시 영도구 남항새싹길 </t>
    </r>
    <r>
      <rPr>
        <sz val="10"/>
        <rFont val="맑은 고딕"/>
        <family val="0"/>
        <charset val="1"/>
      </rPr>
      <t xml:space="preserve">55</t>
    </r>
  </si>
  <si>
    <t xml:space="preserve">남성초등학교</t>
  </si>
  <si>
    <t xml:space="preserve">051-469-7963</t>
  </si>
  <si>
    <t xml:space="preserve">http://www.nisb.kr</t>
  </si>
  <si>
    <r>
      <rPr>
        <sz val="10"/>
        <rFont val="Noto Sans CJK SC"/>
        <family val="2"/>
      </rPr>
      <t xml:space="preserve">부산광역시 중구 샘길 </t>
    </r>
    <r>
      <rPr>
        <sz val="10"/>
        <rFont val="맑은 고딕"/>
        <family val="0"/>
        <charset val="1"/>
      </rPr>
      <t xml:space="preserve">14</t>
    </r>
  </si>
  <si>
    <t xml:space="preserve">051-790-8100</t>
  </si>
  <si>
    <t xml:space="preserve">http://www.deogweon.ms.kr</t>
  </si>
  <si>
    <r>
      <rPr>
        <sz val="10"/>
        <rFont val="Noto Sans CJK SC"/>
        <family val="2"/>
      </rPr>
      <t xml:space="preserve">부산광역시 중구 망양로 </t>
    </r>
    <r>
      <rPr>
        <sz val="10"/>
        <rFont val="맑은 고딕"/>
        <family val="0"/>
        <charset val="1"/>
      </rPr>
      <t xml:space="preserve">356</t>
    </r>
  </si>
  <si>
    <t xml:space="preserve">광안초등학교</t>
  </si>
  <si>
    <t xml:space="preserve">051-790-2200</t>
  </si>
  <si>
    <t xml:space="preserve">http://www.kwangan.es.kr</t>
  </si>
  <si>
    <r>
      <rPr>
        <sz val="10"/>
        <rFont val="Noto Sans CJK SC"/>
        <family val="2"/>
      </rPr>
      <t xml:space="preserve">부산광역시 수영구 광안로</t>
    </r>
    <r>
      <rPr>
        <sz val="10"/>
        <rFont val="맑은 고딕"/>
        <family val="0"/>
        <charset val="1"/>
      </rPr>
      <t xml:space="preserve">35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42</t>
    </r>
  </si>
  <si>
    <t xml:space="preserve">한바다중학교</t>
  </si>
  <si>
    <t xml:space="preserve">051-760-0700</t>
  </si>
  <si>
    <t xml:space="preserve">http://hanbada.ms.kr</t>
  </si>
  <si>
    <r>
      <rPr>
        <sz val="10"/>
        <rFont val="Noto Sans CJK SC"/>
        <family val="2"/>
      </rPr>
      <t xml:space="preserve">부산광역시 수영구 광안로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번가길 </t>
    </r>
    <r>
      <rPr>
        <sz val="10"/>
        <rFont val="맑은 고딕"/>
        <family val="0"/>
        <charset val="1"/>
      </rPr>
      <t xml:space="preserve">57</t>
    </r>
  </si>
  <si>
    <t xml:space="preserve">반산초등학교</t>
  </si>
  <si>
    <t xml:space="preserve">051-780-2000</t>
  </si>
  <si>
    <t xml:space="preserve">http://www.bansan.es.kr</t>
  </si>
  <si>
    <r>
      <rPr>
        <sz val="10"/>
        <rFont val="Noto Sans CJK SC"/>
        <family val="2"/>
      </rPr>
      <t xml:space="preserve">부산광역시 해운대구 재반로 </t>
    </r>
    <r>
      <rPr>
        <sz val="10"/>
        <rFont val="맑은 고딕"/>
        <family val="0"/>
        <charset val="1"/>
      </rPr>
      <t xml:space="preserve">171</t>
    </r>
  </si>
  <si>
    <t xml:space="preserve">송운초등학교</t>
  </si>
  <si>
    <t xml:space="preserve">051-540-2600</t>
  </si>
  <si>
    <t xml:space="preserve">http://songun.es.kr</t>
  </si>
  <si>
    <r>
      <rPr>
        <sz val="10"/>
        <rFont val="Noto Sans CJK SC"/>
        <family val="2"/>
      </rPr>
      <t xml:space="preserve">부산광역시 해운대구 신반송로 </t>
    </r>
    <r>
      <rPr>
        <sz val="10"/>
        <rFont val="맑은 고딕"/>
        <family val="0"/>
        <charset val="1"/>
      </rPr>
      <t xml:space="preserve">20</t>
    </r>
  </si>
  <si>
    <t xml:space="preserve">양운중학교</t>
  </si>
  <si>
    <t xml:space="preserve">051-720-4600</t>
  </si>
  <si>
    <t xml:space="preserve">http://school.busanedu.net/yangun-m/main.do</t>
  </si>
  <si>
    <r>
      <rPr>
        <sz val="10"/>
        <rFont val="Noto Sans CJK SC"/>
        <family val="2"/>
      </rPr>
      <t xml:space="preserve">부산광역시 해운대구 좌동순환로</t>
    </r>
    <r>
      <rPr>
        <sz val="10"/>
        <rFont val="맑은 고딕"/>
        <family val="0"/>
        <charset val="1"/>
      </rPr>
      <t xml:space="preserve">99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7</t>
    </r>
  </si>
  <si>
    <t xml:space="preserve">경일여자고등학교</t>
  </si>
  <si>
    <t xml:space="preserve">053-235-7500</t>
  </si>
  <si>
    <t xml:space="preserve">http://g-il.dge.hs.kr</t>
  </si>
  <si>
    <t xml:space="preserve">협성고등학교</t>
  </si>
  <si>
    <t xml:space="preserve">053-235-6166</t>
  </si>
  <si>
    <t xml:space="preserve">http://hyupsung.dge.hs.kr</t>
  </si>
  <si>
    <t xml:space="preserve">경원고등학교</t>
  </si>
  <si>
    <t xml:space="preserve">053-235-5600</t>
  </si>
  <si>
    <t xml:space="preserve">http://www.kwh.dge.hs.kr</t>
  </si>
  <si>
    <r>
      <rPr>
        <sz val="10"/>
        <rFont val="Noto Sans CJK SC"/>
        <family val="2"/>
      </rPr>
      <t xml:space="preserve">대구광역시 달서구 새방로 </t>
    </r>
    <r>
      <rPr>
        <sz val="10"/>
        <rFont val="맑은 고딕"/>
        <family val="0"/>
        <charset val="1"/>
      </rPr>
      <t xml:space="preserve">77</t>
    </r>
  </si>
  <si>
    <t xml:space="preserve">경화여자고등학교</t>
  </si>
  <si>
    <t xml:space="preserve">053-235-7577</t>
  </si>
  <si>
    <t xml:space="preserve">http://kyonghwa.dge.hs.kr</t>
  </si>
  <si>
    <t xml:space="preserve">대곡고등학교</t>
  </si>
  <si>
    <t xml:space="preserve">053-231-5668</t>
  </si>
  <si>
    <t xml:space="preserve">http://daegok.dge.hs.kr</t>
  </si>
  <si>
    <r>
      <rPr>
        <sz val="10"/>
        <rFont val="Noto Sans CJK SC"/>
        <family val="2"/>
      </rPr>
      <t xml:space="preserve">대구광역시 달서구 도원남로 </t>
    </r>
    <r>
      <rPr>
        <sz val="10"/>
        <rFont val="맑은 고딕"/>
        <family val="0"/>
        <charset val="1"/>
      </rPr>
      <t xml:space="preserve">80</t>
    </r>
  </si>
  <si>
    <t xml:space="preserve">대구보건고등학교</t>
  </si>
  <si>
    <t xml:space="preserve">053-235-9501</t>
  </si>
  <si>
    <t xml:space="preserve">http://dg-health.dge.hs.kr</t>
  </si>
  <si>
    <r>
      <rPr>
        <sz val="10"/>
        <rFont val="Noto Sans CJK SC"/>
        <family val="2"/>
      </rPr>
      <t xml:space="preserve">대구광역시 달서구 두류남길 </t>
    </r>
    <r>
      <rPr>
        <sz val="10"/>
        <rFont val="맑은 고딕"/>
        <family val="0"/>
        <charset val="1"/>
      </rPr>
      <t xml:space="preserve">10</t>
    </r>
  </si>
  <si>
    <t xml:space="preserve">053-231-6572</t>
  </si>
  <si>
    <t xml:space="preserve">http://www.dj.dge.hs.kr</t>
  </si>
  <si>
    <r>
      <rPr>
        <sz val="10"/>
        <rFont val="Noto Sans CJK SC"/>
        <family val="2"/>
      </rPr>
      <t xml:space="preserve">대구광역시 달서구 화암로</t>
    </r>
    <r>
      <rPr>
        <sz val="10"/>
        <rFont val="맑은 고딕"/>
        <family val="0"/>
        <charset val="1"/>
      </rPr>
      <t xml:space="preserve">73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15</t>
    </r>
  </si>
  <si>
    <t xml:space="preserve">도원고등학교</t>
  </si>
  <si>
    <t xml:space="preserve">053-231-6000</t>
  </si>
  <si>
    <t xml:space="preserve">http://dowon.dge.hs.kr</t>
  </si>
  <si>
    <r>
      <rPr>
        <sz val="10"/>
        <rFont val="Noto Sans CJK SC"/>
        <family val="2"/>
      </rPr>
      <t xml:space="preserve">대구광역시 달서구 미리샘길 </t>
    </r>
    <r>
      <rPr>
        <sz val="10"/>
        <rFont val="맑은 고딕"/>
        <family val="0"/>
        <charset val="1"/>
      </rPr>
      <t xml:space="preserve">52</t>
    </r>
  </si>
  <si>
    <t xml:space="preserve">상서고등학교</t>
  </si>
  <si>
    <t xml:space="preserve">053-235-9550</t>
  </si>
  <si>
    <t xml:space="preserve">http://sangsuh.dge.hs.kr</t>
  </si>
  <si>
    <r>
      <rPr>
        <sz val="10"/>
        <rFont val="Noto Sans CJK SC"/>
        <family val="2"/>
      </rPr>
      <t xml:space="preserve">대구광역시 달서구 야외음악당로 </t>
    </r>
    <r>
      <rPr>
        <sz val="10"/>
        <rFont val="맑은 고딕"/>
        <family val="0"/>
        <charset val="1"/>
      </rPr>
      <t xml:space="preserve">107</t>
    </r>
  </si>
  <si>
    <t xml:space="preserve">송현여자고등학교</t>
  </si>
  <si>
    <t xml:space="preserve">053-235-7800</t>
  </si>
  <si>
    <t xml:space="preserve">http://songhyun.dge.hs.kr</t>
  </si>
  <si>
    <t xml:space="preserve">효성여자고등학교</t>
  </si>
  <si>
    <t xml:space="preserve">053-235-7000</t>
  </si>
  <si>
    <t xml:space="preserve">http://hyo-sung.dge.hs.kr</t>
  </si>
  <si>
    <r>
      <rPr>
        <sz val="10"/>
        <rFont val="Noto Sans CJK SC"/>
        <family val="2"/>
      </rPr>
      <t xml:space="preserve">대구광역시 달서구 월곡로</t>
    </r>
    <r>
      <rPr>
        <sz val="10"/>
        <rFont val="맑은 고딕"/>
        <family val="0"/>
        <charset val="1"/>
      </rPr>
      <t xml:space="preserve">94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48</t>
    </r>
  </si>
  <si>
    <t xml:space="preserve">달서고등학교</t>
  </si>
  <si>
    <t xml:space="preserve">053-235-6400</t>
  </si>
  <si>
    <t xml:space="preserve">http://dalseo.dge.hs.kr</t>
  </si>
  <si>
    <t xml:space="preserve">대구소프트웨어마이스터고등학교</t>
  </si>
  <si>
    <t xml:space="preserve">053-231-9226</t>
  </si>
  <si>
    <t xml:space="preserve">http://www.dgsw.hs.kr</t>
  </si>
  <si>
    <r>
      <rPr>
        <sz val="10"/>
        <rFont val="Noto Sans CJK SC"/>
        <family val="2"/>
      </rPr>
      <t xml:space="preserve">대구광역시 달성군 구지면 창리로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93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</si>
  <si>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소프트웨어마이스터고등학교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</si>
  <si>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053-234-9420</t>
  </si>
  <si>
    <t xml:space="preserve">http://daewon.dge.hs.kr</t>
  </si>
  <si>
    <r>
      <rPr>
        <sz val="10"/>
        <rFont val="Noto Sans CJK SC"/>
        <family val="2"/>
      </rPr>
      <t xml:space="preserve">대구광역시 달성군 화원읍 비슬로 </t>
    </r>
    <r>
      <rPr>
        <sz val="10"/>
        <rFont val="맑은 고딕"/>
        <family val="0"/>
        <charset val="1"/>
      </rPr>
      <t xml:space="preserve">2658</t>
    </r>
  </si>
  <si>
    <t xml:space="preserve">심인고등학교</t>
  </si>
  <si>
    <t xml:space="preserve">053-235-5101</t>
  </si>
  <si>
    <t xml:space="preserve">http://simin.dge.hs.kr</t>
  </si>
  <si>
    <r>
      <rPr>
        <sz val="10"/>
        <rFont val="Noto Sans CJK SC"/>
        <family val="2"/>
      </rPr>
      <t xml:space="preserve">대구광역시 달성군 다사읍 대실역남로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</t>
    </r>
  </si>
  <si>
    <t xml:space="preserve">현풍고등학교</t>
  </si>
  <si>
    <t xml:space="preserve">053-235-6249</t>
  </si>
  <si>
    <t xml:space="preserve">http://hyunpung.dge.hs.kr</t>
  </si>
  <si>
    <t xml:space="preserve">조일고등학교</t>
  </si>
  <si>
    <t xml:space="preserve">053-235-9000</t>
  </si>
  <si>
    <t xml:space="preserve">http://choil.dge.hs.kr</t>
  </si>
  <si>
    <r>
      <rPr>
        <sz val="10"/>
        <rFont val="Noto Sans CJK SC"/>
        <family val="2"/>
      </rPr>
      <t xml:space="preserve">대구광역시 동구 신덕로 </t>
    </r>
    <r>
      <rPr>
        <sz val="10"/>
        <rFont val="맑은 고딕"/>
        <family val="0"/>
        <charset val="1"/>
      </rPr>
      <t xml:space="preserve">136-11</t>
    </r>
  </si>
  <si>
    <t xml:space="preserve">경상고등학교</t>
  </si>
  <si>
    <t xml:space="preserve">053-235-6011</t>
  </si>
  <si>
    <t xml:space="preserve">http://gyeongsang.dge.hs.kr</t>
  </si>
  <si>
    <r>
      <rPr>
        <sz val="10"/>
        <rFont val="Noto Sans CJK SC"/>
        <family val="2"/>
      </rPr>
      <t xml:space="preserve">대구광역시 북구 공항로</t>
    </r>
    <r>
      <rPr>
        <sz val="10"/>
        <rFont val="맑은 고딕"/>
        <family val="0"/>
        <charset val="1"/>
      </rPr>
      <t xml:space="preserve">15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24</t>
    </r>
  </si>
  <si>
    <t xml:space="preserve">구암고등학교</t>
  </si>
  <si>
    <t xml:space="preserve">053-231-4500</t>
  </si>
  <si>
    <t xml:space="preserve">http://guam.dge.hs.kr</t>
  </si>
  <si>
    <r>
      <rPr>
        <sz val="10"/>
        <rFont val="Noto Sans CJK SC"/>
        <family val="2"/>
      </rPr>
      <t xml:space="preserve">대구광역시 북구 태암남로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7</t>
    </r>
  </si>
  <si>
    <t xml:space="preserve">성광고등학교</t>
  </si>
  <si>
    <t xml:space="preserve">053-235-4785</t>
  </si>
  <si>
    <t xml:space="preserve">http://seonggwang.dge.hs.kr</t>
  </si>
  <si>
    <t xml:space="preserve">영송여자고등학교</t>
  </si>
  <si>
    <t xml:space="preserve">053-235-8170</t>
  </si>
  <si>
    <t xml:space="preserve">http://youngsong.dge.hs.kr</t>
  </si>
  <si>
    <r>
      <rPr>
        <sz val="10"/>
        <rFont val="Noto Sans CJK SC"/>
        <family val="2"/>
      </rPr>
      <t xml:space="preserve">대구광역시 북구 태전로 </t>
    </r>
    <r>
      <rPr>
        <sz val="10"/>
        <rFont val="맑은 고딕"/>
        <family val="0"/>
        <charset val="1"/>
      </rPr>
      <t xml:space="preserve">92</t>
    </r>
  </si>
  <si>
    <t xml:space="preserve">영진고등학교</t>
  </si>
  <si>
    <t xml:space="preserve">053-235-5500</t>
  </si>
  <si>
    <t xml:space="preserve">http://yeungjin.dge.hs.kr</t>
  </si>
  <si>
    <r>
      <rPr>
        <sz val="10"/>
        <rFont val="Noto Sans CJK SC"/>
        <family val="2"/>
      </rPr>
      <t xml:space="preserve">대구광역시 북구 동북로</t>
    </r>
    <r>
      <rPr>
        <sz val="10"/>
        <rFont val="맑은 고딕"/>
        <family val="0"/>
        <charset val="1"/>
      </rPr>
      <t xml:space="preserve">57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9</t>
    </r>
  </si>
  <si>
    <t xml:space="preserve">칠성고등학교</t>
  </si>
  <si>
    <t xml:space="preserve">053-231-6910</t>
  </si>
  <si>
    <t xml:space="preserve">http://chilseong.dge.hs.kr</t>
  </si>
  <si>
    <r>
      <rPr>
        <sz val="10"/>
        <rFont val="Noto Sans CJK SC"/>
        <family val="2"/>
      </rPr>
      <t xml:space="preserve">대구광역시 북구 칠성로 </t>
    </r>
    <r>
      <rPr>
        <sz val="10"/>
        <rFont val="맑은 고딕"/>
        <family val="0"/>
        <charset val="1"/>
      </rPr>
      <t xml:space="preserve">13</t>
    </r>
  </si>
  <si>
    <t xml:space="preserve">학남고등학교</t>
  </si>
  <si>
    <t xml:space="preserve">053-231-5870</t>
  </si>
  <si>
    <t xml:space="preserve">http://haknam.dge.hs.kr</t>
  </si>
  <si>
    <r>
      <rPr>
        <sz val="10"/>
        <rFont val="Noto Sans CJK SC"/>
        <family val="2"/>
      </rPr>
      <t xml:space="preserve">대구광역시 북구 학남로 </t>
    </r>
    <r>
      <rPr>
        <sz val="10"/>
        <rFont val="맑은 고딕"/>
        <family val="0"/>
        <charset val="1"/>
      </rPr>
      <t xml:space="preserve">78</t>
    </r>
  </si>
  <si>
    <t xml:space="preserve">함지고등학교</t>
  </si>
  <si>
    <t xml:space="preserve">053-231-6840</t>
  </si>
  <si>
    <t xml:space="preserve">http://www.hamji.dge.hs.kr</t>
  </si>
  <si>
    <r>
      <rPr>
        <sz val="10"/>
        <rFont val="Noto Sans CJK SC"/>
        <family val="2"/>
      </rPr>
      <t xml:space="preserve">대구광역시 북구 학정로</t>
    </r>
    <r>
      <rPr>
        <sz val="10"/>
        <rFont val="맑은 고딕"/>
        <family val="0"/>
        <charset val="1"/>
      </rPr>
      <t xml:space="preserve">48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46</t>
    </r>
  </si>
  <si>
    <t xml:space="preserve">대구제일고등학교</t>
  </si>
  <si>
    <t xml:space="preserve">053-235-6807</t>
  </si>
  <si>
    <t xml:space="preserve">http://dgjeil.dge.hs.kr</t>
  </si>
  <si>
    <t xml:space="preserve">경신고등학교</t>
  </si>
  <si>
    <t xml:space="preserve">053-233-9600</t>
  </si>
  <si>
    <t xml:space="preserve">http://gyeongsin.dge.hs.kr</t>
  </si>
  <si>
    <r>
      <rPr>
        <sz val="10"/>
        <rFont val="Noto Sans CJK SC"/>
        <family val="2"/>
      </rPr>
      <t xml:space="preserve">대구광역시 수성구 달구벌대로</t>
    </r>
    <r>
      <rPr>
        <sz val="10"/>
        <rFont val="맑은 고딕"/>
        <family val="0"/>
        <charset val="1"/>
      </rPr>
      <t xml:space="preserve">504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34</t>
    </r>
  </si>
  <si>
    <t xml:space="preserve">능인고등학교</t>
  </si>
  <si>
    <t xml:space="preserve">053-235-4420</t>
  </si>
  <si>
    <t xml:space="preserve">http://neungin.dge.hs.kr</t>
  </si>
  <si>
    <r>
      <rPr>
        <sz val="10"/>
        <rFont val="Noto Sans CJK SC"/>
        <family val="2"/>
      </rPr>
      <t xml:space="preserve">대구광역시 수성구 무학로 </t>
    </r>
    <r>
      <rPr>
        <sz val="10"/>
        <rFont val="맑은 고딕"/>
        <family val="0"/>
        <charset val="1"/>
      </rPr>
      <t xml:space="preserve">207</t>
    </r>
  </si>
  <si>
    <t xml:space="preserve">대륜고등학교</t>
  </si>
  <si>
    <t xml:space="preserve">053-756-9501</t>
  </si>
  <si>
    <t xml:space="preserve">http://daeryun.dge.hs.kr</t>
  </si>
  <si>
    <t xml:space="preserve">영남공업고등학교</t>
  </si>
  <si>
    <t xml:space="preserve">053-235-8600</t>
  </si>
  <si>
    <t xml:space="preserve">http://ynth.dge.hs.kr</t>
  </si>
  <si>
    <r>
      <rPr>
        <sz val="10"/>
        <rFont val="Noto Sans CJK SC"/>
        <family val="2"/>
      </rPr>
      <t xml:space="preserve">대구광역시 수성구 교학로 </t>
    </r>
    <r>
      <rPr>
        <sz val="10"/>
        <rFont val="맑은 고딕"/>
        <family val="0"/>
        <charset val="1"/>
      </rPr>
      <t xml:space="preserve">96</t>
    </r>
  </si>
  <si>
    <t xml:space="preserve">오성고등학교</t>
  </si>
  <si>
    <t xml:space="preserve">053-235-5200</t>
  </si>
  <si>
    <t xml:space="preserve">http://osung.dge.hs.kr</t>
  </si>
  <si>
    <r>
      <rPr>
        <sz val="10"/>
        <rFont val="Noto Sans CJK SC"/>
        <family val="2"/>
      </rPr>
      <t xml:space="preserve">대구광역시 수성구 달구벌대로</t>
    </r>
    <r>
      <rPr>
        <sz val="10"/>
        <rFont val="맑은 고딕"/>
        <family val="0"/>
        <charset val="1"/>
      </rPr>
      <t xml:space="preserve">522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78</t>
    </r>
  </si>
  <si>
    <t xml:space="preserve">정화여자고등학교</t>
  </si>
  <si>
    <t xml:space="preserve">053-235-7311</t>
  </si>
  <si>
    <t xml:space="preserve">http://www.junghwa.dge.hs.kr</t>
  </si>
  <si>
    <r>
      <rPr>
        <sz val="10"/>
        <rFont val="Noto Sans CJK SC"/>
        <family val="2"/>
      </rPr>
      <t xml:space="preserve">대구광역시 수성구 청호로</t>
    </r>
    <r>
      <rPr>
        <sz val="10"/>
        <rFont val="맑은 고딕"/>
        <family val="0"/>
        <charset val="1"/>
      </rPr>
      <t xml:space="preserve">84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123</t>
    </r>
  </si>
  <si>
    <t xml:space="preserve">신명고등학교</t>
  </si>
  <si>
    <t xml:space="preserve">053-235-8440</t>
  </si>
  <si>
    <t xml:space="preserve">http://sm.dge.hs.kr</t>
  </si>
  <si>
    <r>
      <rPr>
        <sz val="10"/>
        <rFont val="Noto Sans CJK SC"/>
        <family val="2"/>
      </rPr>
      <t xml:space="preserve">대구광역시 중구 국채보상로</t>
    </r>
    <r>
      <rPr>
        <sz val="10"/>
        <rFont val="맑은 고딕"/>
        <family val="0"/>
        <charset val="1"/>
      </rPr>
      <t xml:space="preserve">102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48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</si>
  <si>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군위초등학교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</si>
  <si>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남대구초등학교</t>
  </si>
  <si>
    <t xml:space="preserve">053-234-1711</t>
  </si>
  <si>
    <t xml:space="preserve">http://www.ndg.dge.es.kr</t>
  </si>
  <si>
    <r>
      <rPr>
        <sz val="10"/>
        <rFont val="Noto Sans CJK SC"/>
        <family val="2"/>
      </rPr>
      <t xml:space="preserve">대구광역시 남구 중앙대로</t>
    </r>
    <r>
      <rPr>
        <sz val="10"/>
        <rFont val="맑은 고딕"/>
        <family val="0"/>
        <charset val="1"/>
      </rPr>
      <t xml:space="preserve">47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55</t>
    </r>
  </si>
  <si>
    <t xml:space="preserve">대구영선초등학교</t>
  </si>
  <si>
    <t xml:space="preserve">053-234-0520</t>
  </si>
  <si>
    <t xml:space="preserve">http://youngsun.dge.es.kr</t>
  </si>
  <si>
    <r>
      <rPr>
        <sz val="10"/>
        <rFont val="Noto Sans CJK SC"/>
        <family val="2"/>
      </rPr>
      <t xml:space="preserve">대구광역시 남구 영선길 </t>
    </r>
    <r>
      <rPr>
        <sz val="10"/>
        <rFont val="맑은 고딕"/>
        <family val="0"/>
        <charset val="1"/>
      </rPr>
      <t xml:space="preserve">96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</si>
  <si>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영선초등학교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</si>
  <si>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대구대남초등학교</t>
  </si>
  <si>
    <t xml:space="preserve">053-234-2113</t>
  </si>
  <si>
    <t xml:space="preserve">http://daenam.dge.es.kr</t>
  </si>
  <si>
    <r>
      <rPr>
        <sz val="10"/>
        <rFont val="Noto Sans CJK SC"/>
        <family val="2"/>
      </rPr>
      <t xml:space="preserve">대구광역시 달서구 월배로</t>
    </r>
    <r>
      <rPr>
        <sz val="10"/>
        <rFont val="맑은 고딕"/>
        <family val="0"/>
        <charset val="1"/>
      </rPr>
      <t xml:space="preserve">68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91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</si>
  <si>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대남초등학교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</si>
  <si>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대구성당초등학교</t>
  </si>
  <si>
    <t xml:space="preserve">053-234-1904</t>
  </si>
  <si>
    <t xml:space="preserve">http://seongdang.dge.es.kr</t>
  </si>
  <si>
    <r>
      <rPr>
        <sz val="10"/>
        <rFont val="Noto Sans CJK SC"/>
        <family val="2"/>
      </rPr>
      <t xml:space="preserve">대구광역시 달서구 대명천로 </t>
    </r>
    <r>
      <rPr>
        <sz val="10"/>
        <rFont val="맑은 고딕"/>
        <family val="0"/>
        <charset val="1"/>
      </rPr>
      <t xml:space="preserve">118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</si>
  <si>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성당초등학교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</si>
  <si>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대구성산초등학교</t>
  </si>
  <si>
    <t xml:space="preserve">053-234-3725</t>
  </si>
  <si>
    <t xml:space="preserve">http://sungsan.dge.es.kr</t>
  </si>
  <si>
    <r>
      <rPr>
        <sz val="10"/>
        <rFont val="Noto Sans CJK SC"/>
        <family val="2"/>
      </rPr>
      <t xml:space="preserve">대구광역시 달서구 선원남로 </t>
    </r>
    <r>
      <rPr>
        <sz val="10"/>
        <rFont val="맑은 고딕"/>
        <family val="0"/>
        <charset val="1"/>
      </rPr>
      <t xml:space="preserve">173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</si>
  <si>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성산초등학교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</si>
  <si>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대구신서초등학교</t>
  </si>
  <si>
    <t xml:space="preserve">053-234-3820</t>
  </si>
  <si>
    <t xml:space="preserve">http://shinseo.dge.es.kr</t>
  </si>
  <si>
    <r>
      <rPr>
        <sz val="10"/>
        <rFont val="Noto Sans CJK SC"/>
        <family val="2"/>
      </rPr>
      <t xml:space="preserve">대구광역시 달서구 계대동문로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46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</si>
  <si>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신서초등학교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</si>
  <si>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대구신월초등학교</t>
  </si>
  <si>
    <t xml:space="preserve">053-234-5000</t>
  </si>
  <si>
    <t xml:space="preserve">http://sinwol.dge.es.kr</t>
  </si>
  <si>
    <r>
      <rPr>
        <sz val="10"/>
        <rFont val="Noto Sans CJK SC"/>
        <family val="2"/>
      </rPr>
      <t xml:space="preserve">대구광역시 달서구 조암남로 </t>
    </r>
    <r>
      <rPr>
        <sz val="10"/>
        <rFont val="맑은 고딕"/>
        <family val="0"/>
        <charset val="1"/>
      </rPr>
      <t xml:space="preserve">100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</si>
  <si>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신월초등학교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</si>
  <si>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대구월배초등학교</t>
  </si>
  <si>
    <t xml:space="preserve">053-234-1406</t>
  </si>
  <si>
    <t xml:space="preserve">http://wolbae.dge.es.kr</t>
  </si>
  <si>
    <r>
      <rPr>
        <sz val="10"/>
        <rFont val="Noto Sans CJK SC"/>
        <family val="2"/>
      </rPr>
      <t xml:space="preserve">대구광역시 달서구 월배로 </t>
    </r>
    <r>
      <rPr>
        <sz val="10"/>
        <rFont val="맑은 고딕"/>
        <family val="0"/>
        <charset val="1"/>
      </rPr>
      <t xml:space="preserve">131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</si>
  <si>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월배초등학교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</si>
  <si>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대구유천초등학교</t>
  </si>
  <si>
    <t xml:space="preserve">053-234-4835</t>
  </si>
  <si>
    <t xml:space="preserve">http://yucheon.dge.es.kr</t>
  </si>
  <si>
    <r>
      <rPr>
        <sz val="10"/>
        <rFont val="Noto Sans CJK SC"/>
        <family val="2"/>
      </rPr>
      <t xml:space="preserve">대구광역시 달서구 달서대로 </t>
    </r>
    <r>
      <rPr>
        <sz val="10"/>
        <rFont val="맑은 고딕"/>
        <family val="0"/>
        <charset val="1"/>
      </rPr>
      <t xml:space="preserve">39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</si>
  <si>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유천초등학교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</si>
  <si>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대구진월초등학교</t>
  </si>
  <si>
    <t xml:space="preserve">053-234-2399</t>
  </si>
  <si>
    <t xml:space="preserve">http://jinwol.dge.es.kr</t>
  </si>
  <si>
    <r>
      <rPr>
        <sz val="10"/>
        <rFont val="Noto Sans CJK SC"/>
        <family val="2"/>
      </rPr>
      <t xml:space="preserve">대구광역시 달서구 진천로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32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</si>
  <si>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진월초등학교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</si>
  <si>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대구한실초등학교</t>
  </si>
  <si>
    <t xml:space="preserve">053-234-5800</t>
  </si>
  <si>
    <t xml:space="preserve">http://hansil.dge.es.kr</t>
  </si>
  <si>
    <r>
      <rPr>
        <sz val="10"/>
        <rFont val="Noto Sans CJK SC"/>
        <family val="2"/>
      </rPr>
      <t xml:space="preserve">대구광역시 달서구 한실로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108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</si>
  <si>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한실초등학교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</si>
  <si>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대구호산초등학교</t>
  </si>
  <si>
    <t xml:space="preserve">053-234-4755</t>
  </si>
  <si>
    <t xml:space="preserve">http://hosan.dge.es.kr</t>
  </si>
  <si>
    <r>
      <rPr>
        <sz val="10"/>
        <rFont val="Noto Sans CJK SC"/>
        <family val="2"/>
      </rPr>
      <t xml:space="preserve">대구광역시 달서구 달서대로</t>
    </r>
    <r>
      <rPr>
        <sz val="10"/>
        <rFont val="맑은 고딕"/>
        <family val="0"/>
        <charset val="1"/>
      </rPr>
      <t xml:space="preserve">109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116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</si>
  <si>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호산초등학교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</si>
  <si>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효성초등학교</t>
  </si>
  <si>
    <t xml:space="preserve">053-234-9500</t>
  </si>
  <si>
    <t xml:space="preserve">http://hyoseong.dge.es.kr</t>
  </si>
  <si>
    <r>
      <rPr>
        <sz val="10"/>
        <rFont val="Noto Sans CJK SC"/>
        <family val="2"/>
      </rPr>
      <t xml:space="preserve">대구광역시 달서구 송현로 </t>
    </r>
    <r>
      <rPr>
        <sz val="10"/>
        <rFont val="맑은 고딕"/>
        <family val="0"/>
        <charset val="1"/>
      </rPr>
      <t xml:space="preserve">81</t>
    </r>
  </si>
  <si>
    <t xml:space="preserve">도원중학교</t>
  </si>
  <si>
    <t xml:space="preserve">053-234-7070</t>
  </si>
  <si>
    <t xml:space="preserve">http://dowon.dge.ms.kr</t>
  </si>
  <si>
    <r>
      <rPr>
        <sz val="10"/>
        <rFont val="Noto Sans CJK SC"/>
        <family val="2"/>
      </rPr>
      <t xml:space="preserve">대구광역시 달서구 미리샘길 </t>
    </r>
    <r>
      <rPr>
        <sz val="10"/>
        <rFont val="맑은 고딕"/>
        <family val="0"/>
        <charset val="1"/>
      </rPr>
      <t xml:space="preserve">32</t>
    </r>
  </si>
  <si>
    <t xml:space="preserve">상서중학교</t>
  </si>
  <si>
    <t xml:space="preserve">053-234-9000</t>
  </si>
  <si>
    <t xml:space="preserve">http://sangsuh.dge.ms.kr</t>
  </si>
  <si>
    <t xml:space="preserve">영남중학교</t>
  </si>
  <si>
    <t xml:space="preserve">053-234-8700</t>
  </si>
  <si>
    <t xml:space="preserve">http://yn.dge.ms.kr</t>
  </si>
  <si>
    <r>
      <rPr>
        <sz val="10"/>
        <rFont val="Noto Sans CJK SC"/>
        <family val="2"/>
      </rPr>
      <t xml:space="preserve">대구광역시 달서구 월곡로 </t>
    </r>
    <r>
      <rPr>
        <sz val="10"/>
        <rFont val="맑은 고딕"/>
        <family val="0"/>
        <charset val="1"/>
      </rPr>
      <t xml:space="preserve">300</t>
    </r>
  </si>
  <si>
    <t xml:space="preserve">원화중학교</t>
  </si>
  <si>
    <t xml:space="preserve">053-234-9750</t>
  </si>
  <si>
    <t xml:space="preserve">http://wonhwa.dge.ms.kr</t>
  </si>
  <si>
    <r>
      <rPr>
        <sz val="10"/>
        <rFont val="Noto Sans CJK SC"/>
        <family val="2"/>
      </rPr>
      <t xml:space="preserve">대구광역시 달서구 당산로</t>
    </r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71</t>
    </r>
  </si>
  <si>
    <t xml:space="preserve">효성중학교</t>
  </si>
  <si>
    <t xml:space="preserve">053-234-8900</t>
  </si>
  <si>
    <t xml:space="preserve">http://hyosung.dge.ms.kr</t>
  </si>
  <si>
    <t xml:space="preserve">대구구지초등학교</t>
  </si>
  <si>
    <t xml:space="preserve">053-235-0702</t>
  </si>
  <si>
    <t xml:space="preserve">http://guji.dge.es.kr</t>
  </si>
  <si>
    <r>
      <rPr>
        <sz val="10"/>
        <rFont val="Noto Sans CJK SC"/>
        <family val="2"/>
      </rPr>
      <t xml:space="preserve">대구광역시 달성군 구지면 창리로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45-11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</si>
  <si>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구지초등학교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</si>
  <si>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대구금포초등학교</t>
  </si>
  <si>
    <t xml:space="preserve">053-235-0440</t>
  </si>
  <si>
    <t xml:space="preserve">http://kumpo.dge.es.kr</t>
  </si>
  <si>
    <r>
      <rPr>
        <sz val="10"/>
        <rFont val="Noto Sans CJK SC"/>
        <family val="2"/>
      </rPr>
      <t xml:space="preserve">대구광역시 달성군 논공읍 금포초등길 </t>
    </r>
    <r>
      <rPr>
        <sz val="10"/>
        <rFont val="맑은 고딕"/>
        <family val="0"/>
        <charset val="1"/>
      </rPr>
      <t xml:space="preserve">28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</si>
  <si>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금포초등학교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</si>
  <si>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대구남동초등학교</t>
  </si>
  <si>
    <t xml:space="preserve">053-235-1210</t>
  </si>
  <si>
    <t xml:space="preserve">http://namdong.dge.es.kr</t>
  </si>
  <si>
    <r>
      <rPr>
        <sz val="10"/>
        <rFont val="Noto Sans CJK SC"/>
        <family val="2"/>
      </rPr>
      <t xml:space="preserve">대구광역시 달성군 논공읍 논공로 </t>
    </r>
    <r>
      <rPr>
        <sz val="10"/>
        <rFont val="맑은 고딕"/>
        <family val="0"/>
        <charset val="1"/>
      </rPr>
      <t xml:space="preserve">258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</si>
  <si>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남동초등학교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</si>
  <si>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대구대실초등학교</t>
  </si>
  <si>
    <t xml:space="preserve">053-235-2274</t>
  </si>
  <si>
    <t xml:space="preserve">http://www.daesil.dge.es.kr</t>
  </si>
  <si>
    <r>
      <rPr>
        <sz val="10"/>
        <rFont val="Noto Sans CJK SC"/>
        <family val="2"/>
      </rPr>
      <t xml:space="preserve">대구광역시 달성군 다사읍 대실역남로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31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</si>
  <si>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대실초등학교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</si>
  <si>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대구도림초등학교</t>
  </si>
  <si>
    <t xml:space="preserve">053-235-1681</t>
  </si>
  <si>
    <t xml:space="preserve">http://dorim.dge.es.kr</t>
  </si>
  <si>
    <r>
      <rPr>
        <sz val="10"/>
        <rFont val="Noto Sans CJK SC"/>
        <family val="2"/>
      </rPr>
      <t xml:space="preserve">대구광역시 달성군 다사읍 서재로</t>
    </r>
    <r>
      <rPr>
        <sz val="10"/>
        <rFont val="맑은 고딕"/>
        <family val="0"/>
        <charset val="1"/>
      </rPr>
      <t xml:space="preserve">26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94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</si>
  <si>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도림초등학교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</si>
  <si>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동곡초등학교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</si>
  <si>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대구매곡초등학교</t>
  </si>
  <si>
    <t xml:space="preserve">053-235-1980</t>
  </si>
  <si>
    <t xml:space="preserve">http://maegok.dge.es.kr</t>
  </si>
  <si>
    <r>
      <rPr>
        <sz val="10"/>
        <rFont val="Noto Sans CJK SC"/>
        <family val="2"/>
      </rPr>
      <t xml:space="preserve">대구광역시 달성군 다사읍 대실역북로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</si>
  <si>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매곡초등학교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</si>
  <si>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대구반송초등학교</t>
  </si>
  <si>
    <t xml:space="preserve">053-235-0392</t>
  </si>
  <si>
    <t xml:space="preserve">http://bansong.dge.es.kr</t>
  </si>
  <si>
    <r>
      <rPr>
        <sz val="10"/>
        <rFont val="Noto Sans CJK SC"/>
        <family val="2"/>
      </rPr>
      <t xml:space="preserve">대구광역시 달성군 옥포읍 용연사길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</si>
  <si>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반송초등학교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</si>
  <si>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대구비슬초등학교</t>
  </si>
  <si>
    <t xml:space="preserve">053-235-2405</t>
  </si>
  <si>
    <t xml:space="preserve">http://biseul.dge.es.kr</t>
  </si>
  <si>
    <r>
      <rPr>
        <sz val="10"/>
        <rFont val="Noto Sans CJK SC"/>
        <family val="2"/>
      </rPr>
      <t xml:space="preserve">대구광역시 달성군 유가읍 테크노북로 </t>
    </r>
    <r>
      <rPr>
        <sz val="10"/>
        <rFont val="맑은 고딕"/>
        <family val="0"/>
        <charset val="1"/>
      </rPr>
      <t xml:space="preserve">144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</si>
  <si>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비슬초등학교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</si>
  <si>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대구서동초등학교</t>
  </si>
  <si>
    <t xml:space="preserve">053-233-5770</t>
  </si>
  <si>
    <t xml:space="preserve">http://seodong.dge.es.kr</t>
  </si>
  <si>
    <r>
      <rPr>
        <sz val="10"/>
        <rFont val="Noto Sans CJK SC"/>
        <family val="2"/>
      </rPr>
      <t xml:space="preserve">대구광역시 달성군 다사읍 서재로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55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</si>
  <si>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서동초등학교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</si>
  <si>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대구세천초등학교</t>
  </si>
  <si>
    <t xml:space="preserve">053-235-2473</t>
  </si>
  <si>
    <t xml:space="preserve">http://secheon.dge.es.kr</t>
  </si>
  <si>
    <r>
      <rPr>
        <sz val="10"/>
        <rFont val="Noto Sans CJK SC"/>
        <family val="2"/>
      </rPr>
      <t xml:space="preserve">대구광역시 달성군 다사읍 세천로 </t>
    </r>
    <r>
      <rPr>
        <sz val="10"/>
        <rFont val="맑은 고딕"/>
        <family val="0"/>
        <charset val="1"/>
      </rPr>
      <t xml:space="preserve">182-9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</si>
  <si>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세천초등학교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</si>
  <si>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대구옥포초등학교</t>
  </si>
  <si>
    <t xml:space="preserve">053-235-0303</t>
  </si>
  <si>
    <t xml:space="preserve">http://okpo.dge.es.kr</t>
  </si>
  <si>
    <r>
      <rPr>
        <sz val="10"/>
        <rFont val="Noto Sans CJK SC"/>
        <family val="2"/>
      </rPr>
      <t xml:space="preserve">대구광역시 달성군 옥포읍 비슬로 </t>
    </r>
    <r>
      <rPr>
        <sz val="10"/>
        <rFont val="맑은 고딕"/>
        <family val="0"/>
        <charset val="1"/>
      </rPr>
      <t xml:space="preserve">2220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</si>
  <si>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옥포초등학교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</si>
  <si>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대구왕선초등학교</t>
  </si>
  <si>
    <t xml:space="preserve">053-235-1902</t>
  </si>
  <si>
    <t xml:space="preserve">http://wangseon.dge.es.kr</t>
  </si>
  <si>
    <r>
      <rPr>
        <sz val="10"/>
        <rFont val="Noto Sans CJK SC"/>
        <family val="2"/>
      </rPr>
      <t xml:space="preserve">대구광역시 달성군 다사읍 대실역북로 </t>
    </r>
    <r>
      <rPr>
        <sz val="10"/>
        <rFont val="맑은 고딕"/>
        <family val="0"/>
        <charset val="1"/>
      </rPr>
      <t xml:space="preserve">93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</si>
  <si>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왕선초등학교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</si>
  <si>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용계초등학교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</si>
  <si>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대구테크노초등학교</t>
  </si>
  <si>
    <t xml:space="preserve">053-234-9585</t>
  </si>
  <si>
    <t xml:space="preserve">http://techno.dge.es.kr</t>
  </si>
  <si>
    <r>
      <rPr>
        <sz val="10"/>
        <rFont val="Noto Sans CJK SC"/>
        <family val="2"/>
      </rPr>
      <t xml:space="preserve">대구광역시 달성군 유가읍 현풍로 </t>
    </r>
    <r>
      <rPr>
        <sz val="10"/>
        <rFont val="맑은 고딕"/>
        <family val="0"/>
        <charset val="1"/>
      </rPr>
      <t xml:space="preserve">245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</si>
  <si>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테크노초등학교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</si>
  <si>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가창중학교</t>
  </si>
  <si>
    <t xml:space="preserve">053-235-3859</t>
  </si>
  <si>
    <t xml:space="preserve">http://gachang.dge.ms.kr</t>
  </si>
  <si>
    <r>
      <rPr>
        <sz val="10"/>
        <rFont val="Noto Sans CJK SC"/>
        <family val="2"/>
      </rPr>
      <t xml:space="preserve">대구광역시 달성군 가창면 원정길 </t>
    </r>
    <r>
      <rPr>
        <sz val="10"/>
        <rFont val="맑은 고딕"/>
        <family val="0"/>
        <charset val="1"/>
      </rPr>
      <t xml:space="preserve">2</t>
    </r>
  </si>
  <si>
    <t xml:space="preserve">구지중학교</t>
  </si>
  <si>
    <t xml:space="preserve">053-233-9888</t>
  </si>
  <si>
    <t xml:space="preserve">http://guji.dge.ms.kr</t>
  </si>
  <si>
    <r>
      <rPr>
        <sz val="10"/>
        <rFont val="Noto Sans CJK SC"/>
        <family val="2"/>
      </rPr>
      <t xml:space="preserve">대구광역시 달성군 구지면 국가산단대로</t>
    </r>
    <r>
      <rPr>
        <sz val="10"/>
        <rFont val="맑은 고딕"/>
        <family val="0"/>
        <charset val="1"/>
      </rPr>
      <t xml:space="preserve">66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22</t>
    </r>
  </si>
  <si>
    <t xml:space="preserve">서동중학교</t>
  </si>
  <si>
    <t xml:space="preserve">053-233-9810</t>
  </si>
  <si>
    <t xml:space="preserve">http://seodong.dge.ms.kr</t>
  </si>
  <si>
    <r>
      <rPr>
        <sz val="10"/>
        <rFont val="Noto Sans CJK SC"/>
        <family val="2"/>
      </rPr>
      <t xml:space="preserve">대구광역시 달성군 다사읍 서재로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11-11</t>
    </r>
  </si>
  <si>
    <t xml:space="preserve">심인중학교</t>
  </si>
  <si>
    <t xml:space="preserve">053-234-8540</t>
  </si>
  <si>
    <t xml:space="preserve">http://simin.dge.ms.kr</t>
  </si>
  <si>
    <r>
      <rPr>
        <sz val="10"/>
        <rFont val="Noto Sans CJK SC"/>
        <family val="2"/>
      </rPr>
      <t xml:space="preserve">대구광역시 달성군 다사읍 대실역남로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21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</si>
  <si>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동신초등학교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</si>
  <si>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대구송정초등학교</t>
  </si>
  <si>
    <t xml:space="preserve">053-232-2544</t>
  </si>
  <si>
    <t xml:space="preserve">http://songjung.dge.es.kr</t>
  </si>
  <si>
    <r>
      <rPr>
        <sz val="10"/>
        <rFont val="Noto Sans CJK SC"/>
        <family val="2"/>
      </rPr>
      <t xml:space="preserve">대구광역시 동구 안심로</t>
    </r>
    <r>
      <rPr>
        <sz val="10"/>
        <rFont val="맑은 고딕"/>
        <family val="0"/>
        <charset val="1"/>
      </rPr>
      <t xml:space="preserve">90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9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</si>
  <si>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송정초등학교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</si>
  <si>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대구숙천초등학교</t>
  </si>
  <si>
    <t xml:space="preserve">053-232-9800</t>
  </si>
  <si>
    <t xml:space="preserve">http://sukcheon.dge.es.kr</t>
  </si>
  <si>
    <r>
      <rPr>
        <sz val="10"/>
        <rFont val="Noto Sans CJK SC"/>
        <family val="2"/>
      </rPr>
      <t xml:space="preserve">대구광역시 동구 숙천로 </t>
    </r>
    <r>
      <rPr>
        <sz val="10"/>
        <rFont val="맑은 고딕"/>
        <family val="0"/>
        <charset val="1"/>
      </rPr>
      <t xml:space="preserve">17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</si>
  <si>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숙천초등학교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</si>
  <si>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대구용호초등학교</t>
  </si>
  <si>
    <t xml:space="preserve">053-232-4707</t>
  </si>
  <si>
    <t xml:space="preserve">http://tg-yongho.dge.es.kr</t>
  </si>
  <si>
    <r>
      <rPr>
        <sz val="10"/>
        <rFont val="Noto Sans CJK SC"/>
        <family val="2"/>
      </rPr>
      <t xml:space="preserve">대구광역시 동구 동촌로</t>
    </r>
    <r>
      <rPr>
        <sz val="10"/>
        <rFont val="맑은 고딕"/>
        <family val="0"/>
        <charset val="1"/>
      </rPr>
      <t xml:space="preserve">56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82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</si>
  <si>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용호초등학교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</si>
  <si>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팔공초등학교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</si>
  <si>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대구효목초등학교</t>
  </si>
  <si>
    <t xml:space="preserve">053-232-1666</t>
  </si>
  <si>
    <t xml:space="preserve">http://hyomok.dge.es.kr</t>
  </si>
  <si>
    <r>
      <rPr>
        <sz val="10"/>
        <rFont val="Noto Sans CJK SC"/>
        <family val="2"/>
      </rPr>
      <t xml:space="preserve">대구광역시 동구 화랑로</t>
    </r>
    <r>
      <rPr>
        <sz val="10"/>
        <rFont val="맑은 고딕"/>
        <family val="0"/>
        <charset val="1"/>
      </rPr>
      <t xml:space="preserve">27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25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</si>
  <si>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효목초등학교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</si>
  <si>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영신초등학교</t>
  </si>
  <si>
    <t xml:space="preserve">053-232-5900</t>
  </si>
  <si>
    <t xml:space="preserve">http://youngshin.dge.es.kr</t>
  </si>
  <si>
    <r>
      <rPr>
        <sz val="10"/>
        <rFont val="Noto Sans CJK SC"/>
        <family val="2"/>
      </rPr>
      <t xml:space="preserve">대구광역시 동구 팔공로</t>
    </r>
    <r>
      <rPr>
        <sz val="10"/>
        <rFont val="맑은 고딕"/>
        <family val="0"/>
        <charset val="1"/>
      </rPr>
      <t xml:space="preserve">50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32</t>
    </r>
  </si>
  <si>
    <t xml:space="preserve">새론중학교</t>
  </si>
  <si>
    <t xml:space="preserve">053-233-5801</t>
  </si>
  <si>
    <t xml:space="preserve">http://saeron.dge.ms.kr</t>
  </si>
  <si>
    <r>
      <rPr>
        <sz val="10"/>
        <rFont val="Noto Sans CJK SC"/>
        <family val="2"/>
      </rPr>
      <t xml:space="preserve">대구광역시 동구 이노밸리로 </t>
    </r>
    <r>
      <rPr>
        <sz val="10"/>
        <rFont val="맑은 고딕"/>
        <family val="0"/>
        <charset val="1"/>
      </rPr>
      <t xml:space="preserve">255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</si>
  <si>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경동초등학교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</si>
  <si>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대구고산초등학교</t>
  </si>
  <si>
    <t xml:space="preserve">053-232-2670</t>
  </si>
  <si>
    <t xml:space="preserve">http://gsn.dge.es.kr</t>
  </si>
  <si>
    <r>
      <rPr>
        <sz val="10"/>
        <rFont val="Noto Sans CJK SC"/>
        <family val="2"/>
      </rPr>
      <t xml:space="preserve">대구광역시 수성구 달구벌대로 </t>
    </r>
    <r>
      <rPr>
        <sz val="10"/>
        <rFont val="맑은 고딕"/>
        <family val="0"/>
        <charset val="1"/>
      </rPr>
      <t xml:space="preserve">3067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</si>
  <si>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고산초등학교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</si>
  <si>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대구동도초등학교</t>
  </si>
  <si>
    <t xml:space="preserve">053-232-0482</t>
  </si>
  <si>
    <t xml:space="preserve">http://dongdo.dge.es.kr</t>
  </si>
  <si>
    <r>
      <rPr>
        <sz val="10"/>
        <rFont val="Noto Sans CJK SC"/>
        <family val="2"/>
      </rPr>
      <t xml:space="preserve">대구광역시 수성구 동대구로</t>
    </r>
    <r>
      <rPr>
        <sz val="10"/>
        <rFont val="맑은 고딕"/>
        <family val="0"/>
        <charset val="1"/>
      </rPr>
      <t xml:space="preserve">57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8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</si>
  <si>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동도초등학교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</si>
  <si>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대구동산초등학교</t>
  </si>
  <si>
    <t xml:space="preserve">053-232-2894</t>
  </si>
  <si>
    <t xml:space="preserve">http://www.dongsan.dge.es.kr</t>
  </si>
  <si>
    <r>
      <rPr>
        <sz val="10"/>
        <rFont val="Noto Sans CJK SC"/>
        <family val="2"/>
      </rPr>
      <t xml:space="preserve">대구광역시 수성구 동대구로</t>
    </r>
    <r>
      <rPr>
        <sz val="10"/>
        <rFont val="맑은 고딕"/>
        <family val="0"/>
        <charset val="1"/>
      </rPr>
      <t xml:space="preserve">42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29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</si>
  <si>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동산초등학교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</si>
  <si>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대구동원초등학교</t>
  </si>
  <si>
    <t xml:space="preserve">053-232-2182</t>
  </si>
  <si>
    <t xml:space="preserve">http://dongwon.dge.es.kr</t>
  </si>
  <si>
    <r>
      <rPr>
        <sz val="10"/>
        <rFont val="Noto Sans CJK SC"/>
        <family val="2"/>
      </rPr>
      <t xml:space="preserve">대구광역시 수성구 국채보상로 </t>
    </r>
    <r>
      <rPr>
        <sz val="10"/>
        <rFont val="맑은 고딕"/>
        <family val="0"/>
        <charset val="1"/>
      </rPr>
      <t xml:space="preserve">1000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</si>
  <si>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동원초등학교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</si>
  <si>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대구만촌초등학교</t>
  </si>
  <si>
    <t xml:space="preserve">053-232-2010</t>
  </si>
  <si>
    <t xml:space="preserve">http://mcn.dge.es.kr</t>
  </si>
  <si>
    <r>
      <rPr>
        <sz val="10"/>
        <rFont val="Noto Sans CJK SC"/>
        <family val="2"/>
      </rPr>
      <t xml:space="preserve">대구광역시 수성구 국채보상로</t>
    </r>
    <r>
      <rPr>
        <sz val="10"/>
        <rFont val="맑은 고딕"/>
        <family val="0"/>
        <charset val="1"/>
      </rPr>
      <t xml:space="preserve">214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33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</si>
  <si>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만촌초등학교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</si>
  <si>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대구매동초등학교</t>
  </si>
  <si>
    <t xml:space="preserve">053-232-5400</t>
  </si>
  <si>
    <t xml:space="preserve">http://maedong.dge.es.kr</t>
  </si>
  <si>
    <r>
      <rPr>
        <sz val="10"/>
        <rFont val="Noto Sans CJK SC"/>
        <family val="2"/>
      </rPr>
      <t xml:space="preserve">대구광역시 수성구 천을로</t>
    </r>
    <r>
      <rPr>
        <sz val="10"/>
        <rFont val="맑은 고딕"/>
        <family val="0"/>
        <charset val="1"/>
      </rPr>
      <t xml:space="preserve">31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16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</si>
  <si>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매동초등학교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</si>
  <si>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대구욱수초등학교</t>
  </si>
  <si>
    <t xml:space="preserve">053-232-4400</t>
  </si>
  <si>
    <t xml:space="preserve">http://ugsu.dge.es.kr</t>
  </si>
  <si>
    <r>
      <rPr>
        <sz val="10"/>
        <rFont val="Noto Sans CJK SC"/>
        <family val="2"/>
      </rPr>
      <t xml:space="preserve">대구광역시 수성구 신매로 </t>
    </r>
    <r>
      <rPr>
        <sz val="10"/>
        <rFont val="맑은 고딕"/>
        <family val="0"/>
        <charset val="1"/>
      </rPr>
      <t xml:space="preserve">20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</si>
  <si>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욱수초등학교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</si>
  <si>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대구황금초등학교</t>
  </si>
  <si>
    <t xml:space="preserve">053-232-2040</t>
  </si>
  <si>
    <t xml:space="preserve">http://hwanggum.dge.es.kr</t>
  </si>
  <si>
    <r>
      <rPr>
        <sz val="10"/>
        <rFont val="Noto Sans CJK SC"/>
        <family val="2"/>
      </rPr>
      <t xml:space="preserve">대구광역시 수성구 들안로</t>
    </r>
    <r>
      <rPr>
        <sz val="10"/>
        <rFont val="맑은 고딕"/>
        <family val="0"/>
        <charset val="1"/>
      </rPr>
      <t xml:space="preserve">32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22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</si>
  <si>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황금초등학교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</si>
  <si>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능인중학교</t>
  </si>
  <si>
    <t xml:space="preserve">053-232-9121</t>
  </si>
  <si>
    <t xml:space="preserve">http://www.neungin.dge.ms.kr</t>
  </si>
  <si>
    <t xml:space="preserve">소선여자중학교</t>
  </si>
  <si>
    <t xml:space="preserve">053-232-9502</t>
  </si>
  <si>
    <t xml:space="preserve">http://soseon.dge.ms.kr</t>
  </si>
  <si>
    <r>
      <rPr>
        <sz val="10"/>
        <rFont val="Noto Sans CJK SC"/>
        <family val="2"/>
      </rPr>
      <t xml:space="preserve">대구광역시 수성구 교학로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37</t>
    </r>
  </si>
  <si>
    <t xml:space="preserve">수성중학교</t>
  </si>
  <si>
    <t xml:space="preserve">053-232-6316</t>
  </si>
  <si>
    <t xml:space="preserve">http://suseong.dge.ms.kr</t>
  </si>
  <si>
    <r>
      <rPr>
        <sz val="10"/>
        <rFont val="Noto Sans CJK SC"/>
        <family val="2"/>
      </rPr>
      <t xml:space="preserve">대구광역시 수성구 파동로</t>
    </r>
    <r>
      <rPr>
        <sz val="10"/>
        <rFont val="맑은 고딕"/>
        <family val="0"/>
        <charset val="1"/>
      </rPr>
      <t xml:space="preserve">51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26-9</t>
    </r>
  </si>
  <si>
    <t xml:space="preserve">오성중학교</t>
  </si>
  <si>
    <t xml:space="preserve">053-232-8700</t>
  </si>
  <si>
    <t xml:space="preserve">http://osung.dge.ms.kr</t>
  </si>
  <si>
    <t xml:space="preserve">정화중학교</t>
  </si>
  <si>
    <t xml:space="preserve">053-232-9202</t>
  </si>
  <si>
    <t xml:space="preserve">http://jeonghwa.dge.ms.kr</t>
  </si>
  <si>
    <t xml:space="preserve">053-253-4191</t>
  </si>
  <si>
    <t xml:space="preserve">http://keisung.dge.es.kr</t>
  </si>
  <si>
    <r>
      <rPr>
        <sz val="10"/>
        <rFont val="Noto Sans CJK SC"/>
        <family val="2"/>
      </rPr>
      <t xml:space="preserve">대구광역시 중구 달성로 </t>
    </r>
    <r>
      <rPr>
        <sz val="10"/>
        <rFont val="맑은 고딕"/>
        <family val="0"/>
        <charset val="1"/>
      </rPr>
      <t xml:space="preserve">15</t>
    </r>
  </si>
  <si>
    <t xml:space="preserve">대구동덕초등학교</t>
  </si>
  <si>
    <t xml:space="preserve">053-232-0844</t>
  </si>
  <si>
    <t xml:space="preserve">http://dongduk.dge.es.kr</t>
  </si>
  <si>
    <r>
      <rPr>
        <sz val="10"/>
        <rFont val="Noto Sans CJK SC"/>
        <family val="2"/>
      </rPr>
      <t xml:space="preserve">대구광역시 중구 동덕로</t>
    </r>
    <r>
      <rPr>
        <sz val="10"/>
        <rFont val="맑은 고딕"/>
        <family val="0"/>
        <charset val="1"/>
      </rPr>
      <t xml:space="preserve">26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20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</si>
  <si>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동덕초등학교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</si>
  <si>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대구삼덕초등학교</t>
  </si>
  <si>
    <t xml:space="preserve">053-232-0473</t>
  </si>
  <si>
    <t xml:space="preserve">http://samdeok.dge.es.kr</t>
  </si>
  <si>
    <r>
      <rPr>
        <sz val="10"/>
        <rFont val="Noto Sans CJK SC"/>
        <family val="2"/>
      </rPr>
      <t xml:space="preserve">대구광역시 중구 달구벌대로</t>
    </r>
    <r>
      <rPr>
        <sz val="10"/>
        <rFont val="맑은 고딕"/>
        <family val="0"/>
        <charset val="1"/>
      </rPr>
      <t xml:space="preserve">447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10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</si>
  <si>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삼덕초등학교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</si>
  <si>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대구수창초등학교</t>
  </si>
  <si>
    <t xml:space="preserve">053-232-0302</t>
  </si>
  <si>
    <t xml:space="preserve">http://suchang.dge.es.kr</t>
  </si>
  <si>
    <r>
      <rPr>
        <sz val="10"/>
        <rFont val="Noto Sans CJK SC"/>
        <family val="2"/>
      </rPr>
      <t xml:space="preserve">대구광역시 중구 달성로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30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</si>
  <si>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수창초등학교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</si>
  <si>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대구동변초등학교</t>
  </si>
  <si>
    <t xml:space="preserve">053-233-4224</t>
  </si>
  <si>
    <t xml:space="preserve">http://dongbyun.dge.es.kr</t>
  </si>
  <si>
    <r>
      <rPr>
        <sz val="10"/>
        <rFont val="Noto Sans CJK SC"/>
        <family val="2"/>
      </rPr>
      <t xml:space="preserve">대구광역시 북구 동변로 </t>
    </r>
    <r>
      <rPr>
        <sz val="10"/>
        <rFont val="맑은 고딕"/>
        <family val="0"/>
        <charset val="1"/>
      </rPr>
      <t xml:space="preserve">60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</si>
  <si>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동변초등학교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</si>
  <si>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대구동평초등학교</t>
  </si>
  <si>
    <t xml:space="preserve">053-233-3865</t>
  </si>
  <si>
    <t xml:space="preserve">http://dongpyung.dge.es.kr</t>
  </si>
  <si>
    <r>
      <rPr>
        <sz val="10"/>
        <rFont val="Noto Sans CJK SC"/>
        <family val="2"/>
      </rPr>
      <t xml:space="preserve">대구광역시 북구 동천로 </t>
    </r>
    <r>
      <rPr>
        <sz val="10"/>
        <rFont val="맑은 고딕"/>
        <family val="0"/>
        <charset val="1"/>
      </rPr>
      <t xml:space="preserve">84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</si>
  <si>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동평초등학교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</si>
  <si>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대구문성초등학교</t>
  </si>
  <si>
    <t xml:space="preserve">053-233-0804</t>
  </si>
  <si>
    <t xml:space="preserve">http://munsung.dge.es.kr</t>
  </si>
  <si>
    <r>
      <rPr>
        <sz val="10"/>
        <rFont val="Noto Sans CJK SC"/>
        <family val="2"/>
      </rPr>
      <t xml:space="preserve">대구광역시 북구 복현로 </t>
    </r>
    <r>
      <rPr>
        <sz val="10"/>
        <rFont val="맑은 고딕"/>
        <family val="0"/>
        <charset val="1"/>
      </rPr>
      <t xml:space="preserve">180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</si>
  <si>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문성초등학교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</si>
  <si>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대구삼영초등학교</t>
  </si>
  <si>
    <t xml:space="preserve">053-233-4950</t>
  </si>
  <si>
    <t xml:space="preserve">http://samyoung.dge.es.kr</t>
  </si>
  <si>
    <r>
      <rPr>
        <sz val="10"/>
        <rFont val="Noto Sans CJK SC"/>
        <family val="2"/>
      </rPr>
      <t xml:space="preserve">대구광역시 북구 내곡로 </t>
    </r>
    <r>
      <rPr>
        <sz val="10"/>
        <rFont val="맑은 고딕"/>
        <family val="0"/>
        <charset val="1"/>
      </rPr>
      <t xml:space="preserve">63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</si>
  <si>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삼영초등학교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</si>
  <si>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대구서변초등학교</t>
  </si>
  <si>
    <t xml:space="preserve">053-233-4400</t>
  </si>
  <si>
    <t xml:space="preserve">http://seobyun.dge.es.kr</t>
  </si>
  <si>
    <r>
      <rPr>
        <sz val="10"/>
        <rFont val="Noto Sans CJK SC"/>
        <family val="2"/>
      </rPr>
      <t xml:space="preserve">대구광역시 북구 호국로</t>
    </r>
    <r>
      <rPr>
        <sz val="10"/>
        <rFont val="맑은 고딕"/>
        <family val="0"/>
        <charset val="1"/>
      </rPr>
      <t xml:space="preserve">43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35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</si>
  <si>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서변초등학교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</si>
  <si>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대구침산초등학교</t>
  </si>
  <si>
    <t xml:space="preserve">053-233-1005</t>
  </si>
  <si>
    <t xml:space="preserve">http://chimsan.dge.es.kr</t>
  </si>
  <si>
    <r>
      <rPr>
        <sz val="10"/>
        <rFont val="Noto Sans CJK SC"/>
        <family val="2"/>
      </rPr>
      <t xml:space="preserve">대구광역시 북구 성북로 </t>
    </r>
    <r>
      <rPr>
        <sz val="10"/>
        <rFont val="맑은 고딕"/>
        <family val="0"/>
        <charset val="1"/>
      </rPr>
      <t xml:space="preserve">25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</si>
  <si>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침산초등학교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</si>
  <si>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대구학남초등학교</t>
  </si>
  <si>
    <t xml:space="preserve">053-233-3995</t>
  </si>
  <si>
    <t xml:space="preserve">http://www.hagnam.dge.es.kr</t>
  </si>
  <si>
    <r>
      <rPr>
        <sz val="10"/>
        <rFont val="Noto Sans CJK SC"/>
        <family val="2"/>
      </rPr>
      <t xml:space="preserve">대구광역시 북구 학정동로 </t>
    </r>
    <r>
      <rPr>
        <sz val="10"/>
        <rFont val="맑은 고딕"/>
        <family val="0"/>
        <charset val="1"/>
      </rPr>
      <t xml:space="preserve">23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</si>
  <si>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학남초등학교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</si>
  <si>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강북중학교</t>
  </si>
  <si>
    <t xml:space="preserve">053-233-8071</t>
  </si>
  <si>
    <t xml:space="preserve">http://gangbuk.dge.ms.kr</t>
  </si>
  <si>
    <r>
      <rPr>
        <sz val="10"/>
        <rFont val="Noto Sans CJK SC"/>
        <family val="2"/>
      </rPr>
      <t xml:space="preserve">대구광역시 북구 구암서로 </t>
    </r>
    <r>
      <rPr>
        <sz val="10"/>
        <rFont val="맑은 고딕"/>
        <family val="0"/>
        <charset val="1"/>
      </rPr>
      <t xml:space="preserve">27</t>
    </r>
  </si>
  <si>
    <t xml:space="preserve">대구일중학교</t>
  </si>
  <si>
    <t xml:space="preserve">053-233-7500</t>
  </si>
  <si>
    <t xml:space="preserve">http://www.tgil.ms.kr</t>
  </si>
  <si>
    <r>
      <rPr>
        <sz val="10"/>
        <rFont val="Noto Sans CJK SC"/>
        <family val="2"/>
      </rPr>
      <t xml:space="preserve">대구광역시 북구 옥산로</t>
    </r>
    <r>
      <rPr>
        <sz val="10"/>
        <rFont val="맑은 고딕"/>
        <family val="0"/>
        <charset val="1"/>
      </rPr>
      <t xml:space="preserve">17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21</t>
    </r>
  </si>
  <si>
    <t xml:space="preserve">성화중학교</t>
  </si>
  <si>
    <t xml:space="preserve">053-233-8600</t>
  </si>
  <si>
    <t xml:space="preserve">http://sunghwa.dge.ms.kr</t>
  </si>
  <si>
    <r>
      <rPr>
        <sz val="10"/>
        <rFont val="Noto Sans CJK SC"/>
        <family val="2"/>
      </rPr>
      <t xml:space="preserve">대구광역시 북구 복현로 </t>
    </r>
    <r>
      <rPr>
        <sz val="10"/>
        <rFont val="맑은 고딕"/>
        <family val="0"/>
        <charset val="1"/>
      </rPr>
      <t xml:space="preserve">140</t>
    </r>
  </si>
  <si>
    <t xml:space="preserve">팔달중학교</t>
  </si>
  <si>
    <t xml:space="preserve">053-233-6910</t>
  </si>
  <si>
    <t xml:space="preserve">http://paldal.dge.ms.kr</t>
  </si>
  <si>
    <r>
      <rPr>
        <sz val="10"/>
        <rFont val="Noto Sans CJK SC"/>
        <family val="2"/>
      </rPr>
      <t xml:space="preserve">대구광역시 북구 매천로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19-22</t>
    </r>
  </si>
  <si>
    <t xml:space="preserve">대구내서초등학교</t>
  </si>
  <si>
    <t xml:space="preserve">053-233-2831</t>
  </si>
  <si>
    <t xml:space="preserve">http://naeseo.dge.es.kr</t>
  </si>
  <si>
    <r>
      <rPr>
        <sz val="10"/>
        <rFont val="Noto Sans CJK SC"/>
        <family val="2"/>
      </rPr>
      <t xml:space="preserve">대구광역시 서구 달구벌대로</t>
    </r>
    <r>
      <rPr>
        <sz val="10"/>
        <rFont val="맑은 고딕"/>
        <family val="0"/>
        <charset val="1"/>
      </rPr>
      <t xml:space="preserve">371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35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</si>
  <si>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내서초등학교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</si>
  <si>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대구달성초등학교</t>
  </si>
  <si>
    <t xml:space="preserve">053-233-0293</t>
  </si>
  <si>
    <t xml:space="preserve">http://dalseong.dge.es.kr</t>
  </si>
  <si>
    <r>
      <rPr>
        <sz val="10"/>
        <rFont val="Noto Sans CJK SC"/>
        <family val="2"/>
      </rPr>
      <t xml:space="preserve">대구광역시 서구 고성로 </t>
    </r>
    <r>
      <rPr>
        <sz val="10"/>
        <rFont val="맑은 고딕"/>
        <family val="0"/>
        <charset val="1"/>
      </rPr>
      <t xml:space="preserve">127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</si>
  <si>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달성초등학교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</t>
    </r>
  </si>
  <si>
    <t xml:space="preserve">경일중학교</t>
  </si>
  <si>
    <t xml:space="preserve">053-233-6100</t>
  </si>
  <si>
    <t xml:space="preserve">http://www.e-kyungil.dge.ms.kr</t>
  </si>
  <si>
    <r>
      <rPr>
        <sz val="10"/>
        <rFont val="Noto Sans CJK SC"/>
        <family val="2"/>
      </rPr>
      <t xml:space="preserve">대구광역시 서구 달서천로</t>
    </r>
    <r>
      <rPr>
        <sz val="10"/>
        <rFont val="맑은 고딕"/>
        <family val="0"/>
        <charset val="1"/>
      </rPr>
      <t xml:space="preserve">76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</t>
    </r>
  </si>
  <si>
    <t xml:space="preserve">서대구중학교</t>
  </si>
  <si>
    <t xml:space="preserve">053-233-7872</t>
  </si>
  <si>
    <t xml:space="preserve">http://seodaegu.dge.ms.kr</t>
  </si>
  <si>
    <r>
      <rPr>
        <sz val="10"/>
        <rFont val="Noto Sans CJK SC"/>
        <family val="2"/>
      </rPr>
      <t xml:space="preserve">대구광역시 서구 북비산로</t>
    </r>
    <r>
      <rPr>
        <sz val="10"/>
        <rFont val="맑은 고딕"/>
        <family val="0"/>
        <charset val="1"/>
      </rPr>
      <t xml:space="preserve">45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7</t>
    </r>
  </si>
  <si>
    <t xml:space="preserve">평리중학교</t>
  </si>
  <si>
    <t xml:space="preserve">053-233-6170</t>
  </si>
  <si>
    <t xml:space="preserve">http://pyeongri.dge.ms.kr</t>
  </si>
  <si>
    <r>
      <rPr>
        <sz val="10"/>
        <rFont val="Noto Sans CJK SC"/>
        <family val="2"/>
      </rPr>
      <t xml:space="preserve">대구광역시 서구 국채보상로</t>
    </r>
    <r>
      <rPr>
        <sz val="10"/>
        <rFont val="맑은 고딕"/>
        <family val="0"/>
        <charset val="1"/>
      </rPr>
      <t xml:space="preserve">55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21</t>
    </r>
  </si>
  <si>
    <t xml:space="preserve">강화여자중학교</t>
  </si>
  <si>
    <t xml:space="preserve">032-932-8801</t>
  </si>
  <si>
    <t xml:space="preserve">http://ghg.icems.kr</t>
  </si>
  <si>
    <r>
      <rPr>
        <sz val="10"/>
        <rFont val="Noto Sans CJK SC"/>
        <family val="2"/>
      </rPr>
      <t xml:space="preserve">인천광역시 강화군 강화읍 갑룡길 </t>
    </r>
    <r>
      <rPr>
        <sz val="10"/>
        <rFont val="맑은 고딕"/>
        <family val="0"/>
        <charset val="1"/>
      </rPr>
      <t xml:space="preserve">11</t>
    </r>
  </si>
  <si>
    <t xml:space="preserve">백석고등학교</t>
  </si>
  <si>
    <t xml:space="preserve">032-567-7762</t>
  </si>
  <si>
    <t xml:space="preserve">http://i-baekseok.icehs.kr</t>
  </si>
  <si>
    <r>
      <rPr>
        <sz val="10"/>
        <rFont val="Noto Sans CJK SC"/>
        <family val="2"/>
      </rPr>
      <t xml:space="preserve">인천광역시 검단구 서곶로 </t>
    </r>
    <r>
      <rPr>
        <sz val="10"/>
        <rFont val="맑은 고딕"/>
        <family val="0"/>
        <charset val="1"/>
      </rPr>
      <t xml:space="preserve">701</t>
    </r>
  </si>
  <si>
    <t xml:space="preserve">인천아라고등학교</t>
  </si>
  <si>
    <t xml:space="preserve">032-460-1800</t>
  </si>
  <si>
    <t xml:space="preserve">http://ara.icehs.kr</t>
  </si>
  <si>
    <r>
      <rPr>
        <sz val="10"/>
        <rFont val="Noto Sans CJK SC"/>
        <family val="2"/>
      </rPr>
      <t xml:space="preserve">인천광역시 검단구 서로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62</t>
    </r>
  </si>
  <si>
    <t xml:space="preserve">서운고등학교</t>
  </si>
  <si>
    <t xml:space="preserve">032-542-2942</t>
  </si>
  <si>
    <t xml:space="preserve">http://seowoon.icehs.kr</t>
  </si>
  <si>
    <r>
      <rPr>
        <sz val="10"/>
        <rFont val="Noto Sans CJK SC"/>
        <family val="2"/>
      </rPr>
      <t xml:space="preserve">인천광역시 계양구 아나지로 </t>
    </r>
    <r>
      <rPr>
        <sz val="10"/>
        <rFont val="맑은 고딕"/>
        <family val="0"/>
        <charset val="1"/>
      </rPr>
      <t xml:space="preserve">481</t>
    </r>
  </si>
  <si>
    <t xml:space="preserve">인제고등학교</t>
  </si>
  <si>
    <t xml:space="preserve">032-422-6681</t>
  </si>
  <si>
    <t xml:space="preserve">http://inje.icehs.kr</t>
  </si>
  <si>
    <r>
      <rPr>
        <sz val="10"/>
        <rFont val="Noto Sans CJK SC"/>
        <family val="2"/>
      </rPr>
      <t xml:space="preserve">인천광역시 남동구 석산로</t>
    </r>
    <r>
      <rPr>
        <sz val="10"/>
        <rFont val="맑은 고딕"/>
        <family val="0"/>
        <charset val="1"/>
      </rPr>
      <t xml:space="preserve">197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19</t>
    </r>
  </si>
  <si>
    <t xml:space="preserve">인천논현고등학교</t>
  </si>
  <si>
    <t xml:space="preserve">032-446-0634</t>
  </si>
  <si>
    <t xml:space="preserve">http://nh.icehs.kr</t>
  </si>
  <si>
    <r>
      <rPr>
        <sz val="10"/>
        <rFont val="Noto Sans CJK SC"/>
        <family val="2"/>
      </rPr>
      <t xml:space="preserve">인천광역시 남동구 청능대로</t>
    </r>
    <r>
      <rPr>
        <sz val="10"/>
        <rFont val="맑은 고딕"/>
        <family val="0"/>
        <charset val="1"/>
      </rPr>
      <t xml:space="preserve">611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54</t>
    </r>
  </si>
  <si>
    <t xml:space="preserve">인천청선학교</t>
  </si>
  <si>
    <t xml:space="preserve">032-340-8445</t>
  </si>
  <si>
    <t xml:space="preserve">http://ics.icesc.kr</t>
  </si>
  <si>
    <r>
      <rPr>
        <sz val="10"/>
        <rFont val="Noto Sans CJK SC"/>
        <family val="2"/>
      </rPr>
      <t xml:space="preserve">인천광역시 남동구 인주대로</t>
    </r>
    <r>
      <rPr>
        <sz val="10"/>
        <rFont val="맑은 고딕"/>
        <family val="0"/>
        <charset val="1"/>
      </rPr>
      <t xml:space="preserve">914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16</t>
    </r>
  </si>
  <si>
    <t xml:space="preserve">인천비즈니스고등학교</t>
  </si>
  <si>
    <t xml:space="preserve">032-763-3037</t>
  </si>
  <si>
    <t xml:space="preserve">http://ibg.icehs.kr</t>
  </si>
  <si>
    <r>
      <rPr>
        <sz val="10"/>
        <rFont val="Noto Sans CJK SC"/>
        <family val="2"/>
      </rPr>
      <t xml:space="preserve">인천광역시 미추홀구 장고개로 </t>
    </r>
    <r>
      <rPr>
        <sz val="10"/>
        <rFont val="맑은 고딕"/>
        <family val="0"/>
        <charset val="1"/>
      </rPr>
      <t xml:space="preserve">31</t>
    </r>
  </si>
  <si>
    <t xml:space="preserve">인하대학교사범대학부속고등학교</t>
  </si>
  <si>
    <t xml:space="preserve">032-453-9400</t>
  </si>
  <si>
    <t xml:space="preserve">http://inha.icehs.kr</t>
  </si>
  <si>
    <t xml:space="preserve">인화여자고등학교</t>
  </si>
  <si>
    <t xml:space="preserve">032-765-0621</t>
  </si>
  <si>
    <t xml:space="preserve">http://inhwa.icehs.kr</t>
  </si>
  <si>
    <r>
      <rPr>
        <sz val="10"/>
        <rFont val="Noto Sans CJK SC"/>
        <family val="2"/>
      </rPr>
      <t xml:space="preserve">인천광역시 미추홀구 석정로 </t>
    </r>
    <r>
      <rPr>
        <sz val="10"/>
        <rFont val="맑은 고딕"/>
        <family val="0"/>
        <charset val="1"/>
      </rPr>
      <t xml:space="preserve">165</t>
    </r>
  </si>
  <si>
    <t xml:space="preserve">부광고등학교</t>
  </si>
  <si>
    <t xml:space="preserve">032-500-9100</t>
  </si>
  <si>
    <t xml:space="preserve">http://bg.icehs.kr</t>
  </si>
  <si>
    <r>
      <rPr>
        <sz val="10"/>
        <rFont val="Noto Sans CJK SC"/>
        <family val="2"/>
      </rPr>
      <t xml:space="preserve">인천광역시 부평구 화랑로 </t>
    </r>
    <r>
      <rPr>
        <sz val="10"/>
        <rFont val="맑은 고딕"/>
        <family val="0"/>
        <charset val="1"/>
      </rPr>
      <t xml:space="preserve">28</t>
    </r>
  </si>
  <si>
    <t xml:space="preserve">연구학교</t>
  </si>
  <si>
    <t xml:space="preserve">대인고등학교</t>
  </si>
  <si>
    <t xml:space="preserve">032-562-6311</t>
  </si>
  <si>
    <t xml:space="preserve">http://daein.icehs.kr</t>
  </si>
  <si>
    <r>
      <rPr>
        <sz val="10"/>
        <rFont val="Noto Sans CJK SC"/>
        <family val="2"/>
      </rPr>
      <t xml:space="preserve">인천광역시 서해구 서곶로 </t>
    </r>
    <r>
      <rPr>
        <sz val="10"/>
        <rFont val="맑은 고딕"/>
        <family val="0"/>
        <charset val="1"/>
      </rPr>
      <t xml:space="preserve">446</t>
    </r>
  </si>
  <si>
    <t xml:space="preserve">인천디자인고등학교</t>
  </si>
  <si>
    <t xml:space="preserve">032-560-1500</t>
  </si>
  <si>
    <t xml:space="preserve">http://indigo.icehs.kr</t>
  </si>
  <si>
    <r>
      <rPr>
        <sz val="10"/>
        <rFont val="Noto Sans CJK SC"/>
        <family val="2"/>
      </rPr>
      <t xml:space="preserve">인천광역시 서해구 대평로</t>
    </r>
    <r>
      <rPr>
        <sz val="10"/>
        <rFont val="맑은 고딕"/>
        <family val="0"/>
        <charset val="1"/>
      </rPr>
      <t xml:space="preserve">56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10</t>
    </r>
  </si>
  <si>
    <t xml:space="preserve">신송고등학교</t>
  </si>
  <si>
    <t xml:space="preserve">032-851-1612</t>
  </si>
  <si>
    <t xml:space="preserve">http://shinsong-h.icehs.kr</t>
  </si>
  <si>
    <r>
      <rPr>
        <sz val="10"/>
        <rFont val="Noto Sans CJK SC"/>
        <family val="2"/>
      </rPr>
      <t xml:space="preserve">인천광역시 연수구 신송로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56</t>
    </r>
  </si>
  <si>
    <t xml:space="preserve">연수여자고등학교</t>
  </si>
  <si>
    <t xml:space="preserve">032-457-1234</t>
  </si>
  <si>
    <t xml:space="preserve">http://yeonsug.icehs.kr</t>
  </si>
  <si>
    <r>
      <rPr>
        <sz val="10"/>
        <rFont val="Noto Sans CJK SC"/>
        <family val="2"/>
      </rPr>
      <t xml:space="preserve">인천광역시 연수구 먼우금로</t>
    </r>
    <r>
      <rPr>
        <sz val="10"/>
        <rFont val="맑은 고딕"/>
        <family val="0"/>
        <charset val="1"/>
      </rPr>
      <t xml:space="preserve">141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9</t>
    </r>
  </si>
  <si>
    <t xml:space="preserve">옥련여자고등학교</t>
  </si>
  <si>
    <t xml:space="preserve">032-650-3000</t>
  </si>
  <si>
    <t xml:space="preserve">http://ongnyeon-gh.icehs.kr</t>
  </si>
  <si>
    <r>
      <rPr>
        <sz val="10"/>
        <rFont val="Noto Sans CJK SC"/>
        <family val="2"/>
      </rPr>
      <t xml:space="preserve">인천광역시 연수구 옥골로 </t>
    </r>
    <r>
      <rPr>
        <sz val="10"/>
        <rFont val="맑은 고딕"/>
        <family val="0"/>
        <charset val="1"/>
      </rPr>
      <t xml:space="preserve">77</t>
    </r>
  </si>
  <si>
    <t xml:space="preserve">인천대건고등학교</t>
  </si>
  <si>
    <t xml:space="preserve">032-822-0451</t>
  </si>
  <si>
    <t xml:space="preserve">http://idg.icehs.kr</t>
  </si>
  <si>
    <r>
      <rPr>
        <sz val="10"/>
        <rFont val="Noto Sans CJK SC"/>
        <family val="2"/>
      </rPr>
      <t xml:space="preserve">인천광역시 연수구 능허대로 </t>
    </r>
    <r>
      <rPr>
        <sz val="10"/>
        <rFont val="맑은 고딕"/>
        <family val="0"/>
        <charset val="1"/>
      </rPr>
      <t xml:space="preserve">437</t>
    </r>
  </si>
  <si>
    <t xml:space="preserve">인천바이오과학고등학교</t>
  </si>
  <si>
    <t xml:space="preserve">032-817-0121</t>
  </si>
  <si>
    <t xml:space="preserve">http://bio.icehs.kr</t>
  </si>
  <si>
    <r>
      <rPr>
        <sz val="10"/>
        <rFont val="Noto Sans CJK SC"/>
        <family val="2"/>
      </rPr>
      <t xml:space="preserve">인천광역시 연수구 용담로 </t>
    </r>
    <r>
      <rPr>
        <sz val="10"/>
        <rFont val="맑은 고딕"/>
        <family val="0"/>
        <charset val="1"/>
      </rPr>
      <t xml:space="preserve">12</t>
    </r>
  </si>
  <si>
    <t xml:space="preserve">인천뷰티예술고등학교</t>
  </si>
  <si>
    <t xml:space="preserve">032-627-3800</t>
  </si>
  <si>
    <t xml:space="preserve">http://ibas.icehs.kr</t>
  </si>
  <si>
    <r>
      <rPr>
        <sz val="10"/>
        <rFont val="Noto Sans CJK SC"/>
        <family val="2"/>
      </rPr>
      <t xml:space="preserve">인천광역시 연수구 원인재로 </t>
    </r>
    <r>
      <rPr>
        <sz val="10"/>
        <rFont val="맑은 고딕"/>
        <family val="0"/>
        <charset val="1"/>
      </rPr>
      <t xml:space="preserve">21</t>
    </r>
  </si>
  <si>
    <t xml:space="preserve">인천해송고등학교</t>
  </si>
  <si>
    <t xml:space="preserve">032-831-0321</t>
  </si>
  <si>
    <t xml:space="preserve">http://ihs.icehs.kr</t>
  </si>
  <si>
    <r>
      <rPr>
        <sz val="10"/>
        <rFont val="Noto Sans CJK SC"/>
        <family val="2"/>
      </rPr>
      <t xml:space="preserve">인천광역시 연수구 해송로 </t>
    </r>
    <r>
      <rPr>
        <sz val="10"/>
        <rFont val="맑은 고딕"/>
        <family val="0"/>
        <charset val="1"/>
      </rPr>
      <t xml:space="preserve">20</t>
    </r>
  </si>
  <si>
    <t xml:space="preserve">인천연일학교</t>
  </si>
  <si>
    <t xml:space="preserve">032-816-6472</t>
  </si>
  <si>
    <t xml:space="preserve">http://yonil.icesc.kr</t>
  </si>
  <si>
    <r>
      <rPr>
        <sz val="10"/>
        <rFont val="Noto Sans CJK SC"/>
        <family val="2"/>
      </rPr>
      <t xml:space="preserve">인천광역시 연수구 함박뫼로 </t>
    </r>
    <r>
      <rPr>
        <sz val="10"/>
        <rFont val="맑은 고딕"/>
        <family val="0"/>
        <charset val="1"/>
      </rPr>
      <t xml:space="preserve">208</t>
    </r>
  </si>
  <si>
    <t xml:space="preserve">광성고등학교</t>
  </si>
  <si>
    <t xml:space="preserve">032-760-5200</t>
  </si>
  <si>
    <t xml:space="preserve">http://ks.icehs.kr</t>
  </si>
  <si>
    <t xml:space="preserve">동산고등학교</t>
  </si>
  <si>
    <t xml:space="preserve">032-763-7827</t>
  </si>
  <si>
    <t xml:space="preserve">http://dongsan.icehs.kr</t>
  </si>
  <si>
    <r>
      <rPr>
        <sz val="10"/>
        <rFont val="Noto Sans CJK SC"/>
        <family val="2"/>
      </rPr>
      <t xml:space="preserve">인천광역시 제물포구 동산로 </t>
    </r>
    <r>
      <rPr>
        <sz val="10"/>
        <rFont val="맑은 고딕"/>
        <family val="0"/>
        <charset val="1"/>
      </rPr>
      <t xml:space="preserve">58</t>
    </r>
  </si>
  <si>
    <t xml:space="preserve">인성여자고등학교</t>
  </si>
  <si>
    <t xml:space="preserve">032-762-8506</t>
  </si>
  <si>
    <t xml:space="preserve">http://insunghs.icehs.kr</t>
  </si>
  <si>
    <r>
      <rPr>
        <sz val="10"/>
        <rFont val="Noto Sans CJK SC"/>
        <family val="2"/>
      </rPr>
      <t xml:space="preserve">인천광역시 제물포구 홍예문로 </t>
    </r>
    <r>
      <rPr>
        <sz val="10"/>
        <rFont val="맑은 고딕"/>
        <family val="0"/>
        <charset val="1"/>
      </rPr>
      <t xml:space="preserve">39</t>
    </r>
  </si>
  <si>
    <t xml:space="preserve">재능고등학교</t>
  </si>
  <si>
    <t xml:space="preserve">032-890-7600</t>
  </si>
  <si>
    <t xml:space="preserve">http://jn.icehs.kr</t>
  </si>
  <si>
    <r>
      <rPr>
        <sz val="10"/>
        <rFont val="Noto Sans CJK SC"/>
        <family val="2"/>
      </rPr>
      <t xml:space="preserve">인천광역시 제물포구 재능로 </t>
    </r>
    <r>
      <rPr>
        <sz val="10"/>
        <rFont val="맑은 고딕"/>
        <family val="0"/>
        <charset val="1"/>
      </rPr>
      <t xml:space="preserve">178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</si>
  <si>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인천재능고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재능고등학교</t>
    </r>
    <r>
      <rPr>
        <sz val="10"/>
        <rFont val="맑은 고딕"/>
        <family val="0"/>
        <charset val="1"/>
      </rPr>
      <t xml:space="preserve">"</t>
    </r>
  </si>
  <si>
    <t xml:space="preserve">인천주안남초등학교</t>
  </si>
  <si>
    <t xml:space="preserve">032-424-7247</t>
  </si>
  <si>
    <t xml:space="preserve">http://juannam.icees.kr</t>
  </si>
  <si>
    <r>
      <rPr>
        <sz val="10"/>
        <rFont val="Noto Sans CJK SC"/>
        <family val="2"/>
      </rPr>
      <t xml:space="preserve">인천광역시 미추홀구 인주대로</t>
    </r>
    <r>
      <rPr>
        <sz val="10"/>
        <rFont val="맑은 고딕"/>
        <family val="0"/>
        <charset val="1"/>
      </rPr>
      <t xml:space="preserve">434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11</t>
    </r>
  </si>
  <si>
    <t xml:space="preserve">인천학익초등학교</t>
  </si>
  <si>
    <t xml:space="preserve">032-629-0430</t>
  </si>
  <si>
    <t xml:space="preserve">http://hagik.icees.kr</t>
  </si>
  <si>
    <r>
      <rPr>
        <sz val="10"/>
        <rFont val="Noto Sans CJK SC"/>
        <family val="2"/>
      </rPr>
      <t xml:space="preserve">인천광역시 미추홀구 한나루로</t>
    </r>
    <r>
      <rPr>
        <sz val="10"/>
        <rFont val="맑은 고딕"/>
        <family val="0"/>
        <charset val="1"/>
      </rPr>
      <t xml:space="preserve">403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122</t>
    </r>
  </si>
  <si>
    <t xml:space="preserve">남인천여자중학교</t>
  </si>
  <si>
    <t xml:space="preserve">032-629-2469</t>
  </si>
  <si>
    <t xml:space="preserve">http://namincheon.icems.kr</t>
  </si>
  <si>
    <r>
      <rPr>
        <sz val="10"/>
        <rFont val="Noto Sans CJK SC"/>
        <family val="2"/>
      </rPr>
      <t xml:space="preserve">인천광역시 미추홀구 인하로 </t>
    </r>
    <r>
      <rPr>
        <sz val="10"/>
        <rFont val="맑은 고딕"/>
        <family val="0"/>
        <charset val="1"/>
      </rPr>
      <t xml:space="preserve">426</t>
    </r>
  </si>
  <si>
    <t xml:space="preserve">032-766-5690</t>
  </si>
  <si>
    <t xml:space="preserve">http://sunhwa.icems.kr</t>
  </si>
  <si>
    <t xml:space="preserve">용현여자중학교</t>
  </si>
  <si>
    <t xml:space="preserve">032-884-8462</t>
  </si>
  <si>
    <t xml:space="preserve">http://yhg.icems.kr</t>
  </si>
  <si>
    <r>
      <rPr>
        <sz val="10"/>
        <rFont val="Noto Sans CJK SC"/>
        <family val="2"/>
      </rPr>
      <t xml:space="preserve">인천광역시 미추홀구 낙섬동로 </t>
    </r>
    <r>
      <rPr>
        <sz val="10"/>
        <rFont val="맑은 고딕"/>
        <family val="0"/>
        <charset val="1"/>
      </rPr>
      <t xml:space="preserve">28</t>
    </r>
  </si>
  <si>
    <t xml:space="preserve">인천남중학교</t>
  </si>
  <si>
    <t xml:space="preserve">032-882-2503</t>
  </si>
  <si>
    <t xml:space="preserve">http://icnamjung.icems.kr</t>
  </si>
  <si>
    <r>
      <rPr>
        <sz val="10"/>
        <rFont val="Noto Sans CJK SC"/>
        <family val="2"/>
      </rPr>
      <t xml:space="preserve">인천광역시 미추홀구 수봉로 </t>
    </r>
    <r>
      <rPr>
        <sz val="10"/>
        <rFont val="맑은 고딕"/>
        <family val="0"/>
        <charset val="1"/>
      </rPr>
      <t xml:space="preserve">16-23</t>
    </r>
  </si>
  <si>
    <t xml:space="preserve">인천운서중학교</t>
  </si>
  <si>
    <t xml:space="preserve">032-310-8700</t>
  </si>
  <si>
    <t xml:space="preserve">http://unseo.icems.kr</t>
  </si>
  <si>
    <r>
      <rPr>
        <sz val="10"/>
        <rFont val="Noto Sans CJK SC"/>
        <family val="2"/>
      </rPr>
      <t xml:space="preserve">인천광역시 영종구 하늘초롱길 </t>
    </r>
    <r>
      <rPr>
        <sz val="10"/>
        <rFont val="맑은 고딕"/>
        <family val="0"/>
        <charset val="1"/>
      </rPr>
      <t xml:space="preserve">73</t>
    </r>
  </si>
  <si>
    <t xml:space="preserve">인천하늘중학교</t>
  </si>
  <si>
    <t xml:space="preserve">032-452-6100</t>
  </si>
  <si>
    <t xml:space="preserve">http://haneul.icems.kr</t>
  </si>
  <si>
    <r>
      <rPr>
        <sz val="10"/>
        <rFont val="Noto Sans CJK SC"/>
        <family val="2"/>
      </rPr>
      <t xml:space="preserve">인천광역시 영종구 찬들로</t>
    </r>
    <r>
      <rPr>
        <sz val="10"/>
        <rFont val="맑은 고딕"/>
        <family val="0"/>
        <charset val="1"/>
      </rPr>
      <t xml:space="preserve">284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16</t>
    </r>
  </si>
  <si>
    <t xml:space="preserve">덕적초등학교</t>
  </si>
  <si>
    <t xml:space="preserve">032-832-2748</t>
  </si>
  <si>
    <t xml:space="preserve">http://deokjeok.icehs.kr</t>
  </si>
  <si>
    <r>
      <rPr>
        <sz val="10"/>
        <rFont val="Noto Sans CJK SC"/>
        <family val="2"/>
      </rPr>
      <t xml:space="preserve">인천광역시 옹진군 덕적면 덕적남로 </t>
    </r>
    <r>
      <rPr>
        <sz val="10"/>
        <rFont val="맑은 고딕"/>
        <family val="0"/>
        <charset val="1"/>
      </rPr>
      <t xml:space="preserve">15</t>
    </r>
  </si>
  <si>
    <t xml:space="preserve">인천연안초등학교</t>
  </si>
  <si>
    <t xml:space="preserve">032-629-1444</t>
  </si>
  <si>
    <t xml:space="preserve">http://yonan.icees.kr/main.do</t>
  </si>
  <si>
    <r>
      <rPr>
        <sz val="10"/>
        <rFont val="Noto Sans CJK SC"/>
        <family val="2"/>
      </rPr>
      <t xml:space="preserve">인천광역시 제물포구 연안부두로</t>
    </r>
    <r>
      <rPr>
        <sz val="10"/>
        <rFont val="맑은 고딕"/>
        <family val="0"/>
        <charset val="1"/>
      </rPr>
      <t xml:space="preserve">33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53</t>
    </r>
  </si>
  <si>
    <t xml:space="preserve">재능중학교</t>
  </si>
  <si>
    <t xml:space="preserve">032-627-6950</t>
  </si>
  <si>
    <t xml:space="preserve">http://jei.icems.kr</t>
  </si>
  <si>
    <t xml:space="preserve">인천담방초등학교</t>
  </si>
  <si>
    <t xml:space="preserve">032-468-8074</t>
  </si>
  <si>
    <t xml:space="preserve">http://dambang.icees.kr</t>
  </si>
  <si>
    <r>
      <rPr>
        <sz val="10"/>
        <rFont val="Noto Sans CJK SC"/>
        <family val="2"/>
      </rPr>
      <t xml:space="preserve">인천광역시 남동구 매소홀로 </t>
    </r>
    <r>
      <rPr>
        <sz val="10"/>
        <rFont val="맑은 고딕"/>
        <family val="0"/>
        <charset val="1"/>
      </rPr>
      <t xml:space="preserve">1027</t>
    </r>
  </si>
  <si>
    <t xml:space="preserve">인천상아초등학교</t>
  </si>
  <si>
    <t xml:space="preserve">032-473-3023</t>
  </si>
  <si>
    <t xml:space="preserve">http://sang-a.icees.kr</t>
  </si>
  <si>
    <r>
      <rPr>
        <sz val="10"/>
        <rFont val="Noto Sans CJK SC"/>
        <family val="2"/>
      </rPr>
      <t xml:space="preserve">인천광역시 남동구 석산로</t>
    </r>
    <r>
      <rPr>
        <sz val="10"/>
        <rFont val="맑은 고딕"/>
        <family val="0"/>
        <charset val="1"/>
      </rPr>
      <t xml:space="preserve">184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66</t>
    </r>
  </si>
  <si>
    <t xml:space="preserve">인천새말초등학교</t>
  </si>
  <si>
    <t xml:space="preserve">032-472-6122</t>
  </si>
  <si>
    <t xml:space="preserve">http://saemal.icees.kr</t>
  </si>
  <si>
    <r>
      <rPr>
        <sz val="10"/>
        <rFont val="Noto Sans CJK SC"/>
        <family val="2"/>
      </rPr>
      <t xml:space="preserve">인천광역시 남동구 만수로</t>
    </r>
    <r>
      <rPr>
        <sz val="10"/>
        <rFont val="맑은 고딕"/>
        <family val="0"/>
        <charset val="1"/>
      </rPr>
      <t xml:space="preserve">50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12</t>
    </r>
  </si>
  <si>
    <t xml:space="preserve">인천석정초등학교</t>
  </si>
  <si>
    <t xml:space="preserve">032-431-3932</t>
  </si>
  <si>
    <t xml:space="preserve">http://icsj.icees.kr</t>
  </si>
  <si>
    <r>
      <rPr>
        <sz val="10"/>
        <rFont val="Noto Sans CJK SC"/>
        <family val="2"/>
      </rPr>
      <t xml:space="preserve">인천광역시 남동구 석정로</t>
    </r>
    <r>
      <rPr>
        <sz val="10"/>
        <rFont val="맑은 고딕"/>
        <family val="0"/>
        <charset val="1"/>
      </rPr>
      <t xml:space="preserve">539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32</t>
    </r>
  </si>
  <si>
    <t xml:space="preserve">인천약산초등학교</t>
  </si>
  <si>
    <t xml:space="preserve">032-424-7204</t>
  </si>
  <si>
    <t xml:space="preserve">http://yaksan.icees.kr</t>
  </si>
  <si>
    <r>
      <rPr>
        <sz val="10"/>
        <rFont val="Noto Sans CJK SC"/>
        <family val="2"/>
      </rPr>
      <t xml:space="preserve">인천광역시 남동구 간석로</t>
    </r>
    <r>
      <rPr>
        <sz val="10"/>
        <rFont val="맑은 고딕"/>
        <family val="0"/>
        <charset val="1"/>
      </rPr>
      <t xml:space="preserve">26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10</t>
    </r>
  </si>
  <si>
    <t xml:space="preserve">숭덕여자중학교</t>
  </si>
  <si>
    <t xml:space="preserve">032-463-7436</t>
  </si>
  <si>
    <t xml:space="preserve">http://soongduk.icems.kr</t>
  </si>
  <si>
    <r>
      <rPr>
        <sz val="10"/>
        <rFont val="Noto Sans CJK SC"/>
        <family val="2"/>
      </rPr>
      <t xml:space="preserve">인천광역시 남동구 만수로</t>
    </r>
    <r>
      <rPr>
        <sz val="10"/>
        <rFont val="맑은 고딕"/>
        <family val="0"/>
        <charset val="1"/>
      </rPr>
      <t xml:space="preserve">73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20-23</t>
    </r>
  </si>
  <si>
    <t xml:space="preserve">인천문남초등학교</t>
  </si>
  <si>
    <t xml:space="preserve">032-815-2078</t>
  </si>
  <si>
    <t xml:space="preserve">http://munnam.icees.kr</t>
  </si>
  <si>
    <r>
      <rPr>
        <sz val="10"/>
        <rFont val="Noto Sans CJK SC"/>
        <family val="2"/>
      </rPr>
      <t xml:space="preserve">인천광역시 연수구 먼우금로 </t>
    </r>
    <r>
      <rPr>
        <sz val="10"/>
        <rFont val="맑은 고딕"/>
        <family val="0"/>
        <charset val="1"/>
      </rPr>
      <t xml:space="preserve">273</t>
    </r>
  </si>
  <si>
    <t xml:space="preserve">인천선학초등학교</t>
  </si>
  <si>
    <t xml:space="preserve">032-814-2571</t>
  </si>
  <si>
    <t xml:space="preserve">http://seonhak.icees.kr</t>
  </si>
  <si>
    <r>
      <rPr>
        <sz val="10"/>
        <rFont val="Noto Sans CJK SC"/>
        <family val="2"/>
      </rPr>
      <t xml:space="preserve">인천광역시 연수구 선학로 </t>
    </r>
    <r>
      <rPr>
        <sz val="10"/>
        <rFont val="맑은 고딕"/>
        <family val="0"/>
        <charset val="1"/>
      </rPr>
      <t xml:space="preserve">67</t>
    </r>
  </si>
  <si>
    <t xml:space="preserve">인천송원초등학교</t>
  </si>
  <si>
    <t xml:space="preserve">032-830-7300</t>
  </si>
  <si>
    <t xml:space="preserve">http://songwon.icees.kr</t>
  </si>
  <si>
    <r>
      <rPr>
        <sz val="10"/>
        <rFont val="Noto Sans CJK SC"/>
        <family val="2"/>
      </rPr>
      <t xml:space="preserve">인천광역시 연수구 송도과학로</t>
    </r>
    <r>
      <rPr>
        <sz val="10"/>
        <rFont val="맑은 고딕"/>
        <family val="0"/>
        <charset val="1"/>
      </rPr>
      <t xml:space="preserve">51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60</t>
    </r>
  </si>
  <si>
    <t xml:space="preserve">인천예송중학교</t>
  </si>
  <si>
    <t xml:space="preserve">032-340-8600</t>
  </si>
  <si>
    <t xml:space="preserve">http://yesong.icems.kr</t>
  </si>
  <si>
    <r>
      <rPr>
        <sz val="10"/>
        <rFont val="Noto Sans CJK SC"/>
        <family val="2"/>
      </rPr>
      <t xml:space="preserve">인천광역시 연수구 아카데미로 </t>
    </r>
    <r>
      <rPr>
        <sz val="10"/>
        <rFont val="맑은 고딕"/>
        <family val="0"/>
        <charset val="1"/>
      </rPr>
      <t xml:space="preserve">212</t>
    </r>
  </si>
  <si>
    <t xml:space="preserve">인천당산초등학교</t>
  </si>
  <si>
    <t xml:space="preserve">032-515-3873</t>
  </si>
  <si>
    <t xml:space="preserve">http://dangsan.icees.kr</t>
  </si>
  <si>
    <r>
      <rPr>
        <sz val="10"/>
        <rFont val="Noto Sans CJK SC"/>
        <family val="2"/>
      </rPr>
      <t xml:space="preserve">인천광역시 계양구 동양로 </t>
    </r>
    <r>
      <rPr>
        <sz val="10"/>
        <rFont val="맑은 고딕"/>
        <family val="0"/>
        <charset val="1"/>
      </rPr>
      <t xml:space="preserve">122</t>
    </r>
  </si>
  <si>
    <t xml:space="preserve">인천명현초등학교</t>
  </si>
  <si>
    <t xml:space="preserve">032-546-3470</t>
  </si>
  <si>
    <t xml:space="preserve">http://i-mh.icees.kr</t>
  </si>
  <si>
    <r>
      <rPr>
        <sz val="10"/>
        <rFont val="Noto Sans CJK SC"/>
        <family val="2"/>
      </rPr>
      <t xml:space="preserve">인천광역시 계양구 봉오대로</t>
    </r>
    <r>
      <rPr>
        <sz val="10"/>
        <rFont val="맑은 고딕"/>
        <family val="0"/>
        <charset val="1"/>
      </rPr>
      <t xml:space="preserve">569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10</t>
    </r>
  </si>
  <si>
    <t xml:space="preserve">인천서운초등학교</t>
  </si>
  <si>
    <t xml:space="preserve">032-555-2271</t>
  </si>
  <si>
    <t xml:space="preserve">http://seowoon.icees.kr</t>
  </si>
  <si>
    <r>
      <rPr>
        <sz val="10"/>
        <rFont val="Noto Sans CJK SC"/>
        <family val="2"/>
      </rPr>
      <t xml:space="preserve">인천광역시 계양구 서운로 </t>
    </r>
    <r>
      <rPr>
        <sz val="10"/>
        <rFont val="맑은 고딕"/>
        <family val="0"/>
        <charset val="1"/>
      </rPr>
      <t xml:space="preserve">12</t>
    </r>
  </si>
  <si>
    <t xml:space="preserve">인천굴포초등학교</t>
  </si>
  <si>
    <t xml:space="preserve">032-511-3870</t>
  </si>
  <si>
    <t xml:space="preserve">http://gulpo.icees.kr</t>
  </si>
  <si>
    <r>
      <rPr>
        <sz val="10"/>
        <rFont val="Noto Sans CJK SC"/>
        <family val="2"/>
      </rPr>
      <t xml:space="preserve">인천광역시 부평구 충선로</t>
    </r>
    <r>
      <rPr>
        <sz val="10"/>
        <rFont val="맑은 고딕"/>
        <family val="0"/>
        <charset val="1"/>
      </rPr>
      <t xml:space="preserve">234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19</t>
    </r>
  </si>
  <si>
    <t xml:space="preserve">인천동암초등학교</t>
  </si>
  <si>
    <t xml:space="preserve">032-424-6670</t>
  </si>
  <si>
    <t xml:space="preserve">http://dongam.icees.kr/main.do</t>
  </si>
  <si>
    <r>
      <rPr>
        <sz val="10"/>
        <rFont val="Noto Sans CJK SC"/>
        <family val="2"/>
      </rPr>
      <t xml:space="preserve">인천광역시 부평구 동암남로</t>
    </r>
    <r>
      <rPr>
        <sz val="10"/>
        <rFont val="맑은 고딕"/>
        <family val="0"/>
        <charset val="1"/>
      </rPr>
      <t xml:space="preserve">35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</t>
    </r>
  </si>
  <si>
    <t xml:space="preserve">인천부개서초등학교</t>
  </si>
  <si>
    <t xml:space="preserve">032-502-5306</t>
  </si>
  <si>
    <t xml:space="preserve">http://bugaeseo.icees.kr</t>
  </si>
  <si>
    <r>
      <rPr>
        <sz val="10"/>
        <rFont val="Noto Sans CJK SC"/>
        <family val="2"/>
      </rPr>
      <t xml:space="preserve">인천광역시 부평구 부일로 </t>
    </r>
    <r>
      <rPr>
        <sz val="10"/>
        <rFont val="맑은 고딕"/>
        <family val="0"/>
        <charset val="1"/>
      </rPr>
      <t xml:space="preserve">39</t>
    </r>
  </si>
  <si>
    <t xml:space="preserve">인천부내초등학교</t>
  </si>
  <si>
    <t xml:space="preserve">032-361-8122</t>
  </si>
  <si>
    <t xml:space="preserve">http://bunae.icees.kr/main.do</t>
  </si>
  <si>
    <r>
      <rPr>
        <sz val="10"/>
        <rFont val="Noto Sans CJK SC"/>
        <family val="2"/>
      </rPr>
      <t xml:space="preserve">인천광역시 부평구 수변로 </t>
    </r>
    <r>
      <rPr>
        <sz val="10"/>
        <rFont val="맑은 고딕"/>
        <family val="0"/>
        <charset val="1"/>
      </rPr>
      <t xml:space="preserve">129</t>
    </r>
  </si>
  <si>
    <t xml:space="preserve">인천부흥초등학교</t>
  </si>
  <si>
    <t xml:space="preserve">032-522-6708</t>
  </si>
  <si>
    <t xml:space="preserve">http://bh.icees.kr</t>
  </si>
  <si>
    <r>
      <rPr>
        <sz val="10"/>
        <rFont val="Noto Sans CJK SC"/>
        <family val="2"/>
      </rPr>
      <t xml:space="preserve">인천광역시 부평구 부흥로</t>
    </r>
    <r>
      <rPr>
        <sz val="10"/>
        <rFont val="맑은 고딕"/>
        <family val="0"/>
        <charset val="1"/>
      </rPr>
      <t xml:space="preserve">366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34</t>
    </r>
  </si>
  <si>
    <t xml:space="preserve">인천삼산초등학교</t>
  </si>
  <si>
    <t xml:space="preserve">032-525-0163</t>
  </si>
  <si>
    <t xml:space="preserve">http://isamsan.icees.kr</t>
  </si>
  <si>
    <r>
      <rPr>
        <sz val="10"/>
        <rFont val="Noto Sans CJK SC"/>
        <family val="2"/>
      </rPr>
      <t xml:space="preserve">인천광역시 부평구 후정동로 </t>
    </r>
    <r>
      <rPr>
        <sz val="10"/>
        <rFont val="맑은 고딕"/>
        <family val="0"/>
        <charset val="1"/>
      </rPr>
      <t xml:space="preserve">44</t>
    </r>
  </si>
  <si>
    <t xml:space="preserve">인천하정초등학교</t>
  </si>
  <si>
    <t xml:space="preserve">032-429-3866</t>
  </si>
  <si>
    <t xml:space="preserve">http://hj.icees.kr</t>
  </si>
  <si>
    <r>
      <rPr>
        <sz val="10"/>
        <rFont val="Noto Sans CJK SC"/>
        <family val="2"/>
      </rPr>
      <t xml:space="preserve">인천광역시 부평구 이규보로 </t>
    </r>
    <r>
      <rPr>
        <sz val="10"/>
        <rFont val="맑은 고딕"/>
        <family val="0"/>
        <charset val="1"/>
      </rPr>
      <t xml:space="preserve">14</t>
    </r>
  </si>
  <si>
    <t xml:space="preserve">인천후정초등학교</t>
  </si>
  <si>
    <t xml:space="preserve">032-517-2651</t>
  </si>
  <si>
    <t xml:space="preserve">http://hujeong.icees.kr</t>
  </si>
  <si>
    <r>
      <rPr>
        <sz val="10"/>
        <rFont val="Noto Sans CJK SC"/>
        <family val="2"/>
      </rPr>
      <t xml:space="preserve">인천광역시 부평구 영성서로 </t>
    </r>
    <r>
      <rPr>
        <sz val="10"/>
        <rFont val="맑은 고딕"/>
        <family val="0"/>
        <charset val="1"/>
      </rPr>
      <t xml:space="preserve">56</t>
    </r>
  </si>
  <si>
    <t xml:space="preserve">부원중학교</t>
  </si>
  <si>
    <t xml:space="preserve">032-505-2632</t>
  </si>
  <si>
    <t xml:space="preserve">http://buwon.icems.kr</t>
  </si>
  <si>
    <r>
      <rPr>
        <sz val="10"/>
        <rFont val="Noto Sans CJK SC"/>
        <family val="2"/>
      </rPr>
      <t xml:space="preserve">인천광역시 부평구 경원대로 </t>
    </r>
    <r>
      <rPr>
        <sz val="10"/>
        <rFont val="맑은 고딕"/>
        <family val="0"/>
        <charset val="1"/>
      </rPr>
      <t xml:space="preserve">1339</t>
    </r>
  </si>
  <si>
    <t xml:space="preserve">인천검단초등학교</t>
  </si>
  <si>
    <t xml:space="preserve">032-563-5988</t>
  </si>
  <si>
    <t xml:space="preserve">http://gumdan.icees.kr</t>
  </si>
  <si>
    <r>
      <rPr>
        <sz val="10"/>
        <rFont val="Noto Sans CJK SC"/>
        <family val="2"/>
      </rPr>
      <t xml:space="preserve">인천광역시 검단구 마전로</t>
    </r>
    <r>
      <rPr>
        <sz val="10"/>
        <rFont val="맑은 고딕"/>
        <family val="0"/>
        <charset val="1"/>
      </rPr>
      <t xml:space="preserve">115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24</t>
    </r>
  </si>
  <si>
    <t xml:space="preserve">인천신검단초등학교</t>
  </si>
  <si>
    <t xml:space="preserve">032-500-7100</t>
  </si>
  <si>
    <t xml:space="preserve">http://shin.icees.kr</t>
  </si>
  <si>
    <r>
      <rPr>
        <sz val="10"/>
        <rFont val="Noto Sans CJK SC"/>
        <family val="2"/>
      </rPr>
      <t xml:space="preserve">인천광역시 검단구 금정로 </t>
    </r>
    <r>
      <rPr>
        <sz val="10"/>
        <rFont val="맑은 고딕"/>
        <family val="0"/>
        <charset val="1"/>
      </rPr>
      <t xml:space="preserve">55</t>
    </r>
  </si>
  <si>
    <t xml:space="preserve">인천한별초등학교</t>
  </si>
  <si>
    <t xml:space="preserve">032-453-9000</t>
  </si>
  <si>
    <t xml:space="preserve">http://hanbyeol.icees.kr</t>
  </si>
  <si>
    <r>
      <rPr>
        <sz val="10"/>
        <rFont val="Noto Sans CJK SC"/>
        <family val="2"/>
      </rPr>
      <t xml:space="preserve">인천광역시 검단구 서로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201</t>
    </r>
  </si>
  <si>
    <t xml:space="preserve">인천가림초등학교</t>
  </si>
  <si>
    <t xml:space="preserve">032-571-6230</t>
  </si>
  <si>
    <t xml:space="preserve">http://igarim.icees.kr</t>
  </si>
  <si>
    <r>
      <rPr>
        <sz val="10"/>
        <rFont val="Noto Sans CJK SC"/>
        <family val="2"/>
      </rPr>
      <t xml:space="preserve">인천광역시 서해구 장고개로</t>
    </r>
    <r>
      <rPr>
        <sz val="10"/>
        <rFont val="맑은 고딕"/>
        <family val="0"/>
        <charset val="1"/>
      </rPr>
      <t xml:space="preserve">293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29</t>
    </r>
  </si>
  <si>
    <t xml:space="preserve">인천간재울초등학교</t>
  </si>
  <si>
    <t xml:space="preserve">032-568-9161</t>
  </si>
  <si>
    <t xml:space="preserve">http://gjw.icees.kr</t>
  </si>
  <si>
    <r>
      <rPr>
        <sz val="10"/>
        <rFont val="Noto Sans CJK SC"/>
        <family val="2"/>
      </rPr>
      <t xml:space="preserve">인천광역시 서해구 승학로 </t>
    </r>
    <r>
      <rPr>
        <sz val="10"/>
        <rFont val="맑은 고딕"/>
        <family val="0"/>
        <charset val="1"/>
      </rPr>
      <t xml:space="preserve">433</t>
    </r>
  </si>
  <si>
    <t xml:space="preserve">인천경연초등학교</t>
  </si>
  <si>
    <t xml:space="preserve">http://igy.icees.kr</t>
  </si>
  <si>
    <t xml:space="preserve">인천신석초등학교</t>
  </si>
  <si>
    <t xml:space="preserve">032-572-0185</t>
  </si>
  <si>
    <t xml:space="preserve">http://sinseok.icees.kr</t>
  </si>
  <si>
    <r>
      <rPr>
        <sz val="10"/>
        <rFont val="Noto Sans CJK SC"/>
        <family val="2"/>
      </rPr>
      <t xml:space="preserve">인천광역시 서해구 새오개로 </t>
    </r>
    <r>
      <rPr>
        <sz val="10"/>
        <rFont val="맑은 고딕"/>
        <family val="0"/>
        <charset val="1"/>
      </rPr>
      <t xml:space="preserve">9</t>
    </r>
  </si>
  <si>
    <t xml:space="preserve">인천심곡초등학교</t>
  </si>
  <si>
    <t xml:space="preserve">032-562-8620</t>
  </si>
  <si>
    <t xml:space="preserve">http://simgok.icees.kr</t>
  </si>
  <si>
    <r>
      <rPr>
        <sz val="10"/>
        <rFont val="Noto Sans CJK SC"/>
        <family val="2"/>
      </rPr>
      <t xml:space="preserve">인천광역시 서해구 심곡로 </t>
    </r>
    <r>
      <rPr>
        <sz val="10"/>
        <rFont val="맑은 고딕"/>
        <family val="0"/>
        <charset val="1"/>
      </rPr>
      <t xml:space="preserve">114</t>
    </r>
  </si>
  <si>
    <t xml:space="preserve">인천초은초등학교</t>
  </si>
  <si>
    <t xml:space="preserve">032-569-3124</t>
  </si>
  <si>
    <t xml:space="preserve">http://choeun.icees.kr</t>
  </si>
  <si>
    <r>
      <rPr>
        <sz val="10"/>
        <rFont val="Noto Sans CJK SC"/>
        <family val="2"/>
      </rPr>
      <t xml:space="preserve">인천광역시 서해구 청라에메랄드로 </t>
    </r>
    <r>
      <rPr>
        <sz val="10"/>
        <rFont val="맑은 고딕"/>
        <family val="0"/>
        <charset val="1"/>
      </rPr>
      <t xml:space="preserve">33</t>
    </r>
  </si>
  <si>
    <t xml:space="preserve">인천해원초등학교</t>
  </si>
  <si>
    <t xml:space="preserve">032-560-2213</t>
  </si>
  <si>
    <t xml:space="preserve">http://haewon.icees.kr</t>
  </si>
  <si>
    <r>
      <rPr>
        <sz val="10"/>
        <rFont val="Noto Sans CJK SC"/>
        <family val="2"/>
      </rPr>
      <t xml:space="preserve">인천광역시 서해구 청라사파이어로</t>
    </r>
    <r>
      <rPr>
        <sz val="10"/>
        <rFont val="맑은 고딕"/>
        <family val="0"/>
        <charset val="1"/>
      </rPr>
      <t xml:space="preserve">140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5</t>
    </r>
  </si>
  <si>
    <t xml:space="preserve">간재울중학교</t>
  </si>
  <si>
    <t xml:space="preserve">032-568-1628</t>
  </si>
  <si>
    <t xml:space="preserve">http://ganjaeul.icems.kr/main.do</t>
  </si>
  <si>
    <r>
      <rPr>
        <sz val="10"/>
        <rFont val="Noto Sans CJK SC"/>
        <family val="2"/>
      </rPr>
      <t xml:space="preserve">인천광역시 서해구 승학로</t>
    </r>
    <r>
      <rPr>
        <sz val="10"/>
        <rFont val="맑은 고딕"/>
        <family val="0"/>
        <charset val="1"/>
      </rPr>
      <t xml:space="preserve">512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34</t>
    </r>
  </si>
  <si>
    <t xml:space="preserve">인천청람중학교</t>
  </si>
  <si>
    <t xml:space="preserve">032-568-8171</t>
  </si>
  <si>
    <t xml:space="preserve">http://icr.icems.kr</t>
  </si>
  <si>
    <r>
      <rPr>
        <sz val="10"/>
        <rFont val="Noto Sans CJK SC"/>
        <family val="2"/>
      </rPr>
      <t xml:space="preserve">인천광역시 서해구 청라커낼로 </t>
    </r>
    <r>
      <rPr>
        <sz val="10"/>
        <rFont val="맑은 고딕"/>
        <family val="0"/>
        <charset val="1"/>
      </rPr>
      <t xml:space="preserve">335</t>
    </r>
  </si>
  <si>
    <t xml:space="preserve">제물포중학교</t>
  </si>
  <si>
    <t xml:space="preserve">032-578-5826</t>
  </si>
  <si>
    <t xml:space="preserve">http://jemulpo.icems.kr</t>
  </si>
  <si>
    <r>
      <rPr>
        <sz val="10"/>
        <rFont val="Noto Sans CJK SC"/>
        <family val="2"/>
      </rPr>
      <t xml:space="preserve">인천광역시 서해구 여우재로</t>
    </r>
    <r>
      <rPr>
        <sz val="10"/>
        <rFont val="맑은 고딕"/>
        <family val="0"/>
        <charset val="1"/>
      </rPr>
      <t xml:space="preserve">112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7</t>
    </r>
  </si>
  <si>
    <t xml:space="preserve">조선대학교여자중학교</t>
  </si>
  <si>
    <t xml:space="preserve">062-230-9400</t>
  </si>
  <si>
    <t xml:space="preserve">http://chosun-g.gen.ms.kr</t>
  </si>
  <si>
    <r>
      <rPr>
        <sz val="10"/>
        <rFont val="Noto Sans CJK SC"/>
        <family val="2"/>
      </rPr>
      <t xml:space="preserve">전남광주통합특별시 동구 지산로 </t>
    </r>
    <r>
      <rPr>
        <sz val="10"/>
        <rFont val="맑은 고딕"/>
        <family val="0"/>
        <charset val="1"/>
      </rPr>
      <t xml:space="preserve">16</t>
    </r>
  </si>
  <si>
    <t xml:space="preserve">광주서산초등학교</t>
  </si>
  <si>
    <t xml:space="preserve">062-260-8800</t>
  </si>
  <si>
    <t xml:space="preserve">http://kseosan.gen.es.kr</t>
  </si>
  <si>
    <r>
      <rPr>
        <sz val="10"/>
        <rFont val="Noto Sans CJK SC"/>
        <family val="2"/>
      </rPr>
      <t xml:space="preserve">전남광주통합특별시 북구 우치로 </t>
    </r>
    <r>
      <rPr>
        <sz val="10"/>
        <rFont val="맑은 고딕"/>
        <family val="0"/>
        <charset val="1"/>
      </rPr>
      <t xml:space="preserve">263</t>
    </r>
  </si>
  <si>
    <t xml:space="preserve">광주우산초등학교</t>
  </si>
  <si>
    <t xml:space="preserve">062-260-1700</t>
  </si>
  <si>
    <t xml:space="preserve">http://woosan.gen.es.kr</t>
  </si>
  <si>
    <r>
      <rPr>
        <sz val="10"/>
        <rFont val="Noto Sans CJK SC"/>
        <family val="2"/>
      </rPr>
      <t xml:space="preserve">전남광주통합특별시 북구 서방로</t>
    </r>
    <r>
      <rPr>
        <sz val="10"/>
        <rFont val="맑은 고딕"/>
        <family val="0"/>
        <charset val="1"/>
      </rPr>
      <t xml:space="preserve">63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67</t>
    </r>
  </si>
  <si>
    <t xml:space="preserve">광주풍향초등학교</t>
  </si>
  <si>
    <t xml:space="preserve">062-609-1104</t>
  </si>
  <si>
    <t xml:space="preserve">http://punghyang.gen.es.kr</t>
  </si>
  <si>
    <r>
      <rPr>
        <sz val="10"/>
        <rFont val="Noto Sans CJK SC"/>
        <family val="2"/>
      </rPr>
      <t xml:space="preserve">전남광주통합특별시 북구 군왕로</t>
    </r>
    <r>
      <rPr>
        <sz val="10"/>
        <rFont val="맑은 고딕"/>
        <family val="0"/>
        <charset val="1"/>
      </rPr>
      <t xml:space="preserve">51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77</t>
    </r>
  </si>
  <si>
    <t xml:space="preserve">동림초등학교</t>
  </si>
  <si>
    <t xml:space="preserve">062-520-6601</t>
  </si>
  <si>
    <t xml:space="preserve">http://dongrim.gen.es.kr</t>
  </si>
  <si>
    <r>
      <rPr>
        <sz val="10"/>
        <rFont val="Noto Sans CJK SC"/>
        <family val="2"/>
      </rPr>
      <t xml:space="preserve">전남광주통합특별시 북구 동림용산로 </t>
    </r>
    <r>
      <rPr>
        <sz val="10"/>
        <rFont val="맑은 고딕"/>
        <family val="0"/>
        <charset val="1"/>
      </rPr>
      <t xml:space="preserve">7</t>
    </r>
  </si>
  <si>
    <t xml:space="preserve">광주동신여자중학교</t>
  </si>
  <si>
    <t xml:space="preserve">062-520-7350</t>
  </si>
  <si>
    <t xml:space="preserve">http://kdsg.gen.ms.kr</t>
  </si>
  <si>
    <t xml:space="preserve">광주숭일중학교</t>
  </si>
  <si>
    <t xml:space="preserve">062-520-0700</t>
  </si>
  <si>
    <t xml:space="preserve">http://soongil.gen.ms.kr</t>
  </si>
  <si>
    <r>
      <rPr>
        <sz val="10"/>
        <rFont val="Noto Sans CJK SC"/>
        <family val="2"/>
      </rPr>
      <t xml:space="preserve">전남광주통합특별시 북구 모룡대길 </t>
    </r>
    <r>
      <rPr>
        <sz val="10"/>
        <rFont val="맑은 고딕"/>
        <family val="0"/>
        <charset val="1"/>
      </rPr>
      <t xml:space="preserve">40</t>
    </r>
  </si>
  <si>
    <t xml:space="preserve">금호중앙중학교</t>
  </si>
  <si>
    <t xml:space="preserve">062-605-5001</t>
  </si>
  <si>
    <t xml:space="preserve">http://kumho-jungang.gen.ms.kr</t>
  </si>
  <si>
    <r>
      <rPr>
        <sz val="10"/>
        <rFont val="Noto Sans CJK SC"/>
        <family val="2"/>
      </rPr>
      <t xml:space="preserve">전남광주통합특별시 북구 금호로 </t>
    </r>
    <r>
      <rPr>
        <sz val="10"/>
        <rFont val="맑은 고딕"/>
        <family val="0"/>
        <charset val="1"/>
      </rPr>
      <t xml:space="preserve">100</t>
    </r>
  </si>
  <si>
    <t xml:space="preserve">문산중학교</t>
  </si>
  <si>
    <t xml:space="preserve">062-260-3500</t>
  </si>
  <si>
    <t xml:space="preserve">http://kms.gen.ms.kr</t>
  </si>
  <si>
    <r>
      <rPr>
        <sz val="10"/>
        <rFont val="Noto Sans CJK SC"/>
        <family val="2"/>
      </rPr>
      <t xml:space="preserve">전남광주통합특별시 북구 대천로 </t>
    </r>
    <r>
      <rPr>
        <sz val="10"/>
        <rFont val="맑은 고딕"/>
        <family val="0"/>
        <charset val="1"/>
      </rPr>
      <t xml:space="preserve">174</t>
    </r>
  </si>
  <si>
    <t xml:space="preserve">산정초등학교</t>
  </si>
  <si>
    <t xml:space="preserve">062-960-3500</t>
  </si>
  <si>
    <t xml:space="preserve">http://sanjeong.jge.es.kr</t>
  </si>
  <si>
    <r>
      <rPr>
        <sz val="10"/>
        <rFont val="Noto Sans CJK SC"/>
        <family val="2"/>
      </rPr>
      <t xml:space="preserve">전남광주통합특별시 광산구 목련로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11</t>
    </r>
  </si>
  <si>
    <t xml:space="preserve">송정중앙초등학교</t>
  </si>
  <si>
    <t xml:space="preserve">062-949-6700</t>
  </si>
  <si>
    <t xml:space="preserve">http://sjc.gen.es.kr</t>
  </si>
  <si>
    <r>
      <rPr>
        <sz val="10"/>
        <rFont val="Noto Sans CJK SC"/>
        <family val="2"/>
      </rPr>
      <t xml:space="preserve">전남광주통합특별시 광산구 어등대로</t>
    </r>
    <r>
      <rPr>
        <sz val="10"/>
        <rFont val="맑은 고딕"/>
        <family val="0"/>
        <charset val="1"/>
      </rPr>
      <t xml:space="preserve">653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90</t>
    </r>
  </si>
  <si>
    <t xml:space="preserve">월봉초등학교</t>
  </si>
  <si>
    <t xml:space="preserve">062-970-3604</t>
  </si>
  <si>
    <t xml:space="preserve">http://k-wolbong.gen.es.kr</t>
  </si>
  <si>
    <r>
      <rPr>
        <sz val="10"/>
        <rFont val="Noto Sans CJK SC"/>
        <family val="2"/>
      </rPr>
      <t xml:space="preserve">전남광주통합특별시 광산구 산월로 </t>
    </r>
    <r>
      <rPr>
        <sz val="10"/>
        <rFont val="맑은 고딕"/>
        <family val="0"/>
        <charset val="1"/>
      </rPr>
      <t xml:space="preserve">101</t>
    </r>
  </si>
  <si>
    <t xml:space="preserve">진만초등학교</t>
  </si>
  <si>
    <t xml:space="preserve">062-958-5677</t>
  </si>
  <si>
    <t xml:space="preserve">http://jinman.gen.es.kr</t>
  </si>
  <si>
    <r>
      <rPr>
        <sz val="10"/>
        <rFont val="Noto Sans CJK SC"/>
        <family val="2"/>
      </rPr>
      <t xml:space="preserve">전남광주통합특별시 광산구 목련로</t>
    </r>
    <r>
      <rPr>
        <sz val="10"/>
        <rFont val="맑은 고딕"/>
        <family val="0"/>
        <charset val="1"/>
      </rPr>
      <t xml:space="preserve">394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40-10</t>
    </r>
  </si>
  <si>
    <t xml:space="preserve">평동초등학교</t>
  </si>
  <si>
    <t xml:space="preserve">062-949-3502</t>
  </si>
  <si>
    <t xml:space="preserve">http://pdong.gen.es.kr</t>
  </si>
  <si>
    <r>
      <rPr>
        <sz val="10"/>
        <rFont val="Noto Sans CJK SC"/>
        <family val="2"/>
      </rPr>
      <t xml:space="preserve">전남광주통합특별시 광산구 평동로 </t>
    </r>
    <r>
      <rPr>
        <sz val="10"/>
        <rFont val="맑은 고딕"/>
        <family val="0"/>
        <charset val="1"/>
      </rPr>
      <t xml:space="preserve">741</t>
    </r>
  </si>
  <si>
    <t xml:space="preserve">광주진흥중학교</t>
  </si>
  <si>
    <t xml:space="preserve">062-960-2240</t>
  </si>
  <si>
    <t xml:space="preserve">http://jinheung.gen.ms.kr</t>
  </si>
  <si>
    <r>
      <rPr>
        <sz val="10"/>
        <rFont val="Noto Sans CJK SC"/>
        <family val="2"/>
      </rPr>
      <t xml:space="preserve">전남광주통합특별시 광산구 왕버들로 </t>
    </r>
    <r>
      <rPr>
        <sz val="10"/>
        <rFont val="맑은 고딕"/>
        <family val="0"/>
        <charset val="1"/>
      </rPr>
      <t xml:space="preserve">307</t>
    </r>
  </si>
  <si>
    <t xml:space="preserve">수완하나중학교</t>
  </si>
  <si>
    <t xml:space="preserve">062-720-2600</t>
  </si>
  <si>
    <t xml:space="preserve">http://suwanhana.jge.ms.kr</t>
  </si>
  <si>
    <r>
      <rPr>
        <sz val="10"/>
        <rFont val="Noto Sans CJK SC"/>
        <family val="2"/>
      </rPr>
      <t xml:space="preserve">전남광주통합특별시 광산구 수완로</t>
    </r>
    <r>
      <rPr>
        <sz val="10"/>
        <rFont val="맑은 고딕"/>
        <family val="0"/>
        <charset val="1"/>
      </rPr>
      <t xml:space="preserve">105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47</t>
    </r>
  </si>
  <si>
    <t xml:space="preserve">첨단중학교</t>
  </si>
  <si>
    <t xml:space="preserve">062-970-9500</t>
  </si>
  <si>
    <t xml:space="preserve">http://cheomdan.gen.ms.kr</t>
  </si>
  <si>
    <r>
      <rPr>
        <sz val="10"/>
        <rFont val="Noto Sans CJK SC"/>
        <family val="2"/>
      </rPr>
      <t xml:space="preserve">전남광주통합특별시 광산구 첨단내촌로 </t>
    </r>
    <r>
      <rPr>
        <sz val="10"/>
        <rFont val="맑은 고딕"/>
        <family val="0"/>
        <charset val="1"/>
      </rPr>
      <t xml:space="preserve">16</t>
    </r>
  </si>
  <si>
    <t xml:space="preserve">광주농성초등학교</t>
  </si>
  <si>
    <t xml:space="preserve">062-360-6528</t>
  </si>
  <si>
    <t xml:space="preserve">http://nongsung.gen.es.kr</t>
  </si>
  <si>
    <r>
      <rPr>
        <sz val="10"/>
        <rFont val="Noto Sans CJK SC"/>
        <family val="2"/>
      </rPr>
      <t xml:space="preserve">전남광주통합특별시 남구 금화로</t>
    </r>
    <r>
      <rPr>
        <sz val="10"/>
        <rFont val="맑은 고딕"/>
        <family val="0"/>
        <charset val="1"/>
      </rPr>
      <t xml:space="preserve">481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7</t>
    </r>
  </si>
  <si>
    <t xml:space="preserve">장산초등학교</t>
  </si>
  <si>
    <t xml:space="preserve">062-650-2309</t>
  </si>
  <si>
    <t xml:space="preserve">http://k-jangsan.gen.es.kr</t>
  </si>
  <si>
    <r>
      <rPr>
        <sz val="10"/>
        <rFont val="Noto Sans CJK SC"/>
        <family val="2"/>
      </rPr>
      <t xml:space="preserve">전남광주통합특별시 남구 회서로 </t>
    </r>
    <r>
      <rPr>
        <sz val="10"/>
        <rFont val="맑은 고딕"/>
        <family val="0"/>
        <charset val="1"/>
      </rPr>
      <t xml:space="preserve">27</t>
    </r>
  </si>
  <si>
    <t xml:space="preserve">계수초등학교</t>
  </si>
  <si>
    <t xml:space="preserve">062-380-2107</t>
  </si>
  <si>
    <t xml:space="preserve">http://gyesu.gen.es.kr</t>
  </si>
  <si>
    <r>
      <rPr>
        <sz val="10"/>
        <rFont val="Noto Sans CJK SC"/>
        <family val="2"/>
      </rPr>
      <t xml:space="preserve">전남광주통합특별시 서구 상무시민로 </t>
    </r>
    <r>
      <rPr>
        <sz val="10"/>
        <rFont val="맑은 고딕"/>
        <family val="0"/>
        <charset val="1"/>
      </rPr>
      <t xml:space="preserve">51</t>
    </r>
  </si>
  <si>
    <t xml:space="preserve">서광초등학교</t>
  </si>
  <si>
    <t xml:space="preserve">062-370-1102</t>
  </si>
  <si>
    <t xml:space="preserve">http://seo-gwang.jge.es.kr</t>
  </si>
  <si>
    <r>
      <rPr>
        <sz val="10"/>
        <rFont val="Noto Sans CJK SC"/>
        <family val="2"/>
      </rPr>
      <t xml:space="preserve">전남광주통합특별시 서구 상무오월로</t>
    </r>
    <r>
      <rPr>
        <sz val="10"/>
        <rFont val="맑은 고딕"/>
        <family val="0"/>
        <charset val="1"/>
      </rPr>
      <t xml:space="preserve">38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36</t>
    </r>
  </si>
  <si>
    <t xml:space="preserve">송학초등학교</t>
  </si>
  <si>
    <t xml:space="preserve">062-602-4017</t>
  </si>
  <si>
    <t xml:space="preserve">http://songhak.gen.es.kr</t>
  </si>
  <si>
    <r>
      <rPr>
        <sz val="10"/>
        <rFont val="Noto Sans CJK SC"/>
        <family val="2"/>
      </rPr>
      <t xml:space="preserve">전남광주통합특별시 서구 눌재로 </t>
    </r>
    <r>
      <rPr>
        <sz val="10"/>
        <rFont val="맑은 고딕"/>
        <family val="0"/>
        <charset val="1"/>
      </rPr>
      <t xml:space="preserve">408</t>
    </r>
  </si>
  <si>
    <t xml:space="preserve">광주동명중학교</t>
  </si>
  <si>
    <t xml:space="preserve">062-603-8130</t>
  </si>
  <si>
    <t xml:space="preserve">http://kdm.gen.ms.kr</t>
  </si>
  <si>
    <r>
      <rPr>
        <sz val="10"/>
        <rFont val="Noto Sans CJK SC"/>
        <family val="2"/>
      </rPr>
      <t xml:space="preserve">전남광주통합특별시 서구 운천로 </t>
    </r>
    <r>
      <rPr>
        <sz val="10"/>
        <rFont val="맑은 고딕"/>
        <family val="0"/>
        <charset val="1"/>
      </rPr>
      <t xml:space="preserve">306</t>
    </r>
  </si>
  <si>
    <t xml:space="preserve">광주서석중학교</t>
  </si>
  <si>
    <t xml:space="preserve">062-360-3900</t>
  </si>
  <si>
    <t xml:space="preserve">http://seoseok.gen.ms.kr</t>
  </si>
  <si>
    <r>
      <rPr>
        <sz val="10"/>
        <rFont val="Noto Sans CJK SC"/>
        <family val="2"/>
      </rPr>
      <t xml:space="preserve">전남광주통합특별시 서구 화정로</t>
    </r>
    <r>
      <rPr>
        <sz val="10"/>
        <rFont val="맑은 고딕"/>
        <family val="0"/>
        <charset val="1"/>
      </rPr>
      <t xml:space="preserve">253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27</t>
    </r>
  </si>
  <si>
    <t xml:space="preserve">상무중학교</t>
  </si>
  <si>
    <t xml:space="preserve">062-380-6363</t>
  </si>
  <si>
    <t xml:space="preserve">http://sangmu.gen.ms.kr</t>
  </si>
  <si>
    <r>
      <rPr>
        <sz val="10"/>
        <rFont val="Noto Sans CJK SC"/>
        <family val="2"/>
      </rPr>
      <t xml:space="preserve">전남광주통합특별시 서구 운천로 </t>
    </r>
    <r>
      <rPr>
        <sz val="10"/>
        <rFont val="맑은 고딕"/>
        <family val="0"/>
        <charset val="1"/>
      </rPr>
      <t xml:space="preserve">142</t>
    </r>
  </si>
  <si>
    <t xml:space="preserve">수완고등학교</t>
  </si>
  <si>
    <t xml:space="preserve">062-961-5746</t>
  </si>
  <si>
    <t xml:space="preserve">http://suwan.gen.hs.kr</t>
  </si>
  <si>
    <r>
      <rPr>
        <sz val="10"/>
        <rFont val="Noto Sans CJK SC"/>
        <family val="2"/>
      </rPr>
      <t xml:space="preserve">전남광주통합특별시 광산구 장덕로 </t>
    </r>
    <r>
      <rPr>
        <sz val="10"/>
        <rFont val="맑은 고딕"/>
        <family val="0"/>
        <charset val="1"/>
      </rPr>
      <t xml:space="preserve">155</t>
    </r>
  </si>
  <si>
    <t xml:space="preserve">숭덕고등학교</t>
  </si>
  <si>
    <t xml:space="preserve">062-970-0700</t>
  </si>
  <si>
    <t xml:space="preserve">http://sdok.gen.hs.kr</t>
  </si>
  <si>
    <r>
      <rPr>
        <sz val="10"/>
        <rFont val="Noto Sans CJK SC"/>
        <family val="2"/>
      </rPr>
      <t xml:space="preserve">전남광주통합특별시 광산구 월계로 </t>
    </r>
    <r>
      <rPr>
        <sz val="10"/>
        <rFont val="맑은 고딕"/>
        <family val="0"/>
        <charset val="1"/>
      </rPr>
      <t xml:space="preserve">117-8</t>
    </r>
  </si>
  <si>
    <t xml:space="preserve">선예학교</t>
  </si>
  <si>
    <t xml:space="preserve">062-570-7103</t>
  </si>
  <si>
    <t xml:space="preserve">http://sunye.gen.sc.kr</t>
  </si>
  <si>
    <r>
      <rPr>
        <sz val="10"/>
        <rFont val="Noto Sans CJK SC"/>
        <family val="2"/>
      </rPr>
      <t xml:space="preserve">전남광주통합특별시 광산구 선암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7</t>
    </r>
  </si>
  <si>
    <t xml:space="preserve">광주인성고등학교</t>
  </si>
  <si>
    <t xml:space="preserve">062-670-9200</t>
  </si>
  <si>
    <t xml:space="preserve">http://inseong.gen.hs.kr</t>
  </si>
  <si>
    <r>
      <rPr>
        <sz val="10"/>
        <rFont val="Noto Sans CJK SC"/>
        <family val="2"/>
      </rPr>
      <t xml:space="preserve">전남광주통합특별시 남구 서문대로 </t>
    </r>
    <r>
      <rPr>
        <sz val="10"/>
        <rFont val="맑은 고딕"/>
        <family val="0"/>
        <charset val="1"/>
      </rPr>
      <t xml:space="preserve">390</t>
    </r>
  </si>
  <si>
    <t xml:space="preserve">대성여자고등학교</t>
  </si>
  <si>
    <t xml:space="preserve">062-600-0900</t>
  </si>
  <si>
    <t xml:space="preserve">http://daesung.gen.hs.kr</t>
  </si>
  <si>
    <r>
      <rPr>
        <sz val="10"/>
        <rFont val="Noto Sans CJK SC"/>
        <family val="2"/>
      </rPr>
      <t xml:space="preserve">전남광주통합특별시 남구 서문대로</t>
    </r>
    <r>
      <rPr>
        <sz val="10"/>
        <rFont val="맑은 고딕"/>
        <family val="0"/>
        <charset val="1"/>
      </rPr>
      <t xml:space="preserve">663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37</t>
    </r>
  </si>
  <si>
    <t xml:space="preserve">동일미래과학고등학교</t>
  </si>
  <si>
    <t xml:space="preserve">062-650-6200</t>
  </si>
  <si>
    <t xml:space="preserve">http://k-dongil.jge.hs.kr</t>
  </si>
  <si>
    <r>
      <rPr>
        <sz val="10"/>
        <rFont val="Noto Sans CJK SC"/>
        <family val="2"/>
      </rPr>
      <t xml:space="preserve">전남광주통합특별시 남구 천변좌로 </t>
    </r>
    <r>
      <rPr>
        <sz val="10"/>
        <rFont val="맑은 고딕"/>
        <family val="0"/>
        <charset val="1"/>
      </rPr>
      <t xml:space="preserve">604</t>
    </r>
  </si>
  <si>
    <t xml:space="preserve">광주선명학교</t>
  </si>
  <si>
    <t xml:space="preserve">062-650-9750</t>
  </si>
  <si>
    <t xml:space="preserve">http://sunmyong.gen.sc.kr</t>
  </si>
  <si>
    <r>
      <rPr>
        <sz val="10"/>
        <rFont val="Noto Sans CJK SC"/>
        <family val="2"/>
      </rPr>
      <t xml:space="preserve">전남광주통합특별시 남구 서문대로</t>
    </r>
    <r>
      <rPr>
        <sz val="10"/>
        <rFont val="맑은 고딕"/>
        <family val="0"/>
        <charset val="1"/>
      </rPr>
      <t xml:space="preserve">749</t>
    </r>
    <r>
      <rPr>
        <sz val="10"/>
        <rFont val="Noto Sans CJK SC"/>
        <family val="2"/>
      </rPr>
      <t xml:space="preserve">번마길 </t>
    </r>
    <r>
      <rPr>
        <sz val="10"/>
        <rFont val="맑은 고딕"/>
        <family val="0"/>
        <charset val="1"/>
      </rPr>
      <t xml:space="preserve">2</t>
    </r>
  </si>
  <si>
    <t xml:space="preserve">조선대학교여자고등학교</t>
  </si>
  <si>
    <t xml:space="preserve">062-220-7500</t>
  </si>
  <si>
    <t xml:space="preserve">http://chosun-g.gen.hs.kr</t>
  </si>
  <si>
    <r>
      <rPr>
        <sz val="10"/>
        <rFont val="Noto Sans CJK SC"/>
        <family val="2"/>
      </rPr>
      <t xml:space="preserve">전남광주통합특별시 동구 지산로 </t>
    </r>
    <r>
      <rPr>
        <sz val="10"/>
        <rFont val="맑은 고딕"/>
        <family val="0"/>
        <charset val="1"/>
      </rPr>
      <t xml:space="preserve">36</t>
    </r>
  </si>
  <si>
    <t xml:space="preserve">광주숭일고등학교</t>
  </si>
  <si>
    <t xml:space="preserve">062-608-0500</t>
  </si>
  <si>
    <t xml:space="preserve">http://soongil.gen.hs.kr</t>
  </si>
  <si>
    <t xml:space="preserve">금호고등학교</t>
  </si>
  <si>
    <t xml:space="preserve">062-608-1000</t>
  </si>
  <si>
    <t xml:space="preserve">http://kumho.gen.hs.kr</t>
  </si>
  <si>
    <t xml:space="preserve">광주여자고등학교</t>
  </si>
  <si>
    <t xml:space="preserve">062-231-7500</t>
  </si>
  <si>
    <t xml:space="preserve">http://kwangju-g.gen.hs.kr</t>
  </si>
  <si>
    <r>
      <rPr>
        <sz val="10"/>
        <rFont val="Noto Sans CJK SC"/>
        <family val="2"/>
      </rPr>
      <t xml:space="preserve">전남광주통합특별시 서구 상무대로</t>
    </r>
    <r>
      <rPr>
        <sz val="10"/>
        <rFont val="맑은 고딕"/>
        <family val="0"/>
        <charset val="1"/>
      </rPr>
      <t xml:space="preserve">1014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43</t>
    </r>
  </si>
  <si>
    <t xml:space="preserve">풍암고등학교</t>
  </si>
  <si>
    <t xml:space="preserve">062-650-0500</t>
  </si>
  <si>
    <t xml:space="preserve">http://pungam.gen.hs.kr</t>
  </si>
  <si>
    <r>
      <rPr>
        <sz val="10"/>
        <rFont val="Noto Sans CJK SC"/>
        <family val="2"/>
      </rPr>
      <t xml:space="preserve">전남광주통합특별시 서구 풍암신흥로</t>
    </r>
    <r>
      <rPr>
        <sz val="10"/>
        <rFont val="맑은 고딕"/>
        <family val="0"/>
        <charset val="1"/>
      </rPr>
      <t xml:space="preserve">39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20</t>
    </r>
  </si>
  <si>
    <t xml:space="preserve">대전이문고등학교</t>
  </si>
  <si>
    <t xml:space="preserve">042-930-0800</t>
  </si>
  <si>
    <t xml:space="preserve">http://imunhs.djsch.kr</t>
  </si>
  <si>
    <t xml:space="preserve">대전괴정고등학교</t>
  </si>
  <si>
    <t xml:space="preserve">042-520-8413</t>
  </si>
  <si>
    <t xml:space="preserve">http://goejeonghs.djsch.kr</t>
  </si>
  <si>
    <r>
      <rPr>
        <sz val="10"/>
        <rFont val="Noto Sans CJK SC"/>
        <family val="2"/>
      </rPr>
      <t xml:space="preserve">대전광역시 서구 가장로 </t>
    </r>
    <r>
      <rPr>
        <sz val="10"/>
        <rFont val="맑은 고딕"/>
        <family val="0"/>
        <charset val="1"/>
      </rPr>
      <t xml:space="preserve">15</t>
    </r>
  </si>
  <si>
    <t xml:space="preserve">대전둔산여자고등학교</t>
  </si>
  <si>
    <t xml:space="preserve">042-479-3935</t>
  </si>
  <si>
    <t xml:space="preserve">http://djdunsan-ghs.djsch.kr</t>
  </si>
  <si>
    <r>
      <rPr>
        <sz val="10"/>
        <rFont val="Noto Sans CJK SC"/>
        <family val="2"/>
      </rPr>
      <t xml:space="preserve">대전광역시 서구 갈마역로 </t>
    </r>
    <r>
      <rPr>
        <sz val="10"/>
        <rFont val="맑은 고딕"/>
        <family val="0"/>
        <charset val="1"/>
      </rPr>
      <t xml:space="preserve">33</t>
    </r>
  </si>
  <si>
    <t xml:space="preserve">대전복수고등학교</t>
  </si>
  <si>
    <t xml:space="preserve">042-580-1100</t>
  </si>
  <si>
    <t xml:space="preserve">http://boksuhs.djsch.kr</t>
  </si>
  <si>
    <r>
      <rPr>
        <sz val="10"/>
        <rFont val="Noto Sans CJK SC"/>
        <family val="2"/>
      </rPr>
      <t xml:space="preserve">대전광역시 서구 혜천로 </t>
    </r>
    <r>
      <rPr>
        <sz val="10"/>
        <rFont val="맑은 고딕"/>
        <family val="0"/>
        <charset val="1"/>
      </rPr>
      <t xml:space="preserve">66</t>
    </r>
  </si>
  <si>
    <t xml:space="preserve">서대전고등학교</t>
  </si>
  <si>
    <t xml:space="preserve">042-479-2004</t>
  </si>
  <si>
    <t xml:space="preserve">http://sdjhs.djsch.kr</t>
  </si>
  <si>
    <r>
      <rPr>
        <sz val="10"/>
        <rFont val="Noto Sans CJK SC"/>
        <family val="2"/>
      </rPr>
      <t xml:space="preserve">대전광역시 서구 월평동로 </t>
    </r>
    <r>
      <rPr>
        <sz val="10"/>
        <rFont val="맑은 고딕"/>
        <family val="0"/>
        <charset val="1"/>
      </rPr>
      <t xml:space="preserve">60</t>
    </r>
  </si>
  <si>
    <t xml:space="preserve">서대전여자고등학교</t>
  </si>
  <si>
    <t xml:space="preserve">042-520-6105</t>
  </si>
  <si>
    <t xml:space="preserve">http://seodaejeonhs.djsch.kr</t>
  </si>
  <si>
    <r>
      <rPr>
        <sz val="10"/>
        <rFont val="Noto Sans CJK SC"/>
        <family val="2"/>
      </rPr>
      <t xml:space="preserve">대전광역시 서구 배재로</t>
    </r>
    <r>
      <rPr>
        <sz val="10"/>
        <rFont val="맑은 고딕"/>
        <family val="0"/>
        <charset val="1"/>
      </rPr>
      <t xml:space="preserve">197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20</t>
    </r>
  </si>
  <si>
    <t xml:space="preserve">대덕고등학교</t>
  </si>
  <si>
    <t xml:space="preserve">042-860-0300</t>
  </si>
  <si>
    <t xml:space="preserve">http://daedeokhs.djsch.kr</t>
  </si>
  <si>
    <r>
      <rPr>
        <sz val="10"/>
        <rFont val="Noto Sans CJK SC"/>
        <family val="2"/>
      </rPr>
      <t xml:space="preserve">대전광역시 유성구 대덕대로</t>
    </r>
    <r>
      <rPr>
        <sz val="10"/>
        <rFont val="맑은 고딕"/>
        <family val="0"/>
        <charset val="1"/>
      </rPr>
      <t xml:space="preserve">556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158</t>
    </r>
  </si>
  <si>
    <t xml:space="preserve">대전노은고등학교</t>
  </si>
  <si>
    <t xml:space="preserve">042-717-3600</t>
  </si>
  <si>
    <t xml:space="preserve">http://noeunhs.djsch.kr</t>
  </si>
  <si>
    <r>
      <rPr>
        <sz val="10"/>
        <rFont val="Noto Sans CJK SC"/>
        <family val="2"/>
      </rPr>
      <t xml:space="preserve">대전광역시 유성구 노은동로 </t>
    </r>
    <r>
      <rPr>
        <sz val="10"/>
        <rFont val="맑은 고딕"/>
        <family val="0"/>
        <charset val="1"/>
      </rPr>
      <t xml:space="preserve">99</t>
    </r>
  </si>
  <si>
    <t xml:space="preserve">대전체육고등학교</t>
  </si>
  <si>
    <t xml:space="preserve">042-820-5200</t>
  </si>
  <si>
    <t xml:space="preserve">http://djcheyukhs.djsch.kr</t>
  </si>
  <si>
    <r>
      <rPr>
        <sz val="10"/>
        <rFont val="Noto Sans CJK SC"/>
        <family val="2"/>
      </rPr>
      <t xml:space="preserve">대전광역시 유성구 원신흥로</t>
    </r>
    <r>
      <rPr>
        <sz val="10"/>
        <rFont val="맑은 고딕"/>
        <family val="0"/>
        <charset val="1"/>
      </rPr>
      <t xml:space="preserve">40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6</t>
    </r>
  </si>
  <si>
    <t xml:space="preserve">대전국제통상고등학교</t>
  </si>
  <si>
    <t xml:space="preserve">042-580-2585</t>
  </si>
  <si>
    <t xml:space="preserve">http://dimhs.djsch.kr</t>
  </si>
  <si>
    <r>
      <rPr>
        <sz val="10"/>
        <rFont val="Noto Sans CJK SC"/>
        <family val="2"/>
      </rPr>
      <t xml:space="preserve">대전광역시 중구 서문로 </t>
    </r>
    <r>
      <rPr>
        <sz val="10"/>
        <rFont val="맑은 고딕"/>
        <family val="0"/>
        <charset val="1"/>
      </rPr>
      <t xml:space="preserve">47</t>
    </r>
  </si>
  <si>
    <t xml:space="preserve">대전성모여자고등학교</t>
  </si>
  <si>
    <t xml:space="preserve">042-220-7815</t>
  </si>
  <si>
    <t xml:space="preserve">http://seongmohs.djsch.kr</t>
  </si>
  <si>
    <r>
      <rPr>
        <sz val="10"/>
        <rFont val="Noto Sans CJK SC"/>
        <family val="2"/>
      </rPr>
      <t xml:space="preserve">대전광역시 중구 대흥로 </t>
    </r>
    <r>
      <rPr>
        <sz val="10"/>
        <rFont val="맑은 고딕"/>
        <family val="0"/>
        <charset val="1"/>
      </rPr>
      <t xml:space="preserve">62</t>
    </r>
  </si>
  <si>
    <t xml:space="preserve">대전신일여자고등학교</t>
  </si>
  <si>
    <t xml:space="preserve">042-221-1771</t>
  </si>
  <si>
    <t xml:space="preserve">http://shinilhs.djsch.kr</t>
  </si>
  <si>
    <r>
      <rPr>
        <sz val="10"/>
        <rFont val="Noto Sans CJK SC"/>
        <family val="2"/>
      </rPr>
      <t xml:space="preserve">대전광역시 중구 부사로 </t>
    </r>
    <r>
      <rPr>
        <sz val="10"/>
        <rFont val="맑은 고딕"/>
        <family val="0"/>
        <charset val="1"/>
      </rPr>
      <t xml:space="preserve">48</t>
    </r>
  </si>
  <si>
    <t xml:space="preserve">청란여자고등학교</t>
  </si>
  <si>
    <t xml:space="preserve">042-253-8842</t>
  </si>
  <si>
    <t xml:space="preserve">http://chranhs.djsch.kr</t>
  </si>
  <si>
    <r>
      <rPr>
        <sz val="10"/>
        <rFont val="Noto Sans CJK SC"/>
        <family val="2"/>
      </rPr>
      <t xml:space="preserve">대전광역시 중구 보문로</t>
    </r>
    <r>
      <rPr>
        <sz val="10"/>
        <rFont val="맑은 고딕"/>
        <family val="0"/>
        <charset val="1"/>
      </rPr>
      <t xml:space="preserve">95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40</t>
    </r>
  </si>
  <si>
    <t xml:space="preserve">대전법동중학교</t>
  </si>
  <si>
    <t xml:space="preserve">042-336-3000</t>
  </si>
  <si>
    <t xml:space="preserve">http://beopdongms.djsch.kr</t>
  </si>
  <si>
    <r>
      <rPr>
        <sz val="10"/>
        <rFont val="Noto Sans CJK SC"/>
        <family val="2"/>
      </rPr>
      <t xml:space="preserve">대전광역시 대덕구 쌍청당로 </t>
    </r>
    <r>
      <rPr>
        <sz val="10"/>
        <rFont val="맑은 고딕"/>
        <family val="0"/>
        <charset val="1"/>
      </rPr>
      <t xml:space="preserve">55</t>
    </r>
  </si>
  <si>
    <t xml:space="preserve">신탄중앙중학교</t>
  </si>
  <si>
    <t xml:space="preserve">042-331-3333</t>
  </si>
  <si>
    <t xml:space="preserve">http://sintanjungangms.djsch.kr</t>
  </si>
  <si>
    <r>
      <rPr>
        <sz val="10"/>
        <rFont val="Noto Sans CJK SC"/>
        <family val="2"/>
      </rPr>
      <t xml:space="preserve">대전광역시 대덕구 덕암로 </t>
    </r>
    <r>
      <rPr>
        <sz val="10"/>
        <rFont val="맑은 고딕"/>
        <family val="0"/>
        <charset val="1"/>
      </rPr>
      <t xml:space="preserve">233</t>
    </r>
  </si>
  <si>
    <t xml:space="preserve">대전대암초등학교</t>
  </si>
  <si>
    <t xml:space="preserve">042-285-8232</t>
  </si>
  <si>
    <t xml:space="preserve">http://daeames.djsch.kr</t>
  </si>
  <si>
    <r>
      <rPr>
        <sz val="10"/>
        <rFont val="Noto Sans CJK SC"/>
        <family val="2"/>
      </rPr>
      <t xml:space="preserve">대전광역시 동구 동부로 </t>
    </r>
    <r>
      <rPr>
        <sz val="10"/>
        <rFont val="맑은 고딕"/>
        <family val="0"/>
        <charset val="1"/>
      </rPr>
      <t xml:space="preserve">55-61</t>
    </r>
  </si>
  <si>
    <t xml:space="preserve">한밭중학교</t>
  </si>
  <si>
    <t xml:space="preserve">042-620-3950</t>
  </si>
  <si>
    <t xml:space="preserve">http://hanbatms.djsch.kr</t>
  </si>
  <si>
    <r>
      <rPr>
        <sz val="10"/>
        <rFont val="Noto Sans CJK SC"/>
        <family val="2"/>
      </rPr>
      <t xml:space="preserve">대전광역시 동구 태전로 </t>
    </r>
    <r>
      <rPr>
        <sz val="10"/>
        <rFont val="맑은 고딕"/>
        <family val="0"/>
        <charset val="1"/>
      </rPr>
      <t xml:space="preserve">67</t>
    </r>
  </si>
  <si>
    <t xml:space="preserve">대전대신초등학교</t>
  </si>
  <si>
    <t xml:space="preserve">042-253-3847</t>
  </si>
  <si>
    <t xml:space="preserve">http://djdaesines.djsch.kr</t>
  </si>
  <si>
    <r>
      <rPr>
        <sz val="10"/>
        <rFont val="Noto Sans CJK SC"/>
        <family val="2"/>
      </rPr>
      <t xml:space="preserve">대전광역시 중구 솔밭로</t>
    </r>
    <r>
      <rPr>
        <sz val="10"/>
        <rFont val="맑은 고딕"/>
        <family val="0"/>
        <charset val="1"/>
      </rPr>
      <t xml:space="preserve">16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17</t>
    </r>
  </si>
  <si>
    <t xml:space="preserve">대전보성초등학교</t>
  </si>
  <si>
    <t xml:space="preserve">042-580-4500</t>
  </si>
  <si>
    <t xml:space="preserve">http://boses.djsch.kr</t>
  </si>
  <si>
    <r>
      <rPr>
        <sz val="10"/>
        <rFont val="Noto Sans CJK SC"/>
        <family val="2"/>
      </rPr>
      <t xml:space="preserve">대전광역시 중구 보문산로</t>
    </r>
    <r>
      <rPr>
        <sz val="10"/>
        <rFont val="맑은 고딕"/>
        <family val="0"/>
        <charset val="1"/>
      </rPr>
      <t xml:space="preserve">141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34</t>
    </r>
  </si>
  <si>
    <t xml:space="preserve">산서초등학교</t>
  </si>
  <si>
    <t xml:space="preserve">042-285-7221</t>
  </si>
  <si>
    <t xml:space="preserve">http://djsanseoes.djsch.kr</t>
  </si>
  <si>
    <r>
      <rPr>
        <sz val="10"/>
        <rFont val="Noto Sans CJK SC"/>
        <family val="2"/>
      </rPr>
      <t xml:space="preserve">대전광역시 중구 남달미로 </t>
    </r>
    <r>
      <rPr>
        <sz val="10"/>
        <rFont val="맑은 고딕"/>
        <family val="0"/>
        <charset val="1"/>
      </rPr>
      <t xml:space="preserve">87</t>
    </r>
  </si>
  <si>
    <t xml:space="preserve">대전태평중학교</t>
  </si>
  <si>
    <t xml:space="preserve">042-481-0870</t>
  </si>
  <si>
    <t xml:space="preserve">http://tp02ms.djsch.kr</t>
  </si>
  <si>
    <r>
      <rPr>
        <sz val="10"/>
        <rFont val="Noto Sans CJK SC"/>
        <family val="2"/>
      </rPr>
      <t xml:space="preserve">대전광역시 중구 수침로</t>
    </r>
    <r>
      <rPr>
        <sz val="10"/>
        <rFont val="맑은 고딕"/>
        <family val="0"/>
        <charset val="1"/>
      </rPr>
      <t xml:space="preserve">111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12</t>
    </r>
  </si>
  <si>
    <t xml:space="preserve">대전둔산초등학교</t>
  </si>
  <si>
    <t xml:space="preserve">042-486-3903</t>
  </si>
  <si>
    <t xml:space="preserve">http://dunsanes.djsch.kr</t>
  </si>
  <si>
    <r>
      <rPr>
        <sz val="10"/>
        <rFont val="Noto Sans CJK SC"/>
        <family val="2"/>
      </rPr>
      <t xml:space="preserve">대전광역시 서구 둔산로</t>
    </r>
    <r>
      <rPr>
        <sz val="10"/>
        <rFont val="맑은 고딕"/>
        <family val="0"/>
        <charset val="1"/>
      </rPr>
      <t xml:space="preserve">74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20</t>
    </r>
  </si>
  <si>
    <t xml:space="preserve">대전구봉중학교</t>
  </si>
  <si>
    <t xml:space="preserve">042-540-7500</t>
  </si>
  <si>
    <t xml:space="preserve">http://gubongms.djsch.kr</t>
  </si>
  <si>
    <r>
      <rPr>
        <sz val="10"/>
        <rFont val="Noto Sans CJK SC"/>
        <family val="2"/>
      </rPr>
      <t xml:space="preserve">대전광역시 서구 관저서로 </t>
    </r>
    <r>
      <rPr>
        <sz val="10"/>
        <rFont val="맑은 고딕"/>
        <family val="0"/>
        <charset val="1"/>
      </rPr>
      <t xml:space="preserve">86</t>
    </r>
  </si>
  <si>
    <t xml:space="preserve">대전버드내중학교</t>
  </si>
  <si>
    <t xml:space="preserve">042-530-1500</t>
  </si>
  <si>
    <t xml:space="preserve">http://bdnms.djsch.kr</t>
  </si>
  <si>
    <r>
      <rPr>
        <sz val="10"/>
        <rFont val="Noto Sans CJK SC"/>
        <family val="2"/>
      </rPr>
      <t xml:space="preserve">대전광역시 서구 유등로 </t>
    </r>
    <r>
      <rPr>
        <sz val="10"/>
        <rFont val="맑은 고딕"/>
        <family val="0"/>
        <charset val="1"/>
      </rPr>
      <t xml:space="preserve">285</t>
    </r>
  </si>
  <si>
    <t xml:space="preserve">대전변동중학교</t>
  </si>
  <si>
    <t xml:space="preserve">042-530-8503</t>
  </si>
  <si>
    <t xml:space="preserve">http://bdms.djsch.kr</t>
  </si>
  <si>
    <r>
      <rPr>
        <sz val="10"/>
        <rFont val="Noto Sans CJK SC"/>
        <family val="2"/>
      </rPr>
      <t xml:space="preserve">대전광역시 서구 도산로</t>
    </r>
    <r>
      <rPr>
        <sz val="10"/>
        <rFont val="맑은 고딕"/>
        <family val="0"/>
        <charset val="1"/>
      </rPr>
      <t xml:space="preserve">181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39</t>
    </r>
  </si>
  <si>
    <t xml:space="preserve">대전하기초등학교</t>
  </si>
  <si>
    <t xml:space="preserve">042-824-8094</t>
  </si>
  <si>
    <t xml:space="preserve">http://hagies.djsch.kr</t>
  </si>
  <si>
    <r>
      <rPr>
        <sz val="10"/>
        <rFont val="Noto Sans CJK SC"/>
        <family val="2"/>
      </rPr>
      <t xml:space="preserve">대전광역시 유성구 송림로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32</t>
    </r>
  </si>
  <si>
    <t xml:space="preserve">대전전민중학교</t>
  </si>
  <si>
    <t xml:space="preserve">042-863-5797</t>
  </si>
  <si>
    <t xml:space="preserve">http://djjmms.djsch.kr</t>
  </si>
  <si>
    <r>
      <rPr>
        <sz val="10"/>
        <rFont val="Noto Sans CJK SC"/>
        <family val="2"/>
      </rPr>
      <t xml:space="preserve">대전광역시 유성구 엑스포로</t>
    </r>
    <r>
      <rPr>
        <sz val="10"/>
        <rFont val="맑은 고딕"/>
        <family val="0"/>
        <charset val="1"/>
      </rPr>
      <t xml:space="preserve">466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97</t>
    </r>
  </si>
  <si>
    <t xml:space="preserve">유성중학교</t>
  </si>
  <si>
    <t xml:space="preserve">042-822-1605</t>
  </si>
  <si>
    <t xml:space="preserve">http://yuseongms.djsch.kr</t>
  </si>
  <si>
    <r>
      <rPr>
        <sz val="10"/>
        <rFont val="Noto Sans CJK SC"/>
        <family val="2"/>
      </rPr>
      <t xml:space="preserve">대전광역시 유성구 상대로 </t>
    </r>
    <r>
      <rPr>
        <sz val="10"/>
        <rFont val="맑은 고딕"/>
        <family val="0"/>
        <charset val="1"/>
      </rPr>
      <t xml:space="preserve">33</t>
    </r>
  </si>
  <si>
    <t xml:space="preserve">동평초등학교</t>
  </si>
  <si>
    <t xml:space="preserve">052-261-2371</t>
  </si>
  <si>
    <t xml:space="preserve">http://www.dp.es.kr</t>
  </si>
  <si>
    <r>
      <rPr>
        <sz val="10"/>
        <rFont val="Noto Sans CJK SC"/>
        <family val="2"/>
      </rPr>
      <t xml:space="preserve">울산광역시 남구 도산로</t>
    </r>
    <r>
      <rPr>
        <sz val="10"/>
        <rFont val="맑은 고딕"/>
        <family val="0"/>
        <charset val="1"/>
      </rPr>
      <t xml:space="preserve">77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13-14</t>
    </r>
  </si>
  <si>
    <t xml:space="preserve">대현중학교</t>
  </si>
  <si>
    <t xml:space="preserve">052-267-7725</t>
  </si>
  <si>
    <t xml:space="preserve">http://www.daihyun.ms.kr</t>
  </si>
  <si>
    <r>
      <rPr>
        <sz val="10"/>
        <rFont val="Noto Sans CJK SC"/>
        <family val="2"/>
      </rPr>
      <t xml:space="preserve">울산광역시 남구 왕생로</t>
    </r>
    <r>
      <rPr>
        <sz val="10"/>
        <rFont val="맑은 고딕"/>
        <family val="0"/>
        <charset val="1"/>
      </rPr>
      <t xml:space="preserve">86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33</t>
    </r>
  </si>
  <si>
    <t xml:space="preserve">학성중학교</t>
  </si>
  <si>
    <t xml:space="preserve">052-272-7480</t>
  </si>
  <si>
    <t xml:space="preserve">http://www.haksung.ms.kr</t>
  </si>
  <si>
    <r>
      <rPr>
        <sz val="10"/>
        <rFont val="Noto Sans CJK SC"/>
        <family val="2"/>
      </rPr>
      <t xml:space="preserve">울산광역시 남구 문수로 </t>
    </r>
    <r>
      <rPr>
        <sz val="10"/>
        <rFont val="맑은 고딕"/>
        <family val="0"/>
        <charset val="1"/>
      </rPr>
      <t xml:space="preserve">426</t>
    </r>
  </si>
  <si>
    <t xml:space="preserve">삼정초등학교</t>
  </si>
  <si>
    <t xml:space="preserve">052-277-4254</t>
  </si>
  <si>
    <t xml:space="preserve">http://samjeong.es.kr</t>
  </si>
  <si>
    <r>
      <rPr>
        <sz val="10"/>
        <rFont val="Noto Sans CJK SC"/>
        <family val="2"/>
      </rPr>
      <t xml:space="preserve">울산광역시 울주군 청량읍 삼정로 </t>
    </r>
    <r>
      <rPr>
        <sz val="10"/>
        <rFont val="맑은 고딕"/>
        <family val="0"/>
        <charset val="1"/>
      </rPr>
      <t xml:space="preserve">36</t>
    </r>
  </si>
  <si>
    <t xml:space="preserve">척과초등학교</t>
  </si>
  <si>
    <t xml:space="preserve">052-211-9002</t>
  </si>
  <si>
    <t xml:space="preserve">http://www.chukkwa.es.kr</t>
  </si>
  <si>
    <r>
      <rPr>
        <sz val="10"/>
        <rFont val="Noto Sans CJK SC"/>
        <family val="2"/>
      </rPr>
      <t xml:space="preserve">울산광역시 울주군 범서읍 갈매정길 </t>
    </r>
    <r>
      <rPr>
        <sz val="10"/>
        <rFont val="맑은 고딕"/>
        <family val="0"/>
        <charset val="1"/>
      </rPr>
      <t xml:space="preserve">16</t>
    </r>
  </si>
  <si>
    <t xml:space="preserve">삼남중학교</t>
  </si>
  <si>
    <t xml:space="preserve">052-710-4300</t>
  </si>
  <si>
    <t xml:space="preserve">http://school.use.go.kr/isamnam-m</t>
  </si>
  <si>
    <r>
      <rPr>
        <sz val="10"/>
        <rFont val="Noto Sans CJK SC"/>
        <family val="2"/>
      </rPr>
      <t xml:space="preserve">울산광역시 울주군 삼남읍 강당로 </t>
    </r>
    <r>
      <rPr>
        <sz val="10"/>
        <rFont val="맑은 고딕"/>
        <family val="0"/>
        <charset val="1"/>
      </rPr>
      <t xml:space="preserve">95</t>
    </r>
  </si>
  <si>
    <t xml:space="preserve">녹수초등학교</t>
  </si>
  <si>
    <t xml:space="preserve">052-235-6615</t>
  </si>
  <si>
    <t xml:space="preserve">http://school.use.go.kr/noksu-e</t>
  </si>
  <si>
    <r>
      <rPr>
        <sz val="10"/>
        <rFont val="Noto Sans CJK SC"/>
        <family val="2"/>
      </rPr>
      <t xml:space="preserve">울산광역시 동구 봉수로 </t>
    </r>
    <r>
      <rPr>
        <sz val="10"/>
        <rFont val="맑은 고딕"/>
        <family val="0"/>
        <charset val="1"/>
      </rPr>
      <t xml:space="preserve">545</t>
    </r>
  </si>
  <si>
    <t xml:space="preserve">주전초등학교</t>
  </si>
  <si>
    <t xml:space="preserve">052-252-1767</t>
  </si>
  <si>
    <t xml:space="preserve">http://www.jujeon.es.kr</t>
  </si>
  <si>
    <r>
      <rPr>
        <sz val="10"/>
        <rFont val="Noto Sans CJK SC"/>
        <family val="2"/>
      </rPr>
      <t xml:space="preserve">울산광역시 동구 동해안로 </t>
    </r>
    <r>
      <rPr>
        <sz val="10"/>
        <rFont val="맑은 고딕"/>
        <family val="0"/>
        <charset val="1"/>
      </rPr>
      <t xml:space="preserve">575</t>
    </r>
  </si>
  <si>
    <t xml:space="preserve">현대중학교</t>
  </si>
  <si>
    <t xml:space="preserve">052-230-7300</t>
  </si>
  <si>
    <t xml:space="preserve">http://hd.ms.kr</t>
  </si>
  <si>
    <r>
      <rPr>
        <sz val="10"/>
        <rFont val="Noto Sans CJK SC"/>
        <family val="2"/>
      </rPr>
      <t xml:space="preserve">울산광역시 동구 봉수로 </t>
    </r>
    <r>
      <rPr>
        <sz val="10"/>
        <rFont val="맑은 고딕"/>
        <family val="0"/>
        <charset val="1"/>
      </rPr>
      <t xml:space="preserve">453</t>
    </r>
  </si>
  <si>
    <t xml:space="preserve">현대청운중학교</t>
  </si>
  <si>
    <t xml:space="preserve">052-230-7500</t>
  </si>
  <si>
    <t xml:space="preserve">http://hcu.ms.kr</t>
  </si>
  <si>
    <r>
      <rPr>
        <sz val="10"/>
        <rFont val="Noto Sans CJK SC"/>
        <family val="2"/>
      </rPr>
      <t xml:space="preserve">울산광역시 동구 방어진순환도로 </t>
    </r>
    <r>
      <rPr>
        <sz val="10"/>
        <rFont val="맑은 고딕"/>
        <family val="0"/>
        <charset val="1"/>
      </rPr>
      <t xml:space="preserve">1073</t>
    </r>
  </si>
  <si>
    <t xml:space="preserve">농서초등학교</t>
  </si>
  <si>
    <t xml:space="preserve">052-295-5449</t>
  </si>
  <si>
    <t xml:space="preserve">http://www.nongseo.es.kr</t>
  </si>
  <si>
    <r>
      <rPr>
        <sz val="10"/>
        <rFont val="Noto Sans CJK SC"/>
        <family val="2"/>
      </rPr>
      <t xml:space="preserve">울산광역시 북구 가재길 </t>
    </r>
    <r>
      <rPr>
        <sz val="10"/>
        <rFont val="맑은 고딕"/>
        <family val="0"/>
        <charset val="1"/>
      </rPr>
      <t xml:space="preserve">57</t>
    </r>
  </si>
  <si>
    <t xml:space="preserve">농소초등학교</t>
  </si>
  <si>
    <t xml:space="preserve">052-295-4011</t>
  </si>
  <si>
    <t xml:space="preserve">http://school.use.go.kr/nongso-e</t>
  </si>
  <si>
    <r>
      <rPr>
        <sz val="10"/>
        <rFont val="Noto Sans CJK SC"/>
        <family val="2"/>
      </rPr>
      <t xml:space="preserve">울산광역시 북구 호계로 </t>
    </r>
    <r>
      <rPr>
        <sz val="10"/>
        <rFont val="맑은 고딕"/>
        <family val="0"/>
        <charset val="1"/>
      </rPr>
      <t xml:space="preserve">192</t>
    </r>
  </si>
  <si>
    <t xml:space="preserve">이화중학교</t>
  </si>
  <si>
    <t xml:space="preserve">052-286-4121</t>
  </si>
  <si>
    <t xml:space="preserve">http://www.ihwa.ms.kr</t>
  </si>
  <si>
    <r>
      <rPr>
        <sz val="10"/>
        <rFont val="Noto Sans CJK SC"/>
        <family val="2"/>
      </rPr>
      <t xml:space="preserve">울산광역시 북구 산업로 </t>
    </r>
    <r>
      <rPr>
        <sz val="10"/>
        <rFont val="맑은 고딕"/>
        <family val="0"/>
        <charset val="1"/>
      </rPr>
      <t xml:space="preserve">1631</t>
    </r>
  </si>
  <si>
    <t xml:space="preserve">진장중학교</t>
  </si>
  <si>
    <t xml:space="preserve">052-289-6483</t>
  </si>
  <si>
    <t xml:space="preserve">http://school.use.go.kr/jinjang-m</t>
  </si>
  <si>
    <r>
      <rPr>
        <sz val="10"/>
        <rFont val="Noto Sans CJK SC"/>
        <family val="2"/>
      </rPr>
      <t xml:space="preserve">울산광역시 북구 진장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24</t>
    </r>
  </si>
  <si>
    <t xml:space="preserve">화봉중학교</t>
  </si>
  <si>
    <t xml:space="preserve">052-287-6711</t>
  </si>
  <si>
    <t xml:space="preserve">http://hwabong.ms.kr</t>
  </si>
  <si>
    <r>
      <rPr>
        <sz val="10"/>
        <rFont val="Noto Sans CJK SC"/>
        <family val="2"/>
      </rPr>
      <t xml:space="preserve">울산광역시 북구 통샘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</t>
    </r>
  </si>
  <si>
    <t xml:space="preserve">효정중학교</t>
  </si>
  <si>
    <t xml:space="preserve">052-287-0809</t>
  </si>
  <si>
    <t xml:space="preserve">http://hyojung.ms.kr</t>
  </si>
  <si>
    <r>
      <rPr>
        <sz val="10"/>
        <rFont val="Noto Sans CJK SC"/>
        <family val="2"/>
      </rPr>
      <t xml:space="preserve">울산광역시 북구 염포로 </t>
    </r>
    <r>
      <rPr>
        <sz val="10"/>
        <rFont val="맑은 고딕"/>
        <family val="0"/>
        <charset val="1"/>
      </rPr>
      <t xml:space="preserve">363</t>
    </r>
  </si>
  <si>
    <t xml:space="preserve">내황초등학교</t>
  </si>
  <si>
    <t xml:space="preserve">052-297-6072</t>
  </si>
  <si>
    <t xml:space="preserve">http://naehwang.es.kr</t>
  </si>
  <si>
    <r>
      <rPr>
        <sz val="10"/>
        <rFont val="Noto Sans CJK SC"/>
        <family val="2"/>
      </rPr>
      <t xml:space="preserve">울산광역시 중구 내황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53</t>
    </r>
  </si>
  <si>
    <t xml:space="preserve">외솔초등학교</t>
  </si>
  <si>
    <t xml:space="preserve">052-290-1083</t>
  </si>
  <si>
    <t xml:space="preserve">http://www.oesol.es.kr</t>
  </si>
  <si>
    <r>
      <rPr>
        <sz val="10"/>
        <rFont val="Noto Sans CJK SC"/>
        <family val="2"/>
      </rPr>
      <t xml:space="preserve">울산광역시 중구 종가로 </t>
    </r>
    <r>
      <rPr>
        <sz val="10"/>
        <rFont val="맑은 고딕"/>
        <family val="0"/>
        <charset val="1"/>
      </rPr>
      <t xml:space="preserve">700</t>
    </r>
  </si>
  <si>
    <t xml:space="preserve">함월초등학교</t>
  </si>
  <si>
    <t xml:space="preserve">052-297-1221</t>
  </si>
  <si>
    <t xml:space="preserve">http://school.use.go.kr/hamwol-e</t>
  </si>
  <si>
    <r>
      <rPr>
        <sz val="10"/>
        <rFont val="Noto Sans CJK SC"/>
        <family val="2"/>
      </rPr>
      <t xml:space="preserve">울산광역시 중구 학성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25</t>
    </r>
  </si>
  <si>
    <t xml:space="preserve">남외중학교</t>
  </si>
  <si>
    <t xml:space="preserve">052-710-4112</t>
  </si>
  <si>
    <t xml:space="preserve">http://school.use.go.kr/namoe-m</t>
  </si>
  <si>
    <r>
      <rPr>
        <sz val="10"/>
        <rFont val="Noto Sans CJK SC"/>
        <family val="2"/>
      </rPr>
      <t xml:space="preserve">울산광역시 중구 남외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50</t>
    </r>
  </si>
  <si>
    <t xml:space="preserve">다운중학교</t>
  </si>
  <si>
    <t xml:space="preserve">052-710-3001</t>
  </si>
  <si>
    <t xml:space="preserve">http://daun.ms.kr</t>
  </si>
  <si>
    <r>
      <rPr>
        <sz val="10"/>
        <rFont val="Noto Sans CJK SC"/>
        <family val="2"/>
      </rPr>
      <t xml:space="preserve">울산광역시 중구 다운로 </t>
    </r>
    <r>
      <rPr>
        <sz val="10"/>
        <rFont val="맑은 고딕"/>
        <family val="0"/>
        <charset val="1"/>
      </rPr>
      <t xml:space="preserve">178</t>
    </r>
  </si>
  <si>
    <t xml:space="preserve">울산제일고등학교</t>
  </si>
  <si>
    <t xml:space="preserve">052-277-3177</t>
  </si>
  <si>
    <t xml:space="preserve">http://www.ulsanjeil.hs.kr</t>
  </si>
  <si>
    <r>
      <rPr>
        <sz val="10"/>
        <rFont val="Noto Sans CJK SC"/>
        <family val="2"/>
      </rPr>
      <t xml:space="preserve">울산광역시 남구 남부순환도로 </t>
    </r>
    <r>
      <rPr>
        <sz val="10"/>
        <rFont val="맑은 고딕"/>
        <family val="0"/>
        <charset val="1"/>
      </rPr>
      <t xml:space="preserve">107</t>
    </r>
  </si>
  <si>
    <t xml:space="preserve">울산생활과학고등학교</t>
  </si>
  <si>
    <t xml:space="preserve">052-235-9661</t>
  </si>
  <si>
    <t xml:space="preserve">http://www.uvhe.hs.kr</t>
  </si>
  <si>
    <r>
      <rPr>
        <sz val="10"/>
        <rFont val="Noto Sans CJK SC"/>
        <family val="2"/>
      </rPr>
      <t xml:space="preserve">울산광역시 동구 학문로 </t>
    </r>
    <r>
      <rPr>
        <sz val="10"/>
        <rFont val="맑은 고딕"/>
        <family val="0"/>
        <charset val="1"/>
      </rPr>
      <t xml:space="preserve">70</t>
    </r>
  </si>
  <si>
    <t xml:space="preserve">현대고등학교</t>
  </si>
  <si>
    <t xml:space="preserve">052-936-7800</t>
  </si>
  <si>
    <t xml:space="preserve">http://www.hdhs.or.kr</t>
  </si>
  <si>
    <r>
      <rPr>
        <sz val="10"/>
        <rFont val="Noto Sans CJK SC"/>
        <family val="2"/>
      </rPr>
      <t xml:space="preserve">울산광역시 동구 봉수로 </t>
    </r>
    <r>
      <rPr>
        <sz val="10"/>
        <rFont val="맑은 고딕"/>
        <family val="0"/>
        <charset val="1"/>
      </rPr>
      <t xml:space="preserve">455</t>
    </r>
  </si>
  <si>
    <t xml:space="preserve">달천고등학교</t>
  </si>
  <si>
    <t xml:space="preserve">052-707-7011</t>
  </si>
  <si>
    <t xml:space="preserve">http://dalcheon.hs.kr</t>
  </si>
  <si>
    <r>
      <rPr>
        <sz val="10"/>
        <rFont val="Noto Sans CJK SC"/>
        <family val="2"/>
      </rPr>
      <t xml:space="preserve">울산광역시 북구 달천철장길 </t>
    </r>
    <r>
      <rPr>
        <sz val="10"/>
        <rFont val="맑은 고딕"/>
        <family val="0"/>
        <charset val="1"/>
      </rPr>
      <t xml:space="preserve">23</t>
    </r>
  </si>
  <si>
    <t xml:space="preserve">울산외국어고등학교</t>
  </si>
  <si>
    <t xml:space="preserve">052-711-7101</t>
  </si>
  <si>
    <t xml:space="preserve">http://www.ufl.hs.kr</t>
  </si>
  <si>
    <r>
      <rPr>
        <sz val="10"/>
        <rFont val="Noto Sans CJK SC"/>
        <family val="2"/>
      </rPr>
      <t xml:space="preserve">울산광역시 북구 중산동로 </t>
    </r>
    <r>
      <rPr>
        <sz val="10"/>
        <rFont val="맑은 고딕"/>
        <family val="0"/>
        <charset val="1"/>
      </rPr>
      <t xml:space="preserve">32-46</t>
    </r>
  </si>
  <si>
    <t xml:space="preserve">언양고등학교</t>
  </si>
  <si>
    <t xml:space="preserve">052-263-2022</t>
  </si>
  <si>
    <t xml:space="preserve">http://school.use.go.kr/eonyang-h</t>
  </si>
  <si>
    <r>
      <rPr>
        <sz val="10"/>
        <rFont val="Noto Sans CJK SC"/>
        <family val="2"/>
      </rPr>
      <t xml:space="preserve">울산광역시 울주군 언양읍 언양로 </t>
    </r>
    <r>
      <rPr>
        <sz val="10"/>
        <rFont val="맑은 고딕"/>
        <family val="0"/>
        <charset val="1"/>
      </rPr>
      <t xml:space="preserve">53</t>
    </r>
  </si>
  <si>
    <t xml:space="preserve">울산과학고등학교</t>
  </si>
  <si>
    <t xml:space="preserve">052-263-3182</t>
  </si>
  <si>
    <t xml:space="preserve">http://www.ushs.hs.kr</t>
  </si>
  <si>
    <t xml:space="preserve">울산광역시 울주군 상북면 도동신리로</t>
  </si>
  <si>
    <t xml:space="preserve">괴산군</t>
  </si>
  <si>
    <t xml:space="preserve">동인초등학교</t>
  </si>
  <si>
    <t xml:space="preserve">043-834-0568</t>
  </si>
  <si>
    <t xml:space="preserve">http://school.cbe.go.kr/dongin-e</t>
  </si>
  <si>
    <r>
      <rPr>
        <sz val="10"/>
        <rFont val="Noto Sans CJK SC"/>
        <family val="2"/>
      </rPr>
      <t xml:space="preserve">충청북도 괴산군 괴산읍 읍내로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15-8</t>
    </r>
  </si>
  <si>
    <t xml:space="preserve">괴산중학교</t>
  </si>
  <si>
    <t xml:space="preserve">043-832-0236</t>
  </si>
  <si>
    <t xml:space="preserve">http://school.cbe.go.kr/goesan-m</t>
  </si>
  <si>
    <r>
      <rPr>
        <sz val="10"/>
        <rFont val="Noto Sans CJK SC"/>
        <family val="2"/>
      </rPr>
      <t xml:space="preserve">충청북도 괴산군 괴산읍 괴산로 </t>
    </r>
    <r>
      <rPr>
        <sz val="10"/>
        <rFont val="맑은 고딕"/>
        <family val="0"/>
        <charset val="1"/>
      </rPr>
      <t xml:space="preserve">3527</t>
    </r>
  </si>
  <si>
    <t xml:space="preserve">삼보초등학교</t>
  </si>
  <si>
    <t xml:space="preserve">043-836-7991</t>
  </si>
  <si>
    <t xml:space="preserve">http://school.cbe.go.kr/sambo-e</t>
  </si>
  <si>
    <r>
      <rPr>
        <sz val="10"/>
        <rFont val="Noto Sans CJK SC"/>
        <family val="2"/>
      </rPr>
      <t xml:space="preserve">충청북도 증평군 증평읍 삼보로 </t>
    </r>
    <r>
      <rPr>
        <sz val="10"/>
        <rFont val="맑은 고딕"/>
        <family val="0"/>
        <charset val="1"/>
      </rPr>
      <t xml:space="preserve">140</t>
    </r>
  </si>
  <si>
    <t xml:space="preserve">증평초등학교</t>
  </si>
  <si>
    <t xml:space="preserve">043-838-0592</t>
  </si>
  <si>
    <t xml:space="preserve">http://school.cbe.go.kr/jp-e</t>
  </si>
  <si>
    <r>
      <rPr>
        <sz val="10"/>
        <rFont val="Noto Sans CJK SC"/>
        <family val="2"/>
      </rPr>
      <t xml:space="preserve">충청북도 증평군 증평읍 광장로 </t>
    </r>
    <r>
      <rPr>
        <sz val="10"/>
        <rFont val="맑은 고딕"/>
        <family val="0"/>
        <charset val="1"/>
      </rPr>
      <t xml:space="preserve">152</t>
    </r>
  </si>
  <si>
    <t xml:space="preserve">형석중학교</t>
  </si>
  <si>
    <t xml:space="preserve">043-835-1210</t>
  </si>
  <si>
    <t xml:space="preserve">http://school.cbe.go.kr/hsms-m</t>
  </si>
  <si>
    <r>
      <rPr>
        <sz val="10"/>
        <rFont val="Noto Sans CJK SC"/>
        <family val="2"/>
      </rPr>
      <t xml:space="preserve">충청북도 증평군 증평읍 미암로 </t>
    </r>
    <r>
      <rPr>
        <sz val="10"/>
        <rFont val="맑은 고딕"/>
        <family val="0"/>
        <charset val="1"/>
      </rPr>
      <t xml:space="preserve">26</t>
    </r>
  </si>
  <si>
    <t xml:space="preserve">목도나루학교</t>
  </si>
  <si>
    <t xml:space="preserve">043-760-7782</t>
  </si>
  <si>
    <t xml:space="preserve">http://school.cbe.go.kr/mokdonaru-h</t>
  </si>
  <si>
    <r>
      <rPr>
        <sz val="10"/>
        <rFont val="Noto Sans CJK SC"/>
        <family val="2"/>
      </rPr>
      <t xml:space="preserve">충청북도 괴산군 불정면 한불로청덕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50-15</t>
    </r>
  </si>
  <si>
    <t xml:space="preserve">단양고등학교</t>
  </si>
  <si>
    <t xml:space="preserve">043-422-3522</t>
  </si>
  <si>
    <t xml:space="preserve">http://school.cbe.go.kr/danyang-h/M01</t>
  </si>
  <si>
    <r>
      <rPr>
        <sz val="10"/>
        <rFont val="Noto Sans CJK SC"/>
        <family val="2"/>
      </rPr>
      <t xml:space="preserve">충청북도 단양군 단양읍 수변로 </t>
    </r>
    <r>
      <rPr>
        <sz val="10"/>
        <rFont val="맑은 고딕"/>
        <family val="0"/>
        <charset val="1"/>
      </rPr>
      <t xml:space="preserve">2</t>
    </r>
  </si>
  <si>
    <t xml:space="preserve">영동미래고등학교</t>
  </si>
  <si>
    <t xml:space="preserve">043-742-3653</t>
  </si>
  <si>
    <t xml:space="preserve">http://school.cbe.go.kr/ydmirae-h/M01</t>
  </si>
  <si>
    <r>
      <rPr>
        <sz val="10"/>
        <rFont val="Noto Sans CJK SC"/>
        <family val="2"/>
      </rPr>
      <t xml:space="preserve">충청북도 영동군 영동읍 대학로 </t>
    </r>
    <r>
      <rPr>
        <sz val="10"/>
        <rFont val="맑은 고딕"/>
        <family val="0"/>
        <charset val="1"/>
      </rPr>
      <t xml:space="preserve">10</t>
    </r>
  </si>
  <si>
    <t xml:space="preserve">황간고등학교</t>
  </si>
  <si>
    <t xml:space="preserve">043-740-9714</t>
  </si>
  <si>
    <t xml:space="preserve">http://school.cbe.go.kr/hgn-h/M01</t>
  </si>
  <si>
    <r>
      <rPr>
        <sz val="10"/>
        <rFont val="Noto Sans CJK SC"/>
        <family val="2"/>
      </rPr>
      <t xml:space="preserve">충청북도 영동군 황간면 남성동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4-22</t>
    </r>
  </si>
  <si>
    <t xml:space="preserve">043-927-1901</t>
  </si>
  <si>
    <t xml:space="preserve">http://school.cbe.go.kr/ds-h</t>
  </si>
  <si>
    <r>
      <rPr>
        <sz val="10"/>
        <rFont val="Noto Sans CJK SC"/>
        <family val="2"/>
      </rPr>
      <t xml:space="preserve">충청북도 음성군 맹동면 대하로 </t>
    </r>
    <r>
      <rPr>
        <sz val="10"/>
        <rFont val="맑은 고딕"/>
        <family val="0"/>
        <charset val="1"/>
      </rPr>
      <t xml:space="preserve">315</t>
    </r>
  </si>
  <si>
    <t xml:space="preserve">충북반도체고등학교</t>
  </si>
  <si>
    <t xml:space="preserve">043-871-5190</t>
  </si>
  <si>
    <t xml:space="preserve">http://school.cbe.go.kr/cbsemi-h</t>
  </si>
  <si>
    <r>
      <rPr>
        <sz val="10"/>
        <rFont val="Noto Sans CJK SC"/>
        <family val="2"/>
      </rPr>
      <t xml:space="preserve">충청북도 음성군 금왕읍 무극로 </t>
    </r>
    <r>
      <rPr>
        <sz val="10"/>
        <rFont val="맑은 고딕"/>
        <family val="0"/>
        <charset val="1"/>
      </rPr>
      <t xml:space="preserve">393-1</t>
    </r>
  </si>
  <si>
    <t xml:space="preserve">꽃동네학교</t>
  </si>
  <si>
    <t xml:space="preserve">043-882-7700</t>
  </si>
  <si>
    <t xml:space="preserve">http://school.cbe.go.kr/kkot-s</t>
  </si>
  <si>
    <r>
      <rPr>
        <sz val="10"/>
        <rFont val="Noto Sans CJK SC"/>
        <family val="2"/>
      </rPr>
      <t xml:space="preserve">충청북도 음성군 맹동면 원중로</t>
    </r>
    <r>
      <rPr>
        <sz val="10"/>
        <rFont val="맑은 고딕"/>
        <family val="0"/>
        <charset val="1"/>
      </rPr>
      <t xml:space="preserve">1119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42</t>
    </r>
  </si>
  <si>
    <t xml:space="preserve">제천디지털전자고등학교</t>
  </si>
  <si>
    <t xml:space="preserve">043-647-4391</t>
  </si>
  <si>
    <t xml:space="preserve">http://school.cbe.go.kr/jde-h</t>
  </si>
  <si>
    <r>
      <rPr>
        <sz val="10"/>
        <rFont val="Noto Sans CJK SC"/>
        <family val="2"/>
      </rPr>
      <t xml:space="preserve">충청북도 제천시 봉양읍 팔송로 </t>
    </r>
    <r>
      <rPr>
        <sz val="10"/>
        <rFont val="맑은 고딕"/>
        <family val="0"/>
        <charset val="1"/>
      </rPr>
      <t xml:space="preserve">84</t>
    </r>
  </si>
  <si>
    <t xml:space="preserve">제천상업고등학교</t>
  </si>
  <si>
    <t xml:space="preserve">043-640-6705</t>
  </si>
  <si>
    <t xml:space="preserve">http://school.cbe.go.kr/jcc-h</t>
  </si>
  <si>
    <r>
      <rPr>
        <sz val="10"/>
        <rFont val="Noto Sans CJK SC"/>
        <family val="2"/>
      </rPr>
      <t xml:space="preserve">충청북도 제천시 의병대로 </t>
    </r>
    <r>
      <rPr>
        <sz val="10"/>
        <rFont val="맑은 고딕"/>
        <family val="0"/>
        <charset val="1"/>
      </rPr>
      <t xml:space="preserve">243</t>
    </r>
  </si>
  <si>
    <t xml:space="preserve">청암학교</t>
  </si>
  <si>
    <t xml:space="preserve">043-649-0214</t>
  </si>
  <si>
    <t xml:space="preserve">http://school.cbe.go.kr/cheongam-s</t>
  </si>
  <si>
    <r>
      <rPr>
        <sz val="10"/>
        <rFont val="Noto Sans CJK SC"/>
        <family val="2"/>
      </rPr>
      <t xml:space="preserve">충청북도 제천시 의병대로</t>
    </r>
    <r>
      <rPr>
        <sz val="10"/>
        <rFont val="맑은 고딕"/>
        <family val="0"/>
        <charset val="1"/>
      </rPr>
      <t xml:space="preserve">45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58</t>
    </r>
  </si>
  <si>
    <t xml:space="preserve">서전고등학교</t>
  </si>
  <si>
    <t xml:space="preserve">043-537-8737</t>
  </si>
  <si>
    <t xml:space="preserve">http://school.cbe.go.kr/seojeon-h</t>
  </si>
  <si>
    <r>
      <rPr>
        <sz val="10"/>
        <rFont val="Noto Sans CJK SC"/>
        <family val="2"/>
      </rPr>
      <t xml:space="preserve">충청북도 진천군 덕산읍 대하로 </t>
    </r>
    <r>
      <rPr>
        <sz val="10"/>
        <rFont val="맑은 고딕"/>
        <family val="0"/>
        <charset val="1"/>
      </rPr>
      <t xml:space="preserve">47</t>
    </r>
  </si>
  <si>
    <t xml:space="preserve">진천상업고등학교</t>
  </si>
  <si>
    <t xml:space="preserve">043-533-3502</t>
  </si>
  <si>
    <t xml:space="preserve">http://school.cbe.go.kr/jcch-h</t>
  </si>
  <si>
    <r>
      <rPr>
        <sz val="10"/>
        <rFont val="Noto Sans CJK SC"/>
        <family val="2"/>
      </rPr>
      <t xml:space="preserve">충청북도 진천군 진천읍 문화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25</t>
    </r>
  </si>
  <si>
    <t xml:space="preserve">단재고등학교</t>
  </si>
  <si>
    <t xml:space="preserve">043-287-2250</t>
  </si>
  <si>
    <t xml:space="preserve">http://school.cbe.go.kr/danjae-h</t>
  </si>
  <si>
    <r>
      <rPr>
        <sz val="10"/>
        <rFont val="Noto Sans CJK SC"/>
        <family val="2"/>
      </rPr>
      <t xml:space="preserve">충청북도 청주시 상당구 가덕면 계산은행로 </t>
    </r>
    <r>
      <rPr>
        <sz val="10"/>
        <rFont val="맑은 고딕"/>
        <family val="0"/>
        <charset val="1"/>
      </rPr>
      <t xml:space="preserve">12</t>
    </r>
  </si>
  <si>
    <t xml:space="preserve">대성여자상업고등학교</t>
  </si>
  <si>
    <t xml:space="preserve">043-253-7422</t>
  </si>
  <si>
    <t xml:space="preserve">http://school.cbe.go.kr/cds-h/M01</t>
  </si>
  <si>
    <r>
      <rPr>
        <sz val="10"/>
        <rFont val="Noto Sans CJK SC"/>
        <family val="2"/>
      </rPr>
      <t xml:space="preserve">충청북도 청주시 상당구 대성로 </t>
    </r>
    <r>
      <rPr>
        <sz val="10"/>
        <rFont val="맑은 고딕"/>
        <family val="0"/>
        <charset val="1"/>
      </rPr>
      <t xml:space="preserve">220</t>
    </r>
  </si>
  <si>
    <t xml:space="preserve">043-904-0171</t>
  </si>
  <si>
    <t xml:space="preserve">http://school.cbe.go.kr/seowongo-h</t>
  </si>
  <si>
    <r>
      <rPr>
        <sz val="10"/>
        <rFont val="Noto Sans CJK SC"/>
        <family val="2"/>
      </rPr>
      <t xml:space="preserve">충청북도 청주시 흥덕구 가경로 </t>
    </r>
    <r>
      <rPr>
        <sz val="10"/>
        <rFont val="맑은 고딕"/>
        <family val="0"/>
        <charset val="1"/>
      </rPr>
      <t xml:space="preserve">49</t>
    </r>
  </si>
  <si>
    <t xml:space="preserve">양업고등학교</t>
  </si>
  <si>
    <t xml:space="preserve">043-260-5076</t>
  </si>
  <si>
    <t xml:space="preserve">http://www.yangeob.hs.kr</t>
  </si>
  <si>
    <r>
      <rPr>
        <sz val="10"/>
        <rFont val="Noto Sans CJK SC"/>
        <family val="2"/>
      </rPr>
      <t xml:space="preserve">충청북도 청주시 흥덕구 옥산면 환희길 </t>
    </r>
    <r>
      <rPr>
        <sz val="10"/>
        <rFont val="맑은 고딕"/>
        <family val="0"/>
        <charset val="1"/>
      </rPr>
      <t xml:space="preserve">277</t>
    </r>
  </si>
  <si>
    <t xml:space="preserve">일신여자고등학교</t>
  </si>
  <si>
    <t xml:space="preserve">043-257-7560</t>
  </si>
  <si>
    <t xml:space="preserve">http://www.cjis.hs.kr</t>
  </si>
  <si>
    <r>
      <rPr>
        <sz val="10"/>
        <rFont val="Noto Sans CJK SC"/>
        <family val="2"/>
      </rPr>
      <t xml:space="preserve">충청북도 청주시 상당구 영운로 </t>
    </r>
    <r>
      <rPr>
        <sz val="10"/>
        <rFont val="맑은 고딕"/>
        <family val="0"/>
        <charset val="1"/>
      </rPr>
      <t xml:space="preserve">126</t>
    </r>
  </si>
  <si>
    <t xml:space="preserve">청석고등학교</t>
  </si>
  <si>
    <t xml:space="preserve">043-297-2623</t>
  </si>
  <si>
    <t xml:space="preserve">http://school.cbe.go.kr/cs-h</t>
  </si>
  <si>
    <r>
      <rPr>
        <sz val="10"/>
        <rFont val="Noto Sans CJK SC"/>
        <family val="2"/>
      </rPr>
      <t xml:space="preserve">충청북도 청주시 상당구 원봉로 </t>
    </r>
    <r>
      <rPr>
        <sz val="10"/>
        <rFont val="맑은 고딕"/>
        <family val="0"/>
        <charset val="1"/>
      </rPr>
      <t xml:space="preserve">75</t>
    </r>
  </si>
  <si>
    <r>
      <rPr>
        <sz val="10"/>
        <rFont val="Noto Sans CJK SC"/>
        <family val="2"/>
      </rPr>
      <t xml:space="preserve">청주</t>
    </r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과학고등학교</t>
    </r>
  </si>
  <si>
    <t xml:space="preserve">043-269-3231</t>
  </si>
  <si>
    <t xml:space="preserve">http://school.cbe.go.kr/cjits-h</t>
  </si>
  <si>
    <r>
      <rPr>
        <sz val="10"/>
        <rFont val="Noto Sans CJK SC"/>
        <family val="2"/>
      </rPr>
      <t xml:space="preserve">충청북도 청주시 서원구 현도면 죽암도원로 </t>
    </r>
    <r>
      <rPr>
        <sz val="10"/>
        <rFont val="맑은 고딕"/>
        <family val="0"/>
        <charset val="1"/>
      </rPr>
      <t xml:space="preserve">34-13</t>
    </r>
  </si>
  <si>
    <t xml:space="preserve">청주대성고등학교</t>
  </si>
  <si>
    <t xml:space="preserve">043-215-4911</t>
  </si>
  <si>
    <t xml:space="preserve">http://school.cbe.go.kr/cjds-h</t>
  </si>
  <si>
    <r>
      <rPr>
        <sz val="10"/>
        <rFont val="Noto Sans CJK SC"/>
        <family val="2"/>
      </rPr>
      <t xml:space="preserve">충청북도 청주시 청원구 대성로</t>
    </r>
    <r>
      <rPr>
        <sz val="10"/>
        <rFont val="맑은 고딕"/>
        <family val="0"/>
        <charset val="1"/>
      </rPr>
      <t xml:space="preserve">300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18</t>
    </r>
  </si>
  <si>
    <t xml:space="preserve">청주여자상업고등학교</t>
  </si>
  <si>
    <t xml:space="preserve">043-288-7362</t>
  </si>
  <si>
    <t xml:space="preserve">http://3croba.hs.kr</t>
  </si>
  <si>
    <r>
      <rPr>
        <sz val="10"/>
        <rFont val="Noto Sans CJK SC"/>
        <family val="2"/>
      </rPr>
      <t xml:space="preserve">충청북도 청주시 서원구 무심서로 </t>
    </r>
    <r>
      <rPr>
        <sz val="10"/>
        <rFont val="맑은 고딕"/>
        <family val="0"/>
        <charset val="1"/>
      </rPr>
      <t xml:space="preserve">377-1</t>
    </r>
  </si>
  <si>
    <t xml:space="preserve">청주하이텍고등학교</t>
  </si>
  <si>
    <t xml:space="preserve">043-299-1705</t>
  </si>
  <si>
    <t xml:space="preserve">http://cjh.hs.kr</t>
  </si>
  <si>
    <r>
      <rPr>
        <sz val="10"/>
        <rFont val="Noto Sans CJK SC"/>
        <family val="2"/>
      </rPr>
      <t xml:space="preserve">충청북도 청주시 서원구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순환로</t>
    </r>
    <r>
      <rPr>
        <sz val="10"/>
        <rFont val="맑은 고딕"/>
        <family val="0"/>
        <charset val="1"/>
      </rPr>
      <t xml:space="preserve">1137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59</t>
    </r>
  </si>
  <si>
    <t xml:space="preserve">충북고등학교</t>
  </si>
  <si>
    <t xml:space="preserve">043-299-2300</t>
  </si>
  <si>
    <t xml:space="preserve">http://school.cbe.go.kr/chungbukgo-h</t>
  </si>
  <si>
    <r>
      <rPr>
        <sz val="10"/>
        <rFont val="Noto Sans CJK SC"/>
        <family val="2"/>
      </rPr>
      <t xml:space="preserve">충청북도 청주시 서원구 청남로 </t>
    </r>
    <r>
      <rPr>
        <sz val="10"/>
        <rFont val="맑은 고딕"/>
        <family val="0"/>
        <charset val="1"/>
      </rPr>
      <t xml:space="preserve">1969</t>
    </r>
  </si>
  <si>
    <t xml:space="preserve">충북과학고등학교</t>
  </si>
  <si>
    <t xml:space="preserve">043-715-2505</t>
  </si>
  <si>
    <t xml:space="preserve">http://school.cbe.go.kr/cbs-h/M01</t>
  </si>
  <si>
    <r>
      <rPr>
        <sz val="10"/>
        <rFont val="Noto Sans CJK SC"/>
        <family val="2"/>
      </rPr>
      <t xml:space="preserve">충청북도 청주시 상당구 가덕면 교육원로 </t>
    </r>
    <r>
      <rPr>
        <sz val="10"/>
        <rFont val="맑은 고딕"/>
        <family val="0"/>
        <charset val="1"/>
      </rPr>
      <t xml:space="preserve">153-135</t>
    </r>
  </si>
  <si>
    <t xml:space="preserve">충북에너지고등학교</t>
  </si>
  <si>
    <t xml:space="preserve">043-290-7601</t>
  </si>
  <si>
    <t xml:space="preserve">http://www.cbenergy.hs.kr</t>
  </si>
  <si>
    <r>
      <rPr>
        <sz val="10"/>
        <rFont val="Noto Sans CJK SC"/>
        <family val="2"/>
      </rPr>
      <t xml:space="preserve">충청북도 청주시 상당구 미원면 미원초정로 </t>
    </r>
    <r>
      <rPr>
        <sz val="10"/>
        <rFont val="맑은 고딕"/>
        <family val="0"/>
        <charset val="1"/>
      </rPr>
      <t xml:space="preserve">27</t>
    </r>
  </si>
  <si>
    <t xml:space="preserve">충북여자고등학교</t>
  </si>
  <si>
    <t xml:space="preserve">043-287-3701</t>
  </si>
  <si>
    <t xml:space="preserve">http://www.chungbuk-g.kr</t>
  </si>
  <si>
    <r>
      <rPr>
        <sz val="10"/>
        <rFont val="Noto Sans CJK SC"/>
        <family val="2"/>
      </rPr>
      <t xml:space="preserve">충청북도 청주시 서원구 무심서로 </t>
    </r>
    <r>
      <rPr>
        <sz val="10"/>
        <rFont val="맑은 고딕"/>
        <family val="0"/>
        <charset val="1"/>
      </rPr>
      <t xml:space="preserve">377-2</t>
    </r>
  </si>
  <si>
    <t xml:space="preserve">이은학교</t>
  </si>
  <si>
    <t xml:space="preserve">043-820-1400</t>
  </si>
  <si>
    <t xml:space="preserve">http://school.cbe.go.kr/eeun-s</t>
  </si>
  <si>
    <r>
      <rPr>
        <sz val="10"/>
        <rFont val="Noto Sans CJK SC"/>
        <family val="2"/>
      </rPr>
      <t xml:space="preserve">충청북도 청주시 청원구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순환로 </t>
    </r>
    <r>
      <rPr>
        <sz val="10"/>
        <rFont val="맑은 고딕"/>
        <family val="0"/>
        <charset val="1"/>
      </rPr>
      <t xml:space="preserve">62</t>
    </r>
  </si>
  <si>
    <t xml:space="preserve">청주성신학교</t>
  </si>
  <si>
    <t xml:space="preserve">043-266-7976</t>
  </si>
  <si>
    <t xml:space="preserve">http://school.cbe.go.kr/cjss</t>
  </si>
  <si>
    <r>
      <rPr>
        <sz val="10"/>
        <rFont val="Noto Sans CJK SC"/>
        <family val="2"/>
      </rPr>
      <t xml:space="preserve">충청북도 청주시 흥덕구 서부로 </t>
    </r>
    <r>
      <rPr>
        <sz val="10"/>
        <rFont val="맑은 고딕"/>
        <family val="0"/>
        <charset val="1"/>
      </rPr>
      <t xml:space="preserve">837-42</t>
    </r>
  </si>
  <si>
    <t xml:space="preserve">청주혜원학교</t>
  </si>
  <si>
    <t xml:space="preserve">043-286-6881</t>
  </si>
  <si>
    <t xml:space="preserve">http://school.cbe.go.kr/cjhyewon-s</t>
  </si>
  <si>
    <r>
      <rPr>
        <sz val="10"/>
        <rFont val="Noto Sans CJK SC"/>
        <family val="2"/>
      </rPr>
      <t xml:space="preserve">충청북도 청주시 상당구 중고개로</t>
    </r>
    <r>
      <rPr>
        <sz val="10"/>
        <rFont val="맑은 고딕"/>
        <family val="0"/>
        <charset val="1"/>
      </rPr>
      <t xml:space="preserve">248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25</t>
    </r>
  </si>
  <si>
    <t xml:space="preserve">청주혜화학교</t>
  </si>
  <si>
    <t xml:space="preserve">043-233-0163</t>
  </si>
  <si>
    <t xml:space="preserve">http://school.cbe.go.kr/cjhyehwa-s</t>
  </si>
  <si>
    <r>
      <rPr>
        <sz val="10"/>
        <rFont val="Noto Sans CJK SC"/>
        <family val="2"/>
      </rPr>
      <t xml:space="preserve">충청북도 청주시 서원구 남이면 구암길 </t>
    </r>
    <r>
      <rPr>
        <sz val="10"/>
        <rFont val="맑은 고딕"/>
        <family val="0"/>
        <charset val="1"/>
      </rPr>
      <t xml:space="preserve">52-7</t>
    </r>
  </si>
  <si>
    <t xml:space="preserve">국원고등학교</t>
  </si>
  <si>
    <t xml:space="preserve">043-841-2360</t>
  </si>
  <si>
    <t xml:space="preserve">http://www.gukwon.hs.kr</t>
  </si>
  <si>
    <r>
      <rPr>
        <sz val="10"/>
        <rFont val="Noto Sans CJK SC"/>
        <family val="2"/>
      </rPr>
      <t xml:space="preserve">충청북도 충주시 탄금대로 </t>
    </r>
    <r>
      <rPr>
        <sz val="10"/>
        <rFont val="맑은 고딕"/>
        <family val="0"/>
        <charset val="1"/>
      </rPr>
      <t xml:space="preserve">88</t>
    </r>
  </si>
  <si>
    <t xml:space="preserve">충주고등학교</t>
  </si>
  <si>
    <t xml:space="preserve">043-840-6700</t>
  </si>
  <si>
    <t xml:space="preserve">http://school.cbe.go.kr/chungju-h/M01</t>
  </si>
  <si>
    <r>
      <rPr>
        <sz val="10"/>
        <rFont val="Noto Sans CJK SC"/>
        <family val="2"/>
      </rPr>
      <t xml:space="preserve">충청북도 충주시 예성로 </t>
    </r>
    <r>
      <rPr>
        <sz val="10"/>
        <rFont val="맑은 고딕"/>
        <family val="0"/>
        <charset val="1"/>
      </rPr>
      <t xml:space="preserve">37</t>
    </r>
  </si>
  <si>
    <t xml:space="preserve">충주공업고등학교</t>
  </si>
  <si>
    <t xml:space="preserve">043-841-1428</t>
  </si>
  <si>
    <t xml:space="preserve">http://www.cjth.hs.kr</t>
  </si>
  <si>
    <r>
      <rPr>
        <sz val="10"/>
        <rFont val="Noto Sans CJK SC"/>
        <family val="2"/>
      </rPr>
      <t xml:space="preserve">충청북도 충주시 형설로 </t>
    </r>
    <r>
      <rPr>
        <sz val="10"/>
        <rFont val="맑은 고딕"/>
        <family val="0"/>
        <charset val="1"/>
      </rPr>
      <t xml:space="preserve">120</t>
    </r>
  </si>
  <si>
    <t xml:space="preserve">충주대원고등학교</t>
  </si>
  <si>
    <t xml:space="preserve">043-840-0800</t>
  </si>
  <si>
    <t xml:space="preserve">http://school.cbe.go.kr/daewon-h/M01</t>
  </si>
  <si>
    <r>
      <rPr>
        <sz val="10"/>
        <rFont val="Noto Sans CJK SC"/>
        <family val="2"/>
      </rPr>
      <t xml:space="preserve">충청북도 충주시 안림로 </t>
    </r>
    <r>
      <rPr>
        <sz val="10"/>
        <rFont val="맑은 고딕"/>
        <family val="0"/>
        <charset val="1"/>
      </rPr>
      <t xml:space="preserve">43</t>
    </r>
  </si>
  <si>
    <t xml:space="preserve">충주상업고등학교</t>
  </si>
  <si>
    <t xml:space="preserve">043-844-3322</t>
  </si>
  <si>
    <t xml:space="preserve">http://chungju-ch.hs.kr</t>
  </si>
  <si>
    <t xml:space="preserve">충주여자고등학교</t>
  </si>
  <si>
    <t xml:space="preserve">043-850-9750</t>
  </si>
  <si>
    <t xml:space="preserve">http://school.cbe.go.kr/chungjugirl-h</t>
  </si>
  <si>
    <r>
      <rPr>
        <sz val="10"/>
        <rFont val="Noto Sans CJK SC"/>
        <family val="2"/>
      </rPr>
      <t xml:space="preserve">충청북도 충주시 형설로 </t>
    </r>
    <r>
      <rPr>
        <sz val="10"/>
        <rFont val="맑은 고딕"/>
        <family val="0"/>
        <charset val="1"/>
      </rPr>
      <t xml:space="preserve">77</t>
    </r>
  </si>
  <si>
    <t xml:space="preserve">충주예성여자고등학교</t>
  </si>
  <si>
    <t xml:space="preserve">043-870-1903</t>
  </si>
  <si>
    <t xml:space="preserve">http://school.cbe.go.kr/yesung-h</t>
  </si>
  <si>
    <r>
      <rPr>
        <sz val="10"/>
        <rFont val="Noto Sans CJK SC"/>
        <family val="2"/>
      </rPr>
      <t xml:space="preserve">충청북도 충주시 호암대로 </t>
    </r>
    <r>
      <rPr>
        <sz val="10"/>
        <rFont val="맑은 고딕"/>
        <family val="0"/>
        <charset val="1"/>
      </rPr>
      <t xml:space="preserve">42</t>
    </r>
  </si>
  <si>
    <t xml:space="preserve">한림디자인고등학교</t>
  </si>
  <si>
    <t xml:space="preserve">043-841-2200</t>
  </si>
  <si>
    <t xml:space="preserve">http://school.cbe.go.kr/had-h</t>
  </si>
  <si>
    <r>
      <rPr>
        <sz val="10"/>
        <rFont val="Noto Sans CJK SC"/>
        <family val="2"/>
      </rPr>
      <t xml:space="preserve">충청북도 충주시 야현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21</t>
    </r>
  </si>
  <si>
    <t xml:space="preserve">숭덕학교</t>
  </si>
  <si>
    <t xml:space="preserve">043-852-6943</t>
  </si>
  <si>
    <t xml:space="preserve">http://school.cbe.go.kr/sungdeok-s/M01</t>
  </si>
  <si>
    <r>
      <rPr>
        <sz val="10"/>
        <rFont val="Noto Sans CJK SC"/>
        <family val="2"/>
      </rPr>
      <t xml:space="preserve">충청북도 충주시 충원대로 </t>
    </r>
    <r>
      <rPr>
        <sz val="10"/>
        <rFont val="맑은 고딕"/>
        <family val="0"/>
        <charset val="1"/>
      </rPr>
      <t xml:space="preserve">490</t>
    </r>
  </si>
  <si>
    <t xml:space="preserve">충주성모학교</t>
  </si>
  <si>
    <t xml:space="preserve">043-852-1374</t>
  </si>
  <si>
    <t xml:space="preserve">http://www.chungjusm.sc.kr</t>
  </si>
  <si>
    <r>
      <rPr>
        <sz val="10"/>
        <rFont val="Noto Sans CJK SC"/>
        <family val="2"/>
      </rPr>
      <t xml:space="preserve">충청북도 충주시 방아길 </t>
    </r>
    <r>
      <rPr>
        <sz val="10"/>
        <rFont val="맑은 고딕"/>
        <family val="0"/>
        <charset val="1"/>
      </rPr>
      <t xml:space="preserve">48-9</t>
    </r>
  </si>
  <si>
    <t xml:space="preserve">청주교육대학교부설초등학교</t>
  </si>
  <si>
    <t xml:space="preserve">043-284-0861</t>
  </si>
  <si>
    <t xml:space="preserve">http://cje.es.kr</t>
  </si>
  <si>
    <r>
      <rPr>
        <sz val="10"/>
        <rFont val="Noto Sans CJK SC"/>
        <family val="2"/>
      </rPr>
      <t xml:space="preserve">충청북도 청주시 서원구 청남로 </t>
    </r>
    <r>
      <rPr>
        <sz val="10"/>
        <rFont val="맑은 고딕"/>
        <family val="0"/>
        <charset val="1"/>
      </rPr>
      <t xml:space="preserve">2067</t>
    </r>
  </si>
  <si>
    <t xml:space="preserve">한국교원대학교부설월곡초등학교</t>
  </si>
  <si>
    <t xml:space="preserve">043-280-0600</t>
  </si>
  <si>
    <t xml:space="preserve">http://school.cbe.go.kr/wallgok-e/M01</t>
  </si>
  <si>
    <r>
      <rPr>
        <sz val="10"/>
        <rFont val="Noto Sans CJK SC"/>
        <family val="2"/>
      </rPr>
      <t xml:space="preserve">충청북도 청주시 흥덕구 강내면 가로수로 </t>
    </r>
    <r>
      <rPr>
        <sz val="10"/>
        <rFont val="맑은 고딕"/>
        <family val="0"/>
        <charset val="1"/>
      </rPr>
      <t xml:space="preserve">562</t>
    </r>
  </si>
  <si>
    <t xml:space="preserve">충북대학교사범대학부설고등학교</t>
  </si>
  <si>
    <t xml:space="preserve">043-249-2120</t>
  </si>
  <si>
    <t xml:space="preserve">http://school.cbe.go.kr/cbnu-h</t>
  </si>
  <si>
    <r>
      <rPr>
        <sz val="10"/>
        <rFont val="Noto Sans CJK SC"/>
        <family val="2"/>
      </rPr>
      <t xml:space="preserve">충청북도 청주시 흥덕구 장구봉로</t>
    </r>
    <r>
      <rPr>
        <sz val="10"/>
        <rFont val="맑은 고딕"/>
        <family val="0"/>
        <charset val="1"/>
      </rPr>
      <t xml:space="preserve">41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12</t>
    </r>
  </si>
  <si>
    <t xml:space="preserve">단양초등학교</t>
  </si>
  <si>
    <t xml:space="preserve">043-421-2655</t>
  </si>
  <si>
    <t xml:space="preserve">http://school.cbe.go.kr/danyang-e</t>
  </si>
  <si>
    <r>
      <rPr>
        <sz val="10"/>
        <rFont val="Noto Sans CJK SC"/>
        <family val="2"/>
      </rPr>
      <t xml:space="preserve">충청북도 단양군 단양읍 도전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15</t>
    </r>
  </si>
  <si>
    <t xml:space="preserve">대가초등학교</t>
  </si>
  <si>
    <t xml:space="preserve">043-422-1987</t>
  </si>
  <si>
    <t xml:space="preserve">http://school.cbe.go.kr/taega-e/M01</t>
  </si>
  <si>
    <r>
      <rPr>
        <sz val="10"/>
        <rFont val="Noto Sans CJK SC"/>
        <family val="2"/>
      </rPr>
      <t xml:space="preserve">충청북도 단양군 적성면 적성로 </t>
    </r>
    <r>
      <rPr>
        <sz val="10"/>
        <rFont val="맑은 고딕"/>
        <family val="0"/>
        <charset val="1"/>
      </rPr>
      <t xml:space="preserve">453</t>
    </r>
  </si>
  <si>
    <t xml:space="preserve">단성중학교</t>
  </si>
  <si>
    <t xml:space="preserve">043-422-0792</t>
  </si>
  <si>
    <t xml:space="preserve">http://school.cbe.go.kr/dansung-m/M01</t>
  </si>
  <si>
    <r>
      <rPr>
        <sz val="10"/>
        <rFont val="Noto Sans CJK SC"/>
        <family val="2"/>
      </rPr>
      <t xml:space="preserve">충청북도 단양군 단성면 월악로 </t>
    </r>
    <r>
      <rPr>
        <sz val="10"/>
        <rFont val="맑은 고딕"/>
        <family val="0"/>
        <charset val="1"/>
      </rPr>
      <t xml:space="preserve">4633</t>
    </r>
  </si>
  <si>
    <t xml:space="preserve">단양소백산중학교</t>
  </si>
  <si>
    <t xml:space="preserve">043-423-9621</t>
  </si>
  <si>
    <t xml:space="preserve">http://school.cbe.go.kr/sobaeksan-m</t>
  </si>
  <si>
    <r>
      <rPr>
        <sz val="10"/>
        <rFont val="Noto Sans CJK SC"/>
        <family val="2"/>
      </rPr>
      <t xml:space="preserve">충청북도 단양군 영춘면 장발선돌길 </t>
    </r>
    <r>
      <rPr>
        <sz val="10"/>
        <rFont val="맑은 고딕"/>
        <family val="0"/>
        <charset val="1"/>
      </rPr>
      <t xml:space="preserve">14</t>
    </r>
  </si>
  <si>
    <t xml:space="preserve">단양중학교</t>
  </si>
  <si>
    <t xml:space="preserve">043-422-2280</t>
  </si>
  <si>
    <t xml:space="preserve">http://school.cbe.go.kr/danyang-m</t>
  </si>
  <si>
    <r>
      <rPr>
        <sz val="10"/>
        <rFont val="Noto Sans CJK SC"/>
        <family val="2"/>
      </rPr>
      <t xml:space="preserve">충청북도 단양군 단양읍 도전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12</t>
    </r>
  </si>
  <si>
    <t xml:space="preserve">매포중학교</t>
  </si>
  <si>
    <t xml:space="preserve">043-422-3811</t>
  </si>
  <si>
    <t xml:space="preserve">http://school.cbe.go.kr/maepo-m</t>
  </si>
  <si>
    <r>
      <rPr>
        <sz val="10"/>
        <rFont val="Noto Sans CJK SC"/>
        <family val="2"/>
      </rPr>
      <t xml:space="preserve">충청북도 단양군 매포읍 평동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13</t>
    </r>
  </si>
  <si>
    <t xml:space="preserve">043-543-2621</t>
  </si>
  <si>
    <t xml:space="preserve">http://school.cbe.go.kr/boeundonggwang-e</t>
  </si>
  <si>
    <r>
      <rPr>
        <sz val="10"/>
        <rFont val="Noto Sans CJK SC"/>
        <family val="2"/>
      </rPr>
      <t xml:space="preserve">충청북도 보은군 보은읍 동광길 </t>
    </r>
    <r>
      <rPr>
        <sz val="10"/>
        <rFont val="맑은 고딕"/>
        <family val="0"/>
        <charset val="1"/>
      </rPr>
      <t xml:space="preserve">26</t>
    </r>
  </si>
  <si>
    <t xml:space="preserve">보은삼산초등학교</t>
  </si>
  <si>
    <t xml:space="preserve">043-543-2618</t>
  </si>
  <si>
    <t xml:space="preserve">http://school.cbe.go.kr/samsan-e</t>
  </si>
  <si>
    <r>
      <rPr>
        <sz val="10"/>
        <rFont val="Noto Sans CJK SC"/>
        <family val="2"/>
      </rPr>
      <t xml:space="preserve">충청북도 보은군 보은읍 보은로 </t>
    </r>
    <r>
      <rPr>
        <sz val="10"/>
        <rFont val="맑은 고딕"/>
        <family val="0"/>
        <charset val="1"/>
      </rPr>
      <t xml:space="preserve">109-6</t>
    </r>
  </si>
  <si>
    <t xml:space="preserve">판동초등학교</t>
  </si>
  <si>
    <t xml:space="preserve">043-543-8501</t>
  </si>
  <si>
    <t xml:space="preserve">http://school.cbe.go.kr/pandong-e</t>
  </si>
  <si>
    <r>
      <rPr>
        <sz val="10"/>
        <rFont val="Noto Sans CJK SC"/>
        <family val="2"/>
      </rPr>
      <t xml:space="preserve">충청북도 보은군 삼승면 삼승탄부로 </t>
    </r>
    <r>
      <rPr>
        <sz val="10"/>
        <rFont val="맑은 고딕"/>
        <family val="0"/>
        <charset val="1"/>
      </rPr>
      <t xml:space="preserve">78-15</t>
    </r>
  </si>
  <si>
    <t xml:space="preserve">영동초등학교</t>
  </si>
  <si>
    <t xml:space="preserve">043-740-2470</t>
  </si>
  <si>
    <t xml:space="preserve">http://school.cbe.go.kr/yde-e</t>
  </si>
  <si>
    <r>
      <rPr>
        <sz val="10"/>
        <rFont val="Noto Sans CJK SC"/>
        <family val="2"/>
      </rPr>
      <t xml:space="preserve">충청북도 영동군 영동읍 영동천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47</t>
    </r>
  </si>
  <si>
    <t xml:space="preserve">이수초등학교</t>
  </si>
  <si>
    <t xml:space="preserve">043-744-0140</t>
  </si>
  <si>
    <t xml:space="preserve">http://school.cbe.go.kr/isu-e</t>
  </si>
  <si>
    <r>
      <rPr>
        <sz val="10"/>
        <rFont val="Noto Sans CJK SC"/>
        <family val="2"/>
      </rPr>
      <t xml:space="preserve">충청북도 영동군 영동읍 영산로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9</t>
    </r>
  </si>
  <si>
    <t xml:space="preserve">043-740-7900</t>
  </si>
  <si>
    <t xml:space="preserve">http://school.cbe.go.kr/yeongdong-m/M01</t>
  </si>
  <si>
    <r>
      <rPr>
        <sz val="10"/>
        <rFont val="Noto Sans CJK SC"/>
        <family val="2"/>
      </rPr>
      <t xml:space="preserve">충청북도 영동군 영동읍 계산로 </t>
    </r>
    <r>
      <rPr>
        <sz val="10"/>
        <rFont val="맑은 고딕"/>
        <family val="0"/>
        <charset val="1"/>
      </rPr>
      <t xml:space="preserve">106</t>
    </r>
  </si>
  <si>
    <t xml:space="preserve">영신중학교</t>
  </si>
  <si>
    <t xml:space="preserve">043-742-3851</t>
  </si>
  <si>
    <t xml:space="preserve">http://school.cbe.go.kr/yongshin-m</t>
  </si>
  <si>
    <r>
      <rPr>
        <sz val="10"/>
        <rFont val="Noto Sans CJK SC"/>
        <family val="2"/>
      </rPr>
      <t xml:space="preserve">충청북도 영동군 영동읍 영동황간로 </t>
    </r>
    <r>
      <rPr>
        <sz val="10"/>
        <rFont val="맑은 고딕"/>
        <family val="0"/>
        <charset val="1"/>
      </rPr>
      <t xml:space="preserve">22</t>
    </r>
  </si>
  <si>
    <t xml:space="preserve">옥천교육지원청</t>
  </si>
  <si>
    <t xml:space="preserve">옥천군</t>
  </si>
  <si>
    <t xml:space="preserve">죽향초등학교</t>
  </si>
  <si>
    <t xml:space="preserve">043-732-1397</t>
  </si>
  <si>
    <t xml:space="preserve">http://school.cbe.go.kr/jukhyang-e</t>
  </si>
  <si>
    <r>
      <rPr>
        <sz val="10"/>
        <rFont val="Noto Sans CJK SC"/>
        <family val="2"/>
      </rPr>
      <t xml:space="preserve">충청북도 옥천군 옥천읍 향수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26</t>
    </r>
  </si>
  <si>
    <t xml:space="preserve">옥천여자중학교</t>
  </si>
  <si>
    <t xml:space="preserve">043-733-2582</t>
  </si>
  <si>
    <t xml:space="preserve">http://school.cbe.go.kr/ocg-m</t>
  </si>
  <si>
    <r>
      <rPr>
        <sz val="10"/>
        <rFont val="Noto Sans CJK SC"/>
        <family val="2"/>
      </rPr>
      <t xml:space="preserve">충청북도 옥천군 옥천읍 중앙로 </t>
    </r>
    <r>
      <rPr>
        <sz val="10"/>
        <rFont val="맑은 고딕"/>
        <family val="0"/>
        <charset val="1"/>
      </rPr>
      <t xml:space="preserve">90</t>
    </r>
  </si>
  <si>
    <t xml:space="preserve">음성교육지원청</t>
  </si>
  <si>
    <t xml:space="preserve">감곡초등학교</t>
  </si>
  <si>
    <t xml:space="preserve">043-881-2023</t>
  </si>
  <si>
    <t xml:space="preserve">http://school.cbe.go.kr/gamgok-e</t>
  </si>
  <si>
    <r>
      <rPr>
        <sz val="10"/>
        <rFont val="Noto Sans CJK SC"/>
        <family val="2"/>
      </rPr>
      <t xml:space="preserve">충청북도 음성군 감곡면 장감로 </t>
    </r>
    <r>
      <rPr>
        <sz val="10"/>
        <rFont val="맑은 고딕"/>
        <family val="0"/>
        <charset val="1"/>
      </rPr>
      <t xml:space="preserve">207</t>
    </r>
  </si>
  <si>
    <t xml:space="preserve">하당초등학교</t>
  </si>
  <si>
    <t xml:space="preserve">043-872-3535</t>
  </si>
  <si>
    <t xml:space="preserve">http://school.cbe.go.kr/hadang-e/M01</t>
  </si>
  <si>
    <r>
      <rPr>
        <sz val="10"/>
        <rFont val="Noto Sans CJK SC"/>
        <family val="2"/>
      </rPr>
      <t xml:space="preserve">충청북도 음성군 원남면 하초로 </t>
    </r>
    <r>
      <rPr>
        <sz val="10"/>
        <rFont val="맑은 고딕"/>
        <family val="0"/>
        <charset val="1"/>
      </rPr>
      <t xml:space="preserve">35-4</t>
    </r>
  </si>
  <si>
    <t xml:space="preserve">043-750-5000</t>
  </si>
  <si>
    <t xml:space="preserve">http://school.cbe.go.kr/dongseong-m</t>
  </si>
  <si>
    <r>
      <rPr>
        <sz val="10"/>
        <rFont val="Noto Sans CJK SC"/>
        <family val="2"/>
      </rPr>
      <t xml:space="preserve">충청북도 음성군 맹동면 학예로 </t>
    </r>
    <r>
      <rPr>
        <sz val="10"/>
        <rFont val="맑은 고딕"/>
        <family val="0"/>
        <charset val="1"/>
      </rPr>
      <t xml:space="preserve">32</t>
    </r>
  </si>
  <si>
    <t xml:space="preserve">무극중학교</t>
  </si>
  <si>
    <t xml:space="preserve">043-877-0912</t>
  </si>
  <si>
    <t xml:space="preserve">http://school.cbe.go.kr/mugeuk-m/M01</t>
  </si>
  <si>
    <r>
      <rPr>
        <sz val="10"/>
        <rFont val="Noto Sans CJK SC"/>
        <family val="2"/>
      </rPr>
      <t xml:space="preserve">충청북도 음성군 금왕읍 응천서길</t>
    </r>
    <r>
      <rPr>
        <sz val="10"/>
        <rFont val="맑은 고딕"/>
        <family val="0"/>
        <charset val="1"/>
      </rPr>
      <t xml:space="preserve">27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37</t>
    </r>
  </si>
  <si>
    <t xml:space="preserve">생극중학교</t>
  </si>
  <si>
    <t xml:space="preserve">043-878-3481</t>
  </si>
  <si>
    <t xml:space="preserve">http://school.cbe.go.kr/saenggeuk-m</t>
  </si>
  <si>
    <r>
      <rPr>
        <sz val="10"/>
        <rFont val="Noto Sans CJK SC"/>
        <family val="2"/>
      </rPr>
      <t xml:space="preserve">충청북도 음성군 생극면 음성로 </t>
    </r>
    <r>
      <rPr>
        <sz val="10"/>
        <rFont val="맑은 고딕"/>
        <family val="0"/>
        <charset val="1"/>
      </rPr>
      <t xml:space="preserve">1672</t>
    </r>
  </si>
  <si>
    <t xml:space="preserve">음성중학교</t>
  </si>
  <si>
    <t xml:space="preserve">043-872-2151</t>
  </si>
  <si>
    <t xml:space="preserve">http://school.cbe.go.kr/eumseong-m</t>
  </si>
  <si>
    <r>
      <rPr>
        <sz val="10"/>
        <rFont val="Noto Sans CJK SC"/>
        <family val="2"/>
      </rPr>
      <t xml:space="preserve">충청북도 음성군 음성읍 수정로 </t>
    </r>
    <r>
      <rPr>
        <sz val="10"/>
        <rFont val="맑은 고딕"/>
        <family val="0"/>
        <charset val="1"/>
      </rPr>
      <t xml:space="preserve">79</t>
    </r>
  </si>
  <si>
    <t xml:space="preserve">한일중학교</t>
  </si>
  <si>
    <t xml:space="preserve">043-872-2156</t>
  </si>
  <si>
    <t xml:space="preserve">http://school.cbe.go.kr/hanil-m</t>
  </si>
  <si>
    <r>
      <rPr>
        <sz val="10"/>
        <rFont val="Noto Sans CJK SC"/>
        <family val="2"/>
      </rPr>
      <t xml:space="preserve">충청북도 음성군 음성읍 예술로 </t>
    </r>
    <r>
      <rPr>
        <sz val="10"/>
        <rFont val="맑은 고딕"/>
        <family val="0"/>
        <charset val="1"/>
      </rPr>
      <t xml:space="preserve">34</t>
    </r>
  </si>
  <si>
    <t xml:space="preserve">043-644-2331</t>
  </si>
  <si>
    <t xml:space="preserve">http://school.cbe.go.kr/namchon-e/M01</t>
  </si>
  <si>
    <r>
      <rPr>
        <sz val="10"/>
        <rFont val="Noto Sans CJK SC"/>
        <family val="2"/>
      </rPr>
      <t xml:space="preserve">충청북도 제천시 풍양로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안길 </t>
    </r>
    <r>
      <rPr>
        <sz val="10"/>
        <rFont val="맑은 고딕"/>
        <family val="0"/>
        <charset val="1"/>
      </rPr>
      <t xml:space="preserve">25</t>
    </r>
  </si>
  <si>
    <t xml:space="preserve">용두초등학교</t>
  </si>
  <si>
    <t xml:space="preserve">043-641-7815</t>
  </si>
  <si>
    <t xml:space="preserve">http://school.cbe.go.kr/yongdu-e</t>
  </si>
  <si>
    <r>
      <rPr>
        <sz val="10"/>
        <rFont val="Noto Sans CJK SC"/>
        <family val="2"/>
      </rPr>
      <t xml:space="preserve">충청북도 제천시 용두대로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36</t>
    </r>
  </si>
  <si>
    <t xml:space="preserve">장락초등학교</t>
  </si>
  <si>
    <t xml:space="preserve">043-652-8792</t>
  </si>
  <si>
    <t xml:space="preserve">http://school.cbe.go.kr/jangnak-e/M01</t>
  </si>
  <si>
    <r>
      <rPr>
        <sz val="10"/>
        <rFont val="Noto Sans CJK SC"/>
        <family val="2"/>
      </rPr>
      <t xml:space="preserve">충청북도 제천시 죽하로 </t>
    </r>
    <r>
      <rPr>
        <sz val="10"/>
        <rFont val="맑은 고딕"/>
        <family val="0"/>
        <charset val="1"/>
      </rPr>
      <t xml:space="preserve">25</t>
    </r>
  </si>
  <si>
    <t xml:space="preserve">내토중학교</t>
  </si>
  <si>
    <t xml:space="preserve">043-652-6982</t>
  </si>
  <si>
    <t xml:space="preserve">http://school.cbe.go.kr/naeto-m</t>
  </si>
  <si>
    <r>
      <rPr>
        <sz val="10"/>
        <rFont val="Noto Sans CJK SC"/>
        <family val="2"/>
      </rPr>
      <t xml:space="preserve">충청북도 제천시 장락로 </t>
    </r>
    <r>
      <rPr>
        <sz val="10"/>
        <rFont val="맑은 고딕"/>
        <family val="0"/>
        <charset val="1"/>
      </rPr>
      <t xml:space="preserve">18</t>
    </r>
  </si>
  <si>
    <t xml:space="preserve">문백초등학교</t>
  </si>
  <si>
    <t xml:space="preserve">043-532-7590</t>
  </si>
  <si>
    <t xml:space="preserve">http://school.cbe.go.kr/munbaek-e</t>
  </si>
  <si>
    <r>
      <rPr>
        <sz val="10"/>
        <rFont val="Noto Sans CJK SC"/>
        <family val="2"/>
      </rPr>
      <t xml:space="preserve">충청북도 진천군 문백면 봉죽길 </t>
    </r>
    <r>
      <rPr>
        <sz val="10"/>
        <rFont val="맑은 고딕"/>
        <family val="0"/>
        <charset val="1"/>
      </rPr>
      <t xml:space="preserve">22</t>
    </r>
  </si>
  <si>
    <t xml:space="preserve">문상초등학교</t>
  </si>
  <si>
    <t xml:space="preserve">043-532-1163</t>
  </si>
  <si>
    <t xml:space="preserve">http://www.munsang.es.kr</t>
  </si>
  <si>
    <r>
      <rPr>
        <sz val="10"/>
        <rFont val="Noto Sans CJK SC"/>
        <family val="2"/>
      </rPr>
      <t xml:space="preserve">충청북도 진천군 문백면 농다리로 </t>
    </r>
    <r>
      <rPr>
        <sz val="10"/>
        <rFont val="맑은 고딕"/>
        <family val="0"/>
        <charset val="1"/>
      </rPr>
      <t xml:space="preserve">1232</t>
    </r>
  </si>
  <si>
    <t xml:space="preserve">백곡초등학교</t>
  </si>
  <si>
    <t xml:space="preserve">043-532-8618</t>
  </si>
  <si>
    <t xml:space="preserve">http://school.cbe.go.kr/baekgok-e</t>
  </si>
  <si>
    <r>
      <rPr>
        <sz val="10"/>
        <rFont val="Noto Sans CJK SC"/>
        <family val="2"/>
      </rPr>
      <t xml:space="preserve">충청북도 진천군 백곡면 안구수길 </t>
    </r>
    <r>
      <rPr>
        <sz val="10"/>
        <rFont val="맑은 고딕"/>
        <family val="0"/>
        <charset val="1"/>
      </rPr>
      <t xml:space="preserve">20</t>
    </r>
  </si>
  <si>
    <t xml:space="preserve">043-531-6303</t>
  </si>
  <si>
    <t xml:space="preserve">http://school.cbe.go.kr/oktong-e</t>
  </si>
  <si>
    <r>
      <rPr>
        <sz val="10"/>
        <rFont val="Noto Sans CJK SC"/>
        <family val="2"/>
      </rPr>
      <t xml:space="preserve">충청북도 진천군 덕산읍 예지로 </t>
    </r>
    <r>
      <rPr>
        <sz val="10"/>
        <rFont val="맑은 고딕"/>
        <family val="0"/>
        <charset val="1"/>
      </rPr>
      <t xml:space="preserve">43</t>
    </r>
  </si>
  <si>
    <t xml:space="preserve">진천삼수초등학교</t>
  </si>
  <si>
    <t xml:space="preserve">043-532-1162</t>
  </si>
  <si>
    <t xml:space="preserve">http://school.cbe.go.kr/samsu-e</t>
  </si>
  <si>
    <r>
      <rPr>
        <sz val="10"/>
        <rFont val="Noto Sans CJK SC"/>
        <family val="2"/>
      </rPr>
      <t xml:space="preserve">충청북도 진천군 진천읍 중앙서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</t>
    </r>
  </si>
  <si>
    <t xml:space="preserve">진천상산초등학교</t>
  </si>
  <si>
    <t xml:space="preserve">043-534-7031</t>
  </si>
  <si>
    <t xml:space="preserve">http://school.cbe.go.kr/jcsangsan-e</t>
  </si>
  <si>
    <r>
      <rPr>
        <sz val="10"/>
        <rFont val="Noto Sans CJK SC"/>
        <family val="2"/>
      </rPr>
      <t xml:space="preserve">충청북도 진천군 진천읍 상산로 </t>
    </r>
    <r>
      <rPr>
        <sz val="10"/>
        <rFont val="맑은 고딕"/>
        <family val="0"/>
        <charset val="1"/>
      </rPr>
      <t xml:space="preserve">35</t>
    </r>
  </si>
  <si>
    <t xml:space="preserve">광혜원중학교</t>
  </si>
  <si>
    <t xml:space="preserve">043-535-3283</t>
  </si>
  <si>
    <t xml:space="preserve">http://school.cbe.go.kr/ghw-m</t>
  </si>
  <si>
    <r>
      <rPr>
        <sz val="10"/>
        <rFont val="Noto Sans CJK SC"/>
        <family val="2"/>
      </rPr>
      <t xml:space="preserve">충청북도 진천군 광혜원면 화랑길 </t>
    </r>
    <r>
      <rPr>
        <sz val="10"/>
        <rFont val="맑은 고딕"/>
        <family val="0"/>
        <charset val="1"/>
      </rPr>
      <t xml:space="preserve">137</t>
    </r>
  </si>
  <si>
    <t xml:space="preserve">043-232-0015</t>
  </si>
  <si>
    <t xml:space="preserve">http://www.gangseo.es.kr</t>
  </si>
  <si>
    <r>
      <rPr>
        <sz val="10"/>
        <rFont val="Noto Sans CJK SC"/>
        <family val="2"/>
      </rPr>
      <t xml:space="preserve">충청북도 청주시 흥덕구 비하로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38</t>
    </r>
  </si>
  <si>
    <t xml:space="preserve">043-296-1512</t>
  </si>
  <si>
    <t xml:space="preserve">http://school.cbe.go.kr/namseong-e</t>
  </si>
  <si>
    <r>
      <rPr>
        <sz val="10"/>
        <rFont val="Noto Sans CJK SC"/>
        <family val="2"/>
      </rPr>
      <t xml:space="preserve">충청북도 청주시 서원구 청남로 </t>
    </r>
    <r>
      <rPr>
        <sz val="10"/>
        <rFont val="맑은 고딕"/>
        <family val="0"/>
        <charset val="1"/>
      </rPr>
      <t xml:space="preserve">1964</t>
    </r>
  </si>
  <si>
    <t xml:space="preserve">남이초등학교</t>
  </si>
  <si>
    <t xml:space="preserve">043-260-6429</t>
  </si>
  <si>
    <t xml:space="preserve">http://school.cbe.go.kr/nami-e</t>
  </si>
  <si>
    <r>
      <rPr>
        <sz val="10"/>
        <rFont val="Noto Sans CJK SC"/>
        <family val="2"/>
      </rPr>
      <t xml:space="preserve">충청북도 청주시 서원구 남이면 대련길 </t>
    </r>
    <r>
      <rPr>
        <sz val="10"/>
        <rFont val="맑은 고딕"/>
        <family val="0"/>
        <charset val="1"/>
      </rPr>
      <t xml:space="preserve">61</t>
    </r>
  </si>
  <si>
    <t xml:space="preserve">남일초등학교</t>
  </si>
  <si>
    <t xml:space="preserve">043-299-5603</t>
  </si>
  <si>
    <t xml:space="preserve">http://school.cbe.go.kr/namil-e</t>
  </si>
  <si>
    <r>
      <rPr>
        <sz val="10"/>
        <rFont val="Noto Sans CJK SC"/>
        <family val="2"/>
      </rPr>
      <t xml:space="preserve">충청북도 청주시 상당구 남일면 단재로 </t>
    </r>
    <r>
      <rPr>
        <sz val="10"/>
        <rFont val="맑은 고딕"/>
        <family val="0"/>
        <charset val="1"/>
      </rPr>
      <t xml:space="preserve">630</t>
    </r>
  </si>
  <si>
    <t xml:space="preserve">남평초등학교</t>
  </si>
  <si>
    <t xml:space="preserve">043-295-6471</t>
  </si>
  <si>
    <t xml:space="preserve">http://school.cbe.go.kr/nampyeong-e</t>
  </si>
  <si>
    <r>
      <rPr>
        <sz val="10"/>
        <rFont val="Noto Sans CJK SC"/>
        <family val="2"/>
      </rPr>
      <t xml:space="preserve">충청북도 청주시 서원구 월평로 </t>
    </r>
    <r>
      <rPr>
        <sz val="10"/>
        <rFont val="맑은 고딕"/>
        <family val="0"/>
        <charset val="1"/>
      </rPr>
      <t xml:space="preserve">35</t>
    </r>
  </si>
  <si>
    <t xml:space="preserve">단재초등학교</t>
  </si>
  <si>
    <t xml:space="preserve">043-284-0061</t>
  </si>
  <si>
    <t xml:space="preserve">http://school.cbe.go.kr/danjae-e</t>
  </si>
  <si>
    <r>
      <rPr>
        <sz val="10"/>
        <rFont val="Noto Sans CJK SC"/>
        <family val="2"/>
      </rPr>
      <t xml:space="preserve">충청북도 청주시 상당구 단재로 </t>
    </r>
    <r>
      <rPr>
        <sz val="10"/>
        <rFont val="맑은 고딕"/>
        <family val="0"/>
        <charset val="1"/>
      </rPr>
      <t xml:space="preserve">350</t>
    </r>
  </si>
  <si>
    <t xml:space="preserve">만수초등학교</t>
  </si>
  <si>
    <t xml:space="preserve">043-238-2702</t>
  </si>
  <si>
    <t xml:space="preserve">http://school.cbe.go.kr/mansue-e</t>
  </si>
  <si>
    <r>
      <rPr>
        <sz val="10"/>
        <rFont val="Noto Sans CJK SC"/>
        <family val="2"/>
      </rPr>
      <t xml:space="preserve">충청북도 청주시 흥덕구 오송읍 만수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</t>
    </r>
  </si>
  <si>
    <t xml:space="preserve">복대초등학교</t>
  </si>
  <si>
    <t xml:space="preserve">043-263-6008</t>
  </si>
  <si>
    <t xml:space="preserve">http://school.cbe.go.kr/bokdae-e</t>
  </si>
  <si>
    <r>
      <rPr>
        <sz val="10"/>
        <rFont val="Noto Sans CJK SC"/>
        <family val="2"/>
      </rPr>
      <t xml:space="preserve">충청북도 청주시 흥덕구 홍골로 </t>
    </r>
    <r>
      <rPr>
        <sz val="10"/>
        <rFont val="맑은 고딕"/>
        <family val="0"/>
        <charset val="1"/>
      </rPr>
      <t xml:space="preserve">58</t>
    </r>
  </si>
  <si>
    <t xml:space="preserve">봉명초등학교</t>
  </si>
  <si>
    <t xml:space="preserve">043-264-6691</t>
  </si>
  <si>
    <t xml:space="preserve">http://school.cbe.go.kr/pongmyong-e</t>
  </si>
  <si>
    <r>
      <rPr>
        <sz val="10"/>
        <rFont val="Noto Sans CJK SC"/>
        <family val="2"/>
      </rPr>
      <t xml:space="preserve">충청북도 청주시 흥덕구 봉명로</t>
    </r>
    <r>
      <rPr>
        <sz val="10"/>
        <rFont val="맑은 고딕"/>
        <family val="0"/>
        <charset val="1"/>
      </rPr>
      <t xml:space="preserve">141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</t>
    </r>
  </si>
  <si>
    <t xml:space="preserve">봉정초등학교</t>
  </si>
  <si>
    <t xml:space="preserve">043-272-6737</t>
  </si>
  <si>
    <t xml:space="preserve">http://www.bongjeong.es.kr</t>
  </si>
  <si>
    <r>
      <rPr>
        <sz val="10"/>
        <rFont val="Noto Sans CJK SC"/>
        <family val="2"/>
      </rPr>
      <t xml:space="preserve">충청북도 청주시 흥덕구 월명로</t>
    </r>
    <r>
      <rPr>
        <sz val="10"/>
        <rFont val="맑은 고딕"/>
        <family val="0"/>
        <charset val="1"/>
      </rPr>
      <t xml:space="preserve">140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37</t>
    </r>
  </si>
  <si>
    <t xml:space="preserve">상당초등학교</t>
  </si>
  <si>
    <t xml:space="preserve">043-294-0051</t>
  </si>
  <si>
    <t xml:space="preserve">http://school.cbe.go.kr/sangdangcho-e</t>
  </si>
  <si>
    <r>
      <rPr>
        <sz val="10"/>
        <rFont val="Noto Sans CJK SC"/>
        <family val="2"/>
      </rPr>
      <t xml:space="preserve">충청북도 청주시 상당구 동남로 </t>
    </r>
    <r>
      <rPr>
        <sz val="10"/>
        <rFont val="맑은 고딕"/>
        <family val="0"/>
        <charset val="1"/>
      </rPr>
      <t xml:space="preserve">151</t>
    </r>
  </si>
  <si>
    <t xml:space="preserve">새터초등학교</t>
  </si>
  <si>
    <t xml:space="preserve">043-212-0093</t>
  </si>
  <si>
    <t xml:space="preserve">http://school.cbe.go.kr/saeteo-e</t>
  </si>
  <si>
    <r>
      <rPr>
        <sz val="10"/>
        <rFont val="Noto Sans CJK SC"/>
        <family val="2"/>
      </rPr>
      <t xml:space="preserve">충청북도 청주시 청원구 새터로 </t>
    </r>
    <r>
      <rPr>
        <sz val="10"/>
        <rFont val="맑은 고딕"/>
        <family val="0"/>
        <charset val="1"/>
      </rPr>
      <t xml:space="preserve">224</t>
    </r>
  </si>
  <si>
    <t xml:space="preserve">샛별초등학교</t>
  </si>
  <si>
    <t xml:space="preserve">043-284-8127</t>
  </si>
  <si>
    <t xml:space="preserve">http://school.cbe.go.kr/newstar-e</t>
  </si>
  <si>
    <r>
      <rPr>
        <sz val="10"/>
        <rFont val="Noto Sans CJK SC"/>
        <family val="2"/>
      </rPr>
      <t xml:space="preserve">충청북도 청주시 서원구 원흥로 </t>
    </r>
    <r>
      <rPr>
        <sz val="10"/>
        <rFont val="맑은 고딕"/>
        <family val="0"/>
        <charset val="1"/>
      </rPr>
      <t xml:space="preserve">24</t>
    </r>
  </si>
  <si>
    <t xml:space="preserve">서현초등학교</t>
  </si>
  <si>
    <t xml:space="preserve">043-715-1304</t>
  </si>
  <si>
    <t xml:space="preserve">http://school.cbe.go.kr/cjseohyun-e</t>
  </si>
  <si>
    <r>
      <rPr>
        <sz val="10"/>
        <rFont val="Noto Sans CJK SC"/>
        <family val="2"/>
      </rPr>
      <t xml:space="preserve">충청북도 청주시 흥덕구 서현중로 </t>
    </r>
    <r>
      <rPr>
        <sz val="10"/>
        <rFont val="맑은 고딕"/>
        <family val="0"/>
        <charset val="1"/>
      </rPr>
      <t xml:space="preserve">7</t>
    </r>
  </si>
  <si>
    <t xml:space="preserve">솔강초등학교</t>
  </si>
  <si>
    <t xml:space="preserve">043-715-5921</t>
  </si>
  <si>
    <t xml:space="preserve">http://school.cbe.go.kr/solgang-e</t>
  </si>
  <si>
    <r>
      <rPr>
        <sz val="10"/>
        <rFont val="Noto Sans CJK SC"/>
        <family val="2"/>
      </rPr>
      <t xml:space="preserve">충청북도 청주시 흥덕구 오송읍 오송생명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95</t>
    </r>
  </si>
  <si>
    <t xml:space="preserve">용아초등학교</t>
  </si>
  <si>
    <t xml:space="preserve">043-295-0182</t>
  </si>
  <si>
    <t xml:space="preserve">http://school.cbe.go.kr/yongah-e</t>
  </si>
  <si>
    <r>
      <rPr>
        <sz val="10"/>
        <rFont val="Noto Sans CJK SC"/>
        <family val="2"/>
      </rPr>
      <t xml:space="preserve">충청북도 청주시 상당구 중고개로</t>
    </r>
    <r>
      <rPr>
        <sz val="10"/>
        <rFont val="맑은 고딕"/>
        <family val="0"/>
        <charset val="1"/>
      </rPr>
      <t xml:space="preserve">142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32-15</t>
    </r>
  </si>
  <si>
    <t xml:space="preserve">운동초등학교</t>
  </si>
  <si>
    <t xml:space="preserve">043-287-0681</t>
  </si>
  <si>
    <t xml:space="preserve">http://school.cbe.go.kr/undong-e/M01</t>
  </si>
  <si>
    <r>
      <rPr>
        <sz val="10"/>
        <rFont val="Noto Sans CJK SC"/>
        <family val="2"/>
      </rPr>
      <t xml:space="preserve">충청북도 청주시 상당구 운동로 </t>
    </r>
    <r>
      <rPr>
        <sz val="10"/>
        <rFont val="맑은 고딕"/>
        <family val="0"/>
        <charset val="1"/>
      </rPr>
      <t xml:space="preserve">31</t>
    </r>
  </si>
  <si>
    <t xml:space="preserve">주중초등학교</t>
  </si>
  <si>
    <t xml:space="preserve">043-215-3104</t>
  </si>
  <si>
    <t xml:space="preserve">http://school.cbe.go.kr/joojoong-e</t>
  </si>
  <si>
    <r>
      <rPr>
        <sz val="10"/>
        <rFont val="Noto Sans CJK SC"/>
        <family val="2"/>
      </rPr>
      <t xml:space="preserve">충청북도 청주시 청원구 주성로 </t>
    </r>
    <r>
      <rPr>
        <sz val="10"/>
        <rFont val="맑은 고딕"/>
        <family val="0"/>
        <charset val="1"/>
      </rPr>
      <t xml:space="preserve">223</t>
    </r>
  </si>
  <si>
    <t xml:space="preserve">043-237-3467</t>
  </si>
  <si>
    <t xml:space="preserve">http://school.cbe.go.kr/jukrim-e</t>
  </si>
  <si>
    <r>
      <rPr>
        <sz val="10"/>
        <rFont val="Noto Sans CJK SC"/>
        <family val="2"/>
      </rPr>
      <t xml:space="preserve">충청북도 청주시 서원구 대림로 </t>
    </r>
    <r>
      <rPr>
        <sz val="10"/>
        <rFont val="맑은 고딕"/>
        <family val="0"/>
        <charset val="1"/>
      </rPr>
      <t xml:space="preserve">473</t>
    </r>
  </si>
  <si>
    <t xml:space="preserve">증안초등학교</t>
  </si>
  <si>
    <t xml:space="preserve">043-236-4101</t>
  </si>
  <si>
    <t xml:space="preserve">http://school.cbe.go.kr/jeungan-e</t>
  </si>
  <si>
    <r>
      <rPr>
        <sz val="10"/>
        <rFont val="Noto Sans CJK SC"/>
        <family val="2"/>
      </rPr>
      <t xml:space="preserve">충청북도 청주시 흥덕구 진재로</t>
    </r>
    <r>
      <rPr>
        <sz val="10"/>
        <rFont val="맑은 고딕"/>
        <family val="0"/>
        <charset val="1"/>
      </rPr>
      <t xml:space="preserve">47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45</t>
    </r>
  </si>
  <si>
    <t xml:space="preserve">창리초등학교</t>
  </si>
  <si>
    <t xml:space="preserve">043-715-6240</t>
  </si>
  <si>
    <t xml:space="preserve">http://school.cbe.go.kr/changri-e</t>
  </si>
  <si>
    <r>
      <rPr>
        <sz val="10"/>
        <rFont val="Noto Sans CJK SC"/>
        <family val="2"/>
      </rPr>
      <t xml:space="preserve">충청북도 청주시 청원구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산단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32</t>
    </r>
  </si>
  <si>
    <t xml:space="preserve">청남초등학교</t>
  </si>
  <si>
    <t xml:space="preserve">043-224-7790</t>
  </si>
  <si>
    <t xml:space="preserve">http://school.cbe.go.kr/chnam-e</t>
  </si>
  <si>
    <r>
      <rPr>
        <sz val="10"/>
        <rFont val="Noto Sans CJK SC"/>
        <family val="2"/>
      </rPr>
      <t xml:space="preserve">충청북도 청주시 상당구 단재로 </t>
    </r>
    <r>
      <rPr>
        <sz val="10"/>
        <rFont val="맑은 고딕"/>
        <family val="0"/>
        <charset val="1"/>
      </rPr>
      <t xml:space="preserve">109</t>
    </r>
  </si>
  <si>
    <t xml:space="preserve">043-210-0583</t>
  </si>
  <si>
    <t xml:space="preserve">http://school.cbe.go.kr/cw-e</t>
  </si>
  <si>
    <r>
      <rPr>
        <sz val="10"/>
        <rFont val="Noto Sans CJK SC"/>
        <family val="2"/>
      </rPr>
      <t xml:space="preserve">충청북도 청주시 청원구 오창읍 과학산업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228</t>
    </r>
  </si>
  <si>
    <t xml:space="preserve">청주소로초등학교</t>
  </si>
  <si>
    <t xml:space="preserve">043-279-0602</t>
  </si>
  <si>
    <t xml:space="preserve">http://school.cbe.go.kr/cjsoro</t>
  </si>
  <si>
    <r>
      <rPr>
        <sz val="10"/>
        <rFont val="Noto Sans CJK SC"/>
        <family val="2"/>
      </rPr>
      <t xml:space="preserve">충청북도 청주시 흥덕구 옥산면 오송가락로 </t>
    </r>
    <r>
      <rPr>
        <sz val="10"/>
        <rFont val="맑은 고딕"/>
        <family val="0"/>
        <charset val="1"/>
      </rPr>
      <t xml:space="preserve">1020</t>
    </r>
  </si>
  <si>
    <t xml:space="preserve">경덕중학교</t>
  </si>
  <si>
    <t xml:space="preserve">043-235-2703</t>
  </si>
  <si>
    <t xml:space="preserve">http://school.cbe.go.kr/kyongdug-m/M01</t>
  </si>
  <si>
    <r>
      <rPr>
        <sz val="10"/>
        <rFont val="Noto Sans CJK SC"/>
        <family val="2"/>
      </rPr>
      <t xml:space="preserve">충청북도 청주시 흥덕구 풍년로</t>
    </r>
    <r>
      <rPr>
        <sz val="10"/>
        <rFont val="맑은 고딕"/>
        <family val="0"/>
        <charset val="1"/>
      </rPr>
      <t xml:space="preserve">79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7-2</t>
    </r>
  </si>
  <si>
    <t xml:space="preserve">043-292-0342</t>
  </si>
  <si>
    <t xml:space="preserve">http://school.cbe.go.kr/cjnamseong-m/M01</t>
  </si>
  <si>
    <r>
      <rPr>
        <sz val="10"/>
        <rFont val="Noto Sans CJK SC"/>
        <family val="2"/>
      </rPr>
      <t xml:space="preserve">충청북도 청주시 서원구 청남로 </t>
    </r>
    <r>
      <rPr>
        <sz val="10"/>
        <rFont val="맑은 고딕"/>
        <family val="0"/>
        <charset val="1"/>
      </rPr>
      <t xml:space="preserve">1984</t>
    </r>
  </si>
  <si>
    <t xml:space="preserve">대성여자중학교</t>
  </si>
  <si>
    <t xml:space="preserve">043-255-4251</t>
  </si>
  <si>
    <t xml:space="preserve">http://210.106.100.174/dsg-m/M01</t>
  </si>
  <si>
    <r>
      <rPr>
        <sz val="10"/>
        <rFont val="Noto Sans CJK SC"/>
        <family val="2"/>
      </rPr>
      <t xml:space="preserve">충청북도 청주시 상당구 대성로 </t>
    </r>
    <r>
      <rPr>
        <sz val="10"/>
        <rFont val="맑은 고딕"/>
        <family val="0"/>
        <charset val="1"/>
      </rPr>
      <t xml:space="preserve">208</t>
    </r>
  </si>
  <si>
    <t xml:space="preserve">043-262-5873</t>
  </si>
  <si>
    <t xml:space="preserve">http://school.cbe.go.kr/cjdaeseong-m</t>
  </si>
  <si>
    <r>
      <rPr>
        <sz val="10"/>
        <rFont val="Noto Sans CJK SC"/>
        <family val="2"/>
      </rPr>
      <t xml:space="preserve">충청북도 청주시 흥덕구 사운로 </t>
    </r>
    <r>
      <rPr>
        <sz val="10"/>
        <rFont val="맑은 고딕"/>
        <family val="0"/>
        <charset val="1"/>
      </rPr>
      <t xml:space="preserve">342</t>
    </r>
  </si>
  <si>
    <t xml:space="preserve">세광중학교</t>
  </si>
  <si>
    <t xml:space="preserve">043-714-1500</t>
  </si>
  <si>
    <t xml:space="preserve">http://school.cbe.go.kr/sekwang-m</t>
  </si>
  <si>
    <r>
      <rPr>
        <sz val="10"/>
        <rFont val="Noto Sans CJK SC"/>
        <family val="2"/>
      </rPr>
      <t xml:space="preserve">충청북도 청주시 서원구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순환로 </t>
    </r>
    <r>
      <rPr>
        <sz val="10"/>
        <rFont val="맑은 고딕"/>
        <family val="0"/>
        <charset val="1"/>
      </rPr>
      <t xml:space="preserve">1574</t>
    </r>
  </si>
  <si>
    <t xml:space="preserve">솔강중학교</t>
  </si>
  <si>
    <t xml:space="preserve">043-715-7602</t>
  </si>
  <si>
    <t xml:space="preserve">http://school.cbe.go.kr/solgang-m</t>
  </si>
  <si>
    <r>
      <rPr>
        <sz val="10"/>
        <rFont val="Noto Sans CJK SC"/>
        <family val="2"/>
      </rPr>
      <t xml:space="preserve">충청북도 청주시 흥덕구 오송읍 오송생명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85</t>
    </r>
  </si>
  <si>
    <t xml:space="preserve">양청중학교</t>
  </si>
  <si>
    <t xml:space="preserve">043-241-0062</t>
  </si>
  <si>
    <t xml:space="preserve">http://school.cbe.go.kr/cbyc-m</t>
  </si>
  <si>
    <r>
      <rPr>
        <sz val="10"/>
        <rFont val="Noto Sans CJK SC"/>
        <family val="2"/>
      </rPr>
      <t xml:space="preserve">충청북도 청주시 청원구 오창읍 양청택지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</t>
    </r>
  </si>
  <si>
    <t xml:space="preserve">오송중학교</t>
  </si>
  <si>
    <t xml:space="preserve">043-239-0682</t>
  </si>
  <si>
    <t xml:space="preserve">http://www.osong.ms.kr</t>
  </si>
  <si>
    <r>
      <rPr>
        <sz val="10"/>
        <rFont val="Noto Sans CJK SC"/>
        <family val="2"/>
      </rPr>
      <t xml:space="preserve">충청북도 청주시 흥덕구 오송읍 만수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13</t>
    </r>
  </si>
  <si>
    <t xml:space="preserve">오창중학교</t>
  </si>
  <si>
    <t xml:space="preserve">043-217-2616</t>
  </si>
  <si>
    <t xml:space="preserve">http://school.cbe.go.kr/ochang-m</t>
  </si>
  <si>
    <r>
      <rPr>
        <sz val="10"/>
        <rFont val="Noto Sans CJK SC"/>
        <family val="2"/>
      </rPr>
      <t xml:space="preserve">충청북도 청주시 청원구 오창읍 팔결로 </t>
    </r>
    <r>
      <rPr>
        <sz val="10"/>
        <rFont val="맑은 고딕"/>
        <family val="0"/>
        <charset val="1"/>
      </rPr>
      <t xml:space="preserve">619</t>
    </r>
  </si>
  <si>
    <t xml:space="preserve">용아중학교</t>
  </si>
  <si>
    <t xml:space="preserve">043-287-5312</t>
  </si>
  <si>
    <t xml:space="preserve">http://school.cbe.go.kr/yongah-m</t>
  </si>
  <si>
    <r>
      <rPr>
        <sz val="10"/>
        <rFont val="Noto Sans CJK SC"/>
        <family val="2"/>
      </rPr>
      <t xml:space="preserve">충청북도 청주시 상당구 중고개로</t>
    </r>
    <r>
      <rPr>
        <sz val="10"/>
        <rFont val="맑은 고딕"/>
        <family val="0"/>
        <charset val="1"/>
      </rPr>
      <t xml:space="preserve">142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32-7</t>
    </r>
  </si>
  <si>
    <t xml:space="preserve">용암중학교</t>
  </si>
  <si>
    <t xml:space="preserve">043-293-4092</t>
  </si>
  <si>
    <t xml:space="preserve">http://school.cbe.go.kr/yongam-m</t>
  </si>
  <si>
    <r>
      <rPr>
        <sz val="10"/>
        <rFont val="Noto Sans CJK SC"/>
        <family val="2"/>
      </rPr>
      <t xml:space="preserve">충청북도 청주시 상당구 용암로 </t>
    </r>
    <r>
      <rPr>
        <sz val="10"/>
        <rFont val="맑은 고딕"/>
        <family val="0"/>
        <charset val="1"/>
      </rPr>
      <t xml:space="preserve">18</t>
    </r>
  </si>
  <si>
    <t xml:space="preserve">운호중학교</t>
  </si>
  <si>
    <t xml:space="preserve">043-287-1231</t>
  </si>
  <si>
    <t xml:space="preserve">http://school.cbe.go.kr/unho-m/M01</t>
  </si>
  <si>
    <t xml:space="preserve">일신여자중학교</t>
  </si>
  <si>
    <t xml:space="preserve">043-256-7322</t>
  </si>
  <si>
    <t xml:space="preserve">http://school.cbe.go.kr/ilshin-m</t>
  </si>
  <si>
    <t xml:space="preserve">청운중학교</t>
  </si>
  <si>
    <t xml:space="preserve">043-255-0052</t>
  </si>
  <si>
    <t xml:space="preserve">http://school.cbe.go.kr/cheongun-m</t>
  </si>
  <si>
    <r>
      <rPr>
        <sz val="10"/>
        <rFont val="Noto Sans CJK SC"/>
        <family val="2"/>
      </rPr>
      <t xml:space="preserve">충청북도 청주시 상당구 영운천로 </t>
    </r>
    <r>
      <rPr>
        <sz val="10"/>
        <rFont val="맑은 고딕"/>
        <family val="0"/>
        <charset val="1"/>
      </rPr>
      <t xml:space="preserve">69</t>
    </r>
  </si>
  <si>
    <t xml:space="preserve">충북여자중학교</t>
  </si>
  <si>
    <t xml:space="preserve">043-286-1142</t>
  </si>
  <si>
    <t xml:space="preserve">http://school.cbe.go.kr/chungbuk-m</t>
  </si>
  <si>
    <r>
      <rPr>
        <sz val="10"/>
        <rFont val="Noto Sans CJK SC"/>
        <family val="2"/>
      </rPr>
      <t xml:space="preserve">충청북도 청주시 서원구 무심서로 </t>
    </r>
    <r>
      <rPr>
        <sz val="10"/>
        <rFont val="맑은 고딕"/>
        <family val="0"/>
        <charset val="1"/>
      </rPr>
      <t xml:space="preserve">377</t>
    </r>
  </si>
  <si>
    <t xml:space="preserve">덕신초등학교</t>
  </si>
  <si>
    <t xml:space="preserve">043-846-6333</t>
  </si>
  <si>
    <t xml:space="preserve">http://school.cbe.go.kr/deoksin-e</t>
  </si>
  <si>
    <r>
      <rPr>
        <sz val="10"/>
        <rFont val="Noto Sans CJK SC"/>
        <family val="2"/>
      </rPr>
      <t xml:space="preserve">충청북도 충주시 주덕읍 매남구술길 </t>
    </r>
    <r>
      <rPr>
        <sz val="10"/>
        <rFont val="맑은 고딕"/>
        <family val="0"/>
        <charset val="1"/>
      </rPr>
      <t xml:space="preserve">12</t>
    </r>
  </si>
  <si>
    <t xml:space="preserve">충주대소원초등학교</t>
  </si>
  <si>
    <t xml:space="preserve">043-845-1022</t>
  </si>
  <si>
    <t xml:space="preserve">http://school.cbe.go.kr/cjdaesowon-e</t>
  </si>
  <si>
    <r>
      <rPr>
        <sz val="10"/>
        <rFont val="Noto Sans CJK SC"/>
        <family val="2"/>
      </rPr>
      <t xml:space="preserve">충청북도 충주시 대소원면 첨단산업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48</t>
    </r>
  </si>
  <si>
    <t xml:space="preserve">충주중앙초등학교</t>
  </si>
  <si>
    <t xml:space="preserve">043-844-2902</t>
  </si>
  <si>
    <t xml:space="preserve">http://www.chungjuja.es.kr</t>
  </si>
  <si>
    <r>
      <rPr>
        <sz val="10"/>
        <rFont val="Noto Sans CJK SC"/>
        <family val="2"/>
      </rPr>
      <t xml:space="preserve">충청북도 충주시 연원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19</t>
    </r>
  </si>
  <si>
    <t xml:space="preserve">충주중앙탑초등학교</t>
  </si>
  <si>
    <t xml:space="preserve">043-855-0007</t>
  </si>
  <si>
    <t xml:space="preserve">http://school.cbe.go.kr/cjjungangtap-e</t>
  </si>
  <si>
    <r>
      <rPr>
        <sz val="10"/>
        <rFont val="Noto Sans CJK SC"/>
        <family val="2"/>
      </rPr>
      <t xml:space="preserve">충청북도 충주시 중앙탑면 원앙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52</t>
    </r>
  </si>
  <si>
    <t xml:space="preserve">중앙탑중학교</t>
  </si>
  <si>
    <t xml:space="preserve">043-857-9042</t>
  </si>
  <si>
    <t xml:space="preserve">http://school.cbe.go.kr/cjjungangtap-m</t>
  </si>
  <si>
    <r>
      <rPr>
        <sz val="10"/>
        <rFont val="Noto Sans CJK SC"/>
        <family val="2"/>
      </rPr>
      <t xml:space="preserve">충청북도 충주시 중앙탑면 원앙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64</t>
    </r>
  </si>
  <si>
    <t xml:space="preserve">고창중학교</t>
  </si>
  <si>
    <t xml:space="preserve">063-564-2902</t>
  </si>
  <si>
    <t xml:space="preserve">http://www.gcm.ms.kr</t>
  </si>
  <si>
    <r>
      <rPr>
        <sz val="10"/>
        <rFont val="Noto Sans CJK SC"/>
        <family val="2"/>
      </rPr>
      <t xml:space="preserve">전북특별자치도 고창군 고창읍 보릿골로 </t>
    </r>
    <r>
      <rPr>
        <sz val="10"/>
        <rFont val="맑은 고딕"/>
        <family val="0"/>
        <charset val="1"/>
      </rPr>
      <t xml:space="preserve">35</t>
    </r>
  </si>
  <si>
    <t xml:space="preserve">군산기계공업고등학교</t>
  </si>
  <si>
    <t xml:space="preserve">063-730-5500</t>
  </si>
  <si>
    <t xml:space="preserve">http://www.gunsan-mh.hs.kr</t>
  </si>
  <si>
    <r>
      <rPr>
        <sz val="10"/>
        <rFont val="Noto Sans CJK SC"/>
        <family val="2"/>
      </rPr>
      <t xml:space="preserve">전북특별자치도 군산시 군중길 </t>
    </r>
    <r>
      <rPr>
        <sz val="10"/>
        <rFont val="맑은 고딕"/>
        <family val="0"/>
        <charset val="1"/>
      </rPr>
      <t xml:space="preserve">28</t>
    </r>
  </si>
  <si>
    <t xml:space="preserve">군산영광여자고등학교</t>
  </si>
  <si>
    <t xml:space="preserve">063-440-8500</t>
  </si>
  <si>
    <t xml:space="preserve">http://school.jbedu.kr/higlory</t>
  </si>
  <si>
    <r>
      <rPr>
        <sz val="10"/>
        <rFont val="Noto Sans CJK SC"/>
        <family val="2"/>
      </rPr>
      <t xml:space="preserve">전북특별자치도 군산시 둔배미길 </t>
    </r>
    <r>
      <rPr>
        <sz val="10"/>
        <rFont val="맑은 고딕"/>
        <family val="0"/>
        <charset val="1"/>
      </rPr>
      <t xml:space="preserve">21</t>
    </r>
  </si>
  <si>
    <t xml:space="preserve">덕암고등학교</t>
  </si>
  <si>
    <t xml:space="preserve">063-544-2204</t>
  </si>
  <si>
    <t xml:space="preserve">http://www.deogamgo.hs.kr</t>
  </si>
  <si>
    <r>
      <rPr>
        <sz val="10"/>
        <rFont val="Noto Sans CJK SC"/>
        <family val="2"/>
      </rPr>
      <t xml:space="preserve">전북특별자치도 김제시 하공로 </t>
    </r>
    <r>
      <rPr>
        <sz val="10"/>
        <rFont val="맑은 고딕"/>
        <family val="0"/>
        <charset val="1"/>
      </rPr>
      <t xml:space="preserve">9</t>
    </r>
  </si>
  <si>
    <t xml:space="preserve">덕암정보고등학교</t>
  </si>
  <si>
    <t xml:space="preserve">063-544-2205</t>
  </si>
  <si>
    <t xml:space="preserve">http://www.deogam.hs.kr</t>
  </si>
  <si>
    <t xml:space="preserve">동국대학교사범대학부속금산고등학교</t>
  </si>
  <si>
    <t xml:space="preserve">063-544-0722</t>
  </si>
  <si>
    <t xml:space="preserve">http://school.jbedu.kr/ksch</t>
  </si>
  <si>
    <r>
      <rPr>
        <sz val="10"/>
        <rFont val="Noto Sans CJK SC"/>
        <family val="2"/>
      </rPr>
      <t xml:space="preserve">전북특별자치도 김제시 금산면 모악로 </t>
    </r>
    <r>
      <rPr>
        <sz val="10"/>
        <rFont val="맑은 고딕"/>
        <family val="0"/>
        <charset val="1"/>
      </rPr>
      <t xml:space="preserve">47</t>
    </r>
  </si>
  <si>
    <t xml:space="preserve">만경고등학교</t>
  </si>
  <si>
    <t xml:space="preserve">063-542-5722</t>
  </si>
  <si>
    <t xml:space="preserve">http://mankyung.hs.kr</t>
  </si>
  <si>
    <r>
      <rPr>
        <sz val="10"/>
        <rFont val="Noto Sans CJK SC"/>
        <family val="2"/>
      </rPr>
      <t xml:space="preserve">전북특별자치도 김제시 만경읍 능제로 </t>
    </r>
    <r>
      <rPr>
        <sz val="10"/>
        <rFont val="맑은 고딕"/>
        <family val="0"/>
        <charset val="1"/>
      </rPr>
      <t xml:space="preserve">29</t>
    </r>
  </si>
  <si>
    <t xml:space="preserve">남원국악예술고등학교</t>
  </si>
  <si>
    <t xml:space="preserve">063-632-7702</t>
  </si>
  <si>
    <t xml:space="preserve">http://www.nwit.hs.kr</t>
  </si>
  <si>
    <r>
      <rPr>
        <sz val="10"/>
        <rFont val="Noto Sans CJK SC"/>
        <family val="2"/>
      </rPr>
      <t xml:space="preserve">전북특별자치도 남원시 용성로 </t>
    </r>
    <r>
      <rPr>
        <sz val="10"/>
        <rFont val="맑은 고딕"/>
        <family val="0"/>
        <charset val="1"/>
      </rPr>
      <t xml:space="preserve">323</t>
    </r>
  </si>
  <si>
    <t xml:space="preserve">백산고등학교</t>
  </si>
  <si>
    <t xml:space="preserve">063-582-2053</t>
  </si>
  <si>
    <t xml:space="preserve">http://www.backsan.hs.kr</t>
  </si>
  <si>
    <r>
      <rPr>
        <sz val="10"/>
        <rFont val="Noto Sans CJK SC"/>
        <family val="2"/>
      </rPr>
      <t xml:space="preserve">전북특별자치도 부안군 백산면 백산로 </t>
    </r>
    <r>
      <rPr>
        <sz val="10"/>
        <rFont val="맑은 고딕"/>
        <family val="0"/>
        <charset val="1"/>
      </rPr>
      <t xml:space="preserve">379</t>
    </r>
  </si>
  <si>
    <t xml:space="preserve">부안고등학교</t>
  </si>
  <si>
    <t xml:space="preserve">063-584-2951</t>
  </si>
  <si>
    <t xml:space="preserve">http://buan.hs.kr</t>
  </si>
  <si>
    <r>
      <rPr>
        <sz val="10"/>
        <rFont val="Noto Sans CJK SC"/>
        <family val="2"/>
      </rPr>
      <t xml:space="preserve">전북특별자치도 부안군 부안읍 문정로 </t>
    </r>
    <r>
      <rPr>
        <sz val="10"/>
        <rFont val="맑은 고딕"/>
        <family val="0"/>
        <charset val="1"/>
      </rPr>
      <t xml:space="preserve">32</t>
    </r>
  </si>
  <si>
    <t xml:space="preserve">순창고등학교</t>
  </si>
  <si>
    <t xml:space="preserve">063-653-2792</t>
  </si>
  <si>
    <t xml:space="preserve">http://sunchang.hs.kr</t>
  </si>
  <si>
    <r>
      <rPr>
        <sz val="10"/>
        <rFont val="Noto Sans CJK SC"/>
        <family val="2"/>
      </rPr>
      <t xml:space="preserve">전북특별자치도 순창군 순창읍 옥천로 </t>
    </r>
    <r>
      <rPr>
        <sz val="10"/>
        <rFont val="맑은 고딕"/>
        <family val="0"/>
        <charset val="1"/>
      </rPr>
      <t xml:space="preserve">67-14</t>
    </r>
  </si>
  <si>
    <t xml:space="preserve">남성고등학교</t>
  </si>
  <si>
    <t xml:space="preserve">063-841-3813</t>
  </si>
  <si>
    <t xml:space="preserve">http://school.jbedu.kr/namsung</t>
  </si>
  <si>
    <r>
      <rPr>
        <sz val="10"/>
        <rFont val="Noto Sans CJK SC"/>
        <family val="2"/>
      </rPr>
      <t xml:space="preserve">전북특별자치도 익산시 동서로</t>
    </r>
    <r>
      <rPr>
        <sz val="10"/>
        <rFont val="맑은 고딕"/>
        <family val="0"/>
        <charset val="1"/>
      </rPr>
      <t xml:space="preserve">35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41-4</t>
    </r>
  </si>
  <si>
    <t xml:space="preserve">이일여자고등학교</t>
  </si>
  <si>
    <t xml:space="preserve">063-720-5140</t>
  </si>
  <si>
    <t xml:space="preserve">http://www.21.hs.kr</t>
  </si>
  <si>
    <t xml:space="preserve">전북제일고등학교</t>
  </si>
  <si>
    <t xml:space="preserve">063-840-9720</t>
  </si>
  <si>
    <t xml:space="preserve">http://jbjeil.hs.kr</t>
  </si>
  <si>
    <r>
      <rPr>
        <sz val="10"/>
        <rFont val="Noto Sans CJK SC"/>
        <family val="2"/>
      </rPr>
      <t xml:space="preserve">전북특별자치도 익산시 학곤로 </t>
    </r>
    <r>
      <rPr>
        <sz val="10"/>
        <rFont val="맑은 고딕"/>
        <family val="0"/>
        <charset val="1"/>
      </rPr>
      <t xml:space="preserve">19</t>
    </r>
  </si>
  <si>
    <t xml:space="preserve">장수고등학교</t>
  </si>
  <si>
    <t xml:space="preserve">063-350-5112</t>
  </si>
  <si>
    <t xml:space="preserve">http://www.jangsu.hs.kr</t>
  </si>
  <si>
    <r>
      <rPr>
        <sz val="10"/>
        <rFont val="Noto Sans CJK SC"/>
        <family val="2"/>
      </rPr>
      <t xml:space="preserve">전북특별자치도 장수군 장수읍 장천로 </t>
    </r>
    <r>
      <rPr>
        <sz val="10"/>
        <rFont val="맑은 고딕"/>
        <family val="0"/>
        <charset val="1"/>
      </rPr>
      <t xml:space="preserve">254-16</t>
    </r>
  </si>
  <si>
    <t xml:space="preserve">양현고등학교</t>
  </si>
  <si>
    <t xml:space="preserve">063-249-6103</t>
  </si>
  <si>
    <t xml:space="preserve">http://www.yanghyeon.hs.kr</t>
  </si>
  <si>
    <r>
      <rPr>
        <sz val="10"/>
        <rFont val="Noto Sans CJK SC"/>
        <family val="2"/>
      </rPr>
      <t xml:space="preserve">전북특별자치도 전주시 덕진구 틀못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9</t>
    </r>
  </si>
  <si>
    <t xml:space="preserve">유일여자고등학교</t>
  </si>
  <si>
    <t xml:space="preserve">063-245-3314</t>
  </si>
  <si>
    <t xml:space="preserve">http://school.jbedu.kr/yuil</t>
  </si>
  <si>
    <r>
      <rPr>
        <sz val="10"/>
        <rFont val="Noto Sans CJK SC"/>
        <family val="2"/>
      </rPr>
      <t xml:space="preserve">전북특별자치도 전주시 덕진구 안덕원로 </t>
    </r>
    <r>
      <rPr>
        <sz val="10"/>
        <rFont val="맑은 고딕"/>
        <family val="0"/>
        <charset val="1"/>
      </rPr>
      <t xml:space="preserve">301</t>
    </r>
  </si>
  <si>
    <t xml:space="preserve">전주대학교사범대학부설고등학교</t>
  </si>
  <si>
    <t xml:space="preserve">063-220-9500</t>
  </si>
  <si>
    <t xml:space="preserve">http://www.jjbugo.hs.kr</t>
  </si>
  <si>
    <r>
      <rPr>
        <sz val="10"/>
        <rFont val="Noto Sans CJK SC"/>
        <family val="2"/>
      </rPr>
      <t xml:space="preserve">전북특별자치도 전주시 완산구 천잠로 </t>
    </r>
    <r>
      <rPr>
        <sz val="10"/>
        <rFont val="맑은 고딕"/>
        <family val="0"/>
        <charset val="1"/>
      </rPr>
      <t xml:space="preserve">313</t>
    </r>
  </si>
  <si>
    <t xml:space="preserve">전주생명과학고등학교</t>
  </si>
  <si>
    <t xml:space="preserve">063-240-1712</t>
  </si>
  <si>
    <t xml:space="preserve">http://www.jls.hs.kr</t>
  </si>
  <si>
    <r>
      <rPr>
        <sz val="10"/>
        <rFont val="Noto Sans CJK SC"/>
        <family val="2"/>
      </rPr>
      <t xml:space="preserve">전북특별자치도 전주시 덕진구 안덕원로 </t>
    </r>
    <r>
      <rPr>
        <sz val="10"/>
        <rFont val="맑은 고딕"/>
        <family val="0"/>
        <charset val="1"/>
      </rPr>
      <t xml:space="preserve">195</t>
    </r>
  </si>
  <si>
    <t xml:space="preserve">전주솔내고등학교</t>
  </si>
  <si>
    <t xml:space="preserve">063-270-8208</t>
  </si>
  <si>
    <t xml:space="preserve">http://www.solnae.hs.kr</t>
  </si>
  <si>
    <r>
      <rPr>
        <sz val="10"/>
        <rFont val="Noto Sans CJK SC"/>
        <family val="2"/>
      </rPr>
      <t xml:space="preserve">전북특별자치도 전주시 덕진구 송천중앙로 </t>
    </r>
    <r>
      <rPr>
        <sz val="10"/>
        <rFont val="맑은 고딕"/>
        <family val="0"/>
        <charset val="1"/>
      </rPr>
      <t xml:space="preserve">170</t>
    </r>
  </si>
  <si>
    <t xml:space="preserve">왕신여자고등학교</t>
  </si>
  <si>
    <t xml:space="preserve">063-571-2184</t>
  </si>
  <si>
    <t xml:space="preserve">http://www.wsh.hs.kr</t>
  </si>
  <si>
    <t xml:space="preserve">정읍여자고등학교</t>
  </si>
  <si>
    <t xml:space="preserve">063-535-4546</t>
  </si>
  <si>
    <t xml:space="preserve">http://www.chongup-gh.hs.kr</t>
  </si>
  <si>
    <r>
      <rPr>
        <sz val="10"/>
        <rFont val="Noto Sans CJK SC"/>
        <family val="2"/>
      </rPr>
      <t xml:space="preserve">전북특별자치도 정읍시 충정로 </t>
    </r>
    <r>
      <rPr>
        <sz val="10"/>
        <rFont val="맑은 고딕"/>
        <family val="0"/>
        <charset val="1"/>
      </rPr>
      <t xml:space="preserve">56-11</t>
    </r>
  </si>
  <si>
    <t xml:space="preserve">다솜학교</t>
  </si>
  <si>
    <t xml:space="preserve">063-530-4551</t>
  </si>
  <si>
    <t xml:space="preserve">http://school.jbedu.kr/dasom</t>
  </si>
  <si>
    <r>
      <rPr>
        <sz val="10"/>
        <rFont val="Noto Sans CJK SC"/>
        <family val="2"/>
      </rPr>
      <t xml:space="preserve">전북특별자치도 정읍시 정읍남로 </t>
    </r>
    <r>
      <rPr>
        <sz val="10"/>
        <rFont val="맑은 고딕"/>
        <family val="0"/>
        <charset val="1"/>
      </rPr>
      <t xml:space="preserve">1146</t>
    </r>
  </si>
  <si>
    <t xml:space="preserve">군산지곡초등학교</t>
  </si>
  <si>
    <t xml:space="preserve">063-461-3686</t>
  </si>
  <si>
    <t xml:space="preserve">http://www.ksjigok.es.kr</t>
  </si>
  <si>
    <r>
      <rPr>
        <sz val="10"/>
        <rFont val="Noto Sans CJK SC"/>
        <family val="2"/>
      </rPr>
      <t xml:space="preserve">전북특별자치도 군산시 신지길 </t>
    </r>
    <r>
      <rPr>
        <sz val="10"/>
        <rFont val="맑은 고딕"/>
        <family val="0"/>
        <charset val="1"/>
      </rPr>
      <t xml:space="preserve">26</t>
    </r>
  </si>
  <si>
    <t xml:space="preserve">창오초등학교</t>
  </si>
  <si>
    <t xml:space="preserve">063-453-2201</t>
  </si>
  <si>
    <t xml:space="preserve">http://www.kschango.es.kr</t>
  </si>
  <si>
    <r>
      <rPr>
        <sz val="10"/>
        <rFont val="Noto Sans CJK SC"/>
        <family val="2"/>
      </rPr>
      <t xml:space="preserve">전북특별자치도 군산시 성산면 동군산로 </t>
    </r>
    <r>
      <rPr>
        <sz val="10"/>
        <rFont val="맑은 고딕"/>
        <family val="0"/>
        <charset val="1"/>
      </rPr>
      <t xml:space="preserve">393</t>
    </r>
  </si>
  <si>
    <t xml:space="preserve">회현초등학교</t>
  </si>
  <si>
    <t xml:space="preserve">063-466-5054</t>
  </si>
  <si>
    <t xml:space="preserve">http://school.jbedu.kr/hoehyun</t>
  </si>
  <si>
    <r>
      <rPr>
        <sz val="10"/>
        <rFont val="Noto Sans CJK SC"/>
        <family val="2"/>
      </rPr>
      <t xml:space="preserve">전북특별자치도 군산시 회현면 회현로 </t>
    </r>
    <r>
      <rPr>
        <sz val="10"/>
        <rFont val="맑은 고딕"/>
        <family val="0"/>
        <charset val="1"/>
      </rPr>
      <t xml:space="preserve">139</t>
    </r>
  </si>
  <si>
    <t xml:space="preserve">군산동원중학교</t>
  </si>
  <si>
    <t xml:space="preserve">063-472-2100</t>
  </si>
  <si>
    <t xml:space="preserve">http://dw.ms.kr</t>
  </si>
  <si>
    <r>
      <rPr>
        <sz val="10"/>
        <rFont val="Noto Sans CJK SC"/>
        <family val="2"/>
      </rPr>
      <t xml:space="preserve">전북특별자치도 군산시 의료원로 </t>
    </r>
    <r>
      <rPr>
        <sz val="10"/>
        <rFont val="맑은 고딕"/>
        <family val="0"/>
        <charset val="1"/>
      </rPr>
      <t xml:space="preserve">146</t>
    </r>
  </si>
  <si>
    <t xml:space="preserve">군산제일중학교</t>
  </si>
  <si>
    <t xml:space="preserve">063-440-3110</t>
  </si>
  <si>
    <t xml:space="preserve">http://ksjeil.ms.kr</t>
  </si>
  <si>
    <r>
      <rPr>
        <sz val="10"/>
        <rFont val="Noto Sans CJK SC"/>
        <family val="2"/>
      </rPr>
      <t xml:space="preserve">전북특별자치도 군산시 경기장로 </t>
    </r>
    <r>
      <rPr>
        <sz val="10"/>
        <rFont val="맑은 고딕"/>
        <family val="0"/>
        <charset val="1"/>
      </rPr>
      <t xml:space="preserve">142</t>
    </r>
  </si>
  <si>
    <t xml:space="preserve">김제초등학교</t>
  </si>
  <si>
    <t xml:space="preserve">063-546-5211</t>
  </si>
  <si>
    <t xml:space="preserve">http://school.jbedu.kr/kimje</t>
  </si>
  <si>
    <r>
      <rPr>
        <sz val="10"/>
        <rFont val="Noto Sans CJK SC"/>
        <family val="2"/>
      </rPr>
      <t xml:space="preserve">전북특별자치도 김제시 서낭당길 </t>
    </r>
    <r>
      <rPr>
        <sz val="10"/>
        <rFont val="맑은 고딕"/>
        <family val="0"/>
        <charset val="1"/>
      </rPr>
      <t xml:space="preserve">31</t>
    </r>
  </si>
  <si>
    <t xml:space="preserve">월촌초등학교</t>
  </si>
  <si>
    <t xml:space="preserve">063-544-0433</t>
  </si>
  <si>
    <t xml:space="preserve">http://jb-wolchon.es.kr</t>
  </si>
  <si>
    <r>
      <rPr>
        <sz val="10"/>
        <rFont val="Noto Sans CJK SC"/>
        <family val="2"/>
      </rPr>
      <t xml:space="preserve">전북특별자치도 김제시 입석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119</t>
    </r>
  </si>
  <si>
    <t xml:space="preserve">동국대학교사범대학부속금산중학교</t>
  </si>
  <si>
    <t xml:space="preserve">063-543-0722</t>
  </si>
  <si>
    <t xml:space="preserve">http://school.jbedu.kr/kumsan</t>
  </si>
  <si>
    <t xml:space="preserve">만경여자중학교</t>
  </si>
  <si>
    <t xml:space="preserve">063-542-5888</t>
  </si>
  <si>
    <t xml:space="preserve">http://oksan.ms.kr</t>
  </si>
  <si>
    <r>
      <rPr>
        <sz val="10"/>
        <rFont val="Noto Sans CJK SC"/>
        <family val="2"/>
      </rPr>
      <t xml:space="preserve">전북특별자치도 김제시 만경읍 만경로 </t>
    </r>
    <r>
      <rPr>
        <sz val="10"/>
        <rFont val="맑은 고딕"/>
        <family val="0"/>
        <charset val="1"/>
      </rPr>
      <t xml:space="preserve">823</t>
    </r>
  </si>
  <si>
    <t xml:space="preserve">지평선중학교</t>
  </si>
  <si>
    <t xml:space="preserve">063-544-3131</t>
  </si>
  <si>
    <t xml:space="preserve">http://school.jbedu.kr/jipyeongseon-m</t>
  </si>
  <si>
    <r>
      <rPr>
        <sz val="10"/>
        <rFont val="Noto Sans CJK SC"/>
        <family val="2"/>
      </rPr>
      <t xml:space="preserve">전북특별자치도 김제시 성덕면 성동길 </t>
    </r>
    <r>
      <rPr>
        <sz val="10"/>
        <rFont val="맑은 고딕"/>
        <family val="0"/>
        <charset val="1"/>
      </rPr>
      <t xml:space="preserve">183-4</t>
    </r>
  </si>
  <si>
    <t xml:space="preserve">남원교육지원청</t>
  </si>
  <si>
    <t xml:space="preserve">남원교룡초등학교</t>
  </si>
  <si>
    <t xml:space="preserve">063-626-2141</t>
  </si>
  <si>
    <t xml:space="preserve">http://school.jbedu.kr/kyoryong</t>
  </si>
  <si>
    <r>
      <rPr>
        <sz val="10"/>
        <rFont val="Noto Sans CJK SC"/>
        <family val="2"/>
      </rPr>
      <t xml:space="preserve">전북특별자치도 남원시 광천남길 </t>
    </r>
    <r>
      <rPr>
        <sz val="10"/>
        <rFont val="맑은 고딕"/>
        <family val="0"/>
        <charset val="1"/>
      </rPr>
      <t xml:space="preserve">654</t>
    </r>
  </si>
  <si>
    <t xml:space="preserve">남원도통초등학교</t>
  </si>
  <si>
    <t xml:space="preserve">063-630-7070</t>
  </si>
  <si>
    <t xml:space="preserve">http://dotong.es.kr</t>
  </si>
  <si>
    <r>
      <rPr>
        <sz val="10"/>
        <rFont val="Noto Sans CJK SC"/>
        <family val="2"/>
      </rPr>
      <t xml:space="preserve">전북특별자치도 남원시 대교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22</t>
    </r>
  </si>
  <si>
    <t xml:space="preserve">덕과초등학교</t>
  </si>
  <si>
    <t xml:space="preserve">063-626-2106</t>
  </si>
  <si>
    <t xml:space="preserve">http://deokgwa.es.kr</t>
  </si>
  <si>
    <r>
      <rPr>
        <sz val="10"/>
        <rFont val="Noto Sans CJK SC"/>
        <family val="2"/>
      </rPr>
      <t xml:space="preserve">전북특별자치도 남원시 덕과면 덕오로 </t>
    </r>
    <r>
      <rPr>
        <sz val="10"/>
        <rFont val="맑은 고딕"/>
        <family val="0"/>
        <charset val="1"/>
      </rPr>
      <t xml:space="preserve">298</t>
    </r>
  </si>
  <si>
    <t xml:space="preserve">주생초등학교</t>
  </si>
  <si>
    <t xml:space="preserve">063-631-8932</t>
  </si>
  <si>
    <t xml:space="preserve">http://jusaeng.es.kr</t>
  </si>
  <si>
    <r>
      <rPr>
        <sz val="10"/>
        <rFont val="Noto Sans CJK SC"/>
        <family val="2"/>
      </rPr>
      <t xml:space="preserve">전북특별자치도 남원시 주생면 소지길 </t>
    </r>
    <r>
      <rPr>
        <sz val="10"/>
        <rFont val="맑은 고딕"/>
        <family val="0"/>
        <charset val="1"/>
      </rPr>
      <t xml:space="preserve">21-5</t>
    </r>
  </si>
  <si>
    <t xml:space="preserve">백산초등학교</t>
  </si>
  <si>
    <t xml:space="preserve">063-581-8602</t>
  </si>
  <si>
    <t xml:space="preserve">http://jb-baeksan.es.kr</t>
  </si>
  <si>
    <r>
      <rPr>
        <sz val="10"/>
        <rFont val="Noto Sans CJK SC"/>
        <family val="2"/>
      </rPr>
      <t xml:space="preserve">전북특별자치도 부안군 백산면 백산로 </t>
    </r>
    <r>
      <rPr>
        <sz val="10"/>
        <rFont val="맑은 고딕"/>
        <family val="0"/>
        <charset val="1"/>
      </rPr>
      <t xml:space="preserve">306-7</t>
    </r>
  </si>
  <si>
    <t xml:space="preserve">부안동초등학교</t>
  </si>
  <si>
    <t xml:space="preserve">063-580-7777</t>
  </si>
  <si>
    <t xml:space="preserve">http://school.jbedu.kr/buandong</t>
  </si>
  <si>
    <r>
      <rPr>
        <sz val="10"/>
        <rFont val="Noto Sans CJK SC"/>
        <family val="2"/>
      </rPr>
      <t xml:space="preserve">전북특별자치도 부안군 부안읍 석정로 </t>
    </r>
    <r>
      <rPr>
        <sz val="10"/>
        <rFont val="맑은 고딕"/>
        <family val="0"/>
        <charset val="1"/>
      </rPr>
      <t xml:space="preserve">313</t>
    </r>
  </si>
  <si>
    <t xml:space="preserve">낭주중학교</t>
  </si>
  <si>
    <t xml:space="preserve">063-583-8382</t>
  </si>
  <si>
    <t xml:space="preserve">http://school.jbedu.kr/nangju-m</t>
  </si>
  <si>
    <r>
      <rPr>
        <sz val="10"/>
        <rFont val="Noto Sans CJK SC"/>
        <family val="2"/>
      </rPr>
      <t xml:space="preserve">전북특별자치도 부안군 부안읍 교동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42</t>
    </r>
  </si>
  <si>
    <t xml:space="preserve">변산서중학교</t>
  </si>
  <si>
    <t xml:space="preserve">063-582-8122</t>
  </si>
  <si>
    <t xml:space="preserve">http://bss.ms.kr</t>
  </si>
  <si>
    <r>
      <rPr>
        <sz val="10"/>
        <rFont val="Noto Sans CJK SC"/>
        <family val="2"/>
      </rPr>
      <t xml:space="preserve">전북특별자치도 부안군 변산면 지서로 </t>
    </r>
    <r>
      <rPr>
        <sz val="10"/>
        <rFont val="맑은 고딕"/>
        <family val="0"/>
        <charset val="1"/>
      </rPr>
      <t xml:space="preserve">139</t>
    </r>
  </si>
  <si>
    <t xml:space="preserve">순창북중학교</t>
  </si>
  <si>
    <t xml:space="preserve">063-653-2675</t>
  </si>
  <si>
    <t xml:space="preserve">http://www.sucbuk.ms.kr</t>
  </si>
  <si>
    <r>
      <rPr>
        <sz val="10"/>
        <rFont val="Noto Sans CJK SC"/>
        <family val="2"/>
      </rPr>
      <t xml:space="preserve">전북특별자치도 순창군 순창읍 옥천로 </t>
    </r>
    <r>
      <rPr>
        <sz val="10"/>
        <rFont val="맑은 고딕"/>
        <family val="0"/>
        <charset val="1"/>
      </rPr>
      <t xml:space="preserve">67-13</t>
    </r>
  </si>
  <si>
    <t xml:space="preserve">상관초등학교</t>
  </si>
  <si>
    <t xml:space="preserve">063-282-5008</t>
  </si>
  <si>
    <t xml:space="preserve">http://www.sangkwan.es.kr</t>
  </si>
  <si>
    <r>
      <rPr>
        <sz val="10"/>
        <rFont val="Noto Sans CJK SC"/>
        <family val="2"/>
      </rPr>
      <t xml:space="preserve">전북특별자치도 완주군 상관면 신리로 </t>
    </r>
    <r>
      <rPr>
        <sz val="10"/>
        <rFont val="맑은 고딕"/>
        <family val="0"/>
        <charset val="1"/>
      </rPr>
      <t xml:space="preserve">115</t>
    </r>
  </si>
  <si>
    <t xml:space="preserve">용진초등학교</t>
  </si>
  <si>
    <t xml:space="preserve">063-243-7010</t>
  </si>
  <si>
    <t xml:space="preserve">http://school.jbedu.kr/yongjin</t>
  </si>
  <si>
    <r>
      <rPr>
        <sz val="10"/>
        <rFont val="Noto Sans CJK SC"/>
        <family val="2"/>
      </rPr>
      <t xml:space="preserve">전북특별자치도 완주군 용진읍 상삼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52</t>
    </r>
  </si>
  <si>
    <t xml:space="preserve">고산중학교</t>
  </si>
  <si>
    <t xml:space="preserve">063-262-4024</t>
  </si>
  <si>
    <t xml:space="preserve">http://www.jb-kosan.ms.kr</t>
  </si>
  <si>
    <r>
      <rPr>
        <sz val="10"/>
        <rFont val="Noto Sans CJK SC"/>
        <family val="2"/>
      </rPr>
      <t xml:space="preserve">전북특별자치도 완주군 고산면 읍내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41</t>
    </r>
  </si>
  <si>
    <t xml:space="preserve">삼우중학교</t>
  </si>
  <si>
    <t xml:space="preserve">063-222-7888</t>
  </si>
  <si>
    <t xml:space="preserve">http://www.samwu.ms.kr</t>
  </si>
  <si>
    <r>
      <rPr>
        <sz val="10"/>
        <rFont val="Noto Sans CJK SC"/>
        <family val="2"/>
      </rPr>
      <t xml:space="preserve">전북특별자치도 완주군 이서면 반교로 </t>
    </r>
    <r>
      <rPr>
        <sz val="10"/>
        <rFont val="맑은 고딕"/>
        <family val="0"/>
        <charset val="1"/>
      </rPr>
      <t xml:space="preserve">34-9</t>
    </r>
  </si>
  <si>
    <t xml:space="preserve">완주중학교</t>
  </si>
  <si>
    <t xml:space="preserve">063-261-3033</t>
  </si>
  <si>
    <t xml:space="preserve">http://www.jb-wanju.ms.kr</t>
  </si>
  <si>
    <r>
      <rPr>
        <sz val="10"/>
        <rFont val="Noto Sans CJK SC"/>
        <family val="2"/>
      </rPr>
      <t xml:space="preserve">전북특별자치도 완주군 봉동읍 봉동동서로 </t>
    </r>
    <r>
      <rPr>
        <sz val="10"/>
        <rFont val="맑은 고딕"/>
        <family val="0"/>
        <charset val="1"/>
      </rPr>
      <t xml:space="preserve">60-6</t>
    </r>
  </si>
  <si>
    <t xml:space="preserve">왕궁남초등학교</t>
  </si>
  <si>
    <t xml:space="preserve">063-291-0516</t>
  </si>
  <si>
    <t xml:space="preserve">http://jb-wangnam.es.kr</t>
  </si>
  <si>
    <r>
      <rPr>
        <sz val="10"/>
        <rFont val="Noto Sans CJK SC"/>
        <family val="2"/>
      </rPr>
      <t xml:space="preserve">전북특별자치도 익산시 왕궁면 학호길 </t>
    </r>
    <r>
      <rPr>
        <sz val="10"/>
        <rFont val="맑은 고딕"/>
        <family val="0"/>
        <charset val="1"/>
      </rPr>
      <t xml:space="preserve">12</t>
    </r>
  </si>
  <si>
    <t xml:space="preserve">이리동남초등학교</t>
  </si>
  <si>
    <t xml:space="preserve">063-842-8294</t>
  </si>
  <si>
    <t xml:space="preserve">http://irdongnam.es.kr</t>
  </si>
  <si>
    <r>
      <rPr>
        <sz val="10"/>
        <rFont val="Noto Sans CJK SC"/>
        <family val="2"/>
      </rPr>
      <t xml:space="preserve">전북특별자치도 익산시 동천로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18</t>
    </r>
  </si>
  <si>
    <t xml:space="preserve">이리팔봉초등학교</t>
  </si>
  <si>
    <t xml:space="preserve">063-835-2944</t>
  </si>
  <si>
    <t xml:space="preserve">http://www.iripalbong.es.kr</t>
  </si>
  <si>
    <r>
      <rPr>
        <sz val="10"/>
        <rFont val="Noto Sans CJK SC"/>
        <family val="2"/>
      </rPr>
      <t xml:space="preserve">전북특별자치도 익산시 무왕로</t>
    </r>
    <r>
      <rPr>
        <sz val="10"/>
        <rFont val="맑은 고딕"/>
        <family val="0"/>
        <charset val="1"/>
      </rPr>
      <t xml:space="preserve">31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10</t>
    </r>
  </si>
  <si>
    <t xml:space="preserve">성당중학교</t>
  </si>
  <si>
    <t xml:space="preserve">063-862-0516</t>
  </si>
  <si>
    <t xml:space="preserve">http://www.seongdang.ms.kr</t>
  </si>
  <si>
    <r>
      <rPr>
        <sz val="10"/>
        <rFont val="Noto Sans CJK SC"/>
        <family val="2"/>
      </rPr>
      <t xml:space="preserve">전북특별자치도 익산시 성당면 함안로 </t>
    </r>
    <r>
      <rPr>
        <sz val="10"/>
        <rFont val="맑은 고딕"/>
        <family val="0"/>
        <charset val="1"/>
      </rPr>
      <t xml:space="preserve">671-333</t>
    </r>
  </si>
  <si>
    <t xml:space="preserve">이리남중학교</t>
  </si>
  <si>
    <t xml:space="preserve">063-841-6923</t>
  </si>
  <si>
    <t xml:space="preserve">http://school.jbedu.kr/irinam-m</t>
  </si>
  <si>
    <r>
      <rPr>
        <sz val="10"/>
        <rFont val="Noto Sans CJK SC"/>
        <family val="2"/>
      </rPr>
      <t xml:space="preserve">전북특별자치도 익산시 배산로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55</t>
    </r>
  </si>
  <si>
    <t xml:space="preserve">익산부송중학교</t>
  </si>
  <si>
    <t xml:space="preserve">063-839-3500</t>
  </si>
  <si>
    <t xml:space="preserve">http://busong.ms.kr</t>
  </si>
  <si>
    <r>
      <rPr>
        <sz val="10"/>
        <rFont val="Noto Sans CJK SC"/>
        <family val="2"/>
      </rPr>
      <t xml:space="preserve">전북특별자치도 익산시 선화로</t>
    </r>
    <r>
      <rPr>
        <sz val="10"/>
        <rFont val="맑은 고딕"/>
        <family val="0"/>
        <charset val="1"/>
      </rPr>
      <t xml:space="preserve">69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</t>
    </r>
  </si>
  <si>
    <t xml:space="preserve">관촌초등학교</t>
  </si>
  <si>
    <t xml:space="preserve">063-643-2455</t>
  </si>
  <si>
    <t xml:space="preserve">http://school.jbedu.kr/jb-kwanchon</t>
  </si>
  <si>
    <r>
      <rPr>
        <sz val="10"/>
        <rFont val="Noto Sans CJK SC"/>
        <family val="2"/>
      </rPr>
      <t xml:space="preserve">전북특별자치도 임실군 관촌면 사선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</t>
    </r>
  </si>
  <si>
    <t xml:space="preserve">임실초등학교</t>
  </si>
  <si>
    <t xml:space="preserve">063-643-5752</t>
  </si>
  <si>
    <t xml:space="preserve">http://www.imsil.es.kr</t>
  </si>
  <si>
    <r>
      <rPr>
        <sz val="10"/>
        <rFont val="Noto Sans CJK SC"/>
        <family val="2"/>
      </rPr>
      <t xml:space="preserve">전북특별자치도 임실군 임실읍 봉황로 </t>
    </r>
    <r>
      <rPr>
        <sz val="10"/>
        <rFont val="맑은 고딕"/>
        <family val="0"/>
        <charset val="1"/>
      </rPr>
      <t xml:space="preserve">64-12</t>
    </r>
  </si>
  <si>
    <t xml:space="preserve">전주덕일초등학교</t>
  </si>
  <si>
    <t xml:space="preserve">063-279-3105</t>
  </si>
  <si>
    <t xml:space="preserve">http://www.전주덕일초등학교.kr</t>
  </si>
  <si>
    <r>
      <rPr>
        <sz val="10"/>
        <rFont val="Noto Sans CJK SC"/>
        <family val="2"/>
      </rPr>
      <t xml:space="preserve">전북특별자치도 전주시 덕진구 하가로 </t>
    </r>
    <r>
      <rPr>
        <sz val="10"/>
        <rFont val="맑은 고딕"/>
        <family val="0"/>
        <charset val="1"/>
      </rPr>
      <t xml:space="preserve">71</t>
    </r>
  </si>
  <si>
    <t xml:space="preserve">전주동신초등학교</t>
  </si>
  <si>
    <t xml:space="preserve">063-245-1527</t>
  </si>
  <si>
    <t xml:space="preserve">http://school.jbedu.kr/jds</t>
  </si>
  <si>
    <r>
      <rPr>
        <sz val="10"/>
        <rFont val="Noto Sans CJK SC"/>
        <family val="2"/>
      </rPr>
      <t xml:space="preserve">전북특별자치도 전주시 덕진구 우아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</t>
    </r>
  </si>
  <si>
    <t xml:space="preserve">전주동초등학교</t>
  </si>
  <si>
    <t xml:space="preserve">063-285-0671</t>
  </si>
  <si>
    <t xml:space="preserve">http://school.jbedu.kr/jeonjudong</t>
  </si>
  <si>
    <r>
      <rPr>
        <sz val="10"/>
        <rFont val="Noto Sans CJK SC"/>
        <family val="2"/>
      </rPr>
      <t xml:space="preserve">전북특별자치도 전주시 완산구 물왕멀로 </t>
    </r>
    <r>
      <rPr>
        <sz val="10"/>
        <rFont val="맑은 고딕"/>
        <family val="0"/>
        <charset val="1"/>
      </rPr>
      <t xml:space="preserve">72</t>
    </r>
  </si>
  <si>
    <t xml:space="preserve">전주삼천남초등학교</t>
  </si>
  <si>
    <t xml:space="preserve">063-223-2911</t>
  </si>
  <si>
    <t xml:space="preserve">http://school.jbedu.kr/samnam</t>
  </si>
  <si>
    <r>
      <rPr>
        <sz val="10"/>
        <rFont val="Noto Sans CJK SC"/>
        <family val="2"/>
      </rPr>
      <t xml:space="preserve">전북특별자치도 전주시 완산구 거마남로 </t>
    </r>
    <r>
      <rPr>
        <sz val="10"/>
        <rFont val="맑은 고딕"/>
        <family val="0"/>
        <charset val="1"/>
      </rPr>
      <t xml:space="preserve">65</t>
    </r>
  </si>
  <si>
    <t xml:space="preserve">전주송천초등학교</t>
  </si>
  <si>
    <t xml:space="preserve">063-252-2616</t>
  </si>
  <si>
    <t xml:space="preserve">http://www.songchun.es.kr</t>
  </si>
  <si>
    <r>
      <rPr>
        <sz val="10"/>
        <rFont val="Noto Sans CJK SC"/>
        <family val="2"/>
      </rPr>
      <t xml:space="preserve">전북특별자치도 전주시 덕진구 송천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10</t>
    </r>
  </si>
  <si>
    <t xml:space="preserve">전주우전초등학교</t>
  </si>
  <si>
    <t xml:space="preserve">063-221-9896</t>
  </si>
  <si>
    <t xml:space="preserve">http://school.jbedu.kr/ujeon</t>
  </si>
  <si>
    <r>
      <rPr>
        <sz val="10"/>
        <rFont val="Noto Sans CJK SC"/>
        <family val="2"/>
      </rPr>
      <t xml:space="preserve">전북특별자치도 전주시 완산구 우전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</t>
    </r>
  </si>
  <si>
    <t xml:space="preserve">전주조촌초등학교</t>
  </si>
  <si>
    <t xml:space="preserve">063-211-1574</t>
  </si>
  <si>
    <t xml:space="preserve">http://www.jochon.es.kr</t>
  </si>
  <si>
    <r>
      <rPr>
        <sz val="10"/>
        <rFont val="Noto Sans CJK SC"/>
        <family val="2"/>
      </rPr>
      <t xml:space="preserve">전북특별자치도 전주시 덕진구 쪽구름로 </t>
    </r>
    <r>
      <rPr>
        <sz val="10"/>
        <rFont val="맑은 고딕"/>
        <family val="0"/>
        <charset val="1"/>
      </rPr>
      <t xml:space="preserve">39</t>
    </r>
  </si>
  <si>
    <t xml:space="preserve">전주중인초등학교</t>
  </si>
  <si>
    <t xml:space="preserve">063-222-5971</t>
  </si>
  <si>
    <t xml:space="preserve">http://jungin.kr</t>
  </si>
  <si>
    <r>
      <rPr>
        <sz val="10"/>
        <rFont val="Noto Sans CJK SC"/>
        <family val="2"/>
      </rPr>
      <t xml:space="preserve">전북특별자치도 전주시 완산구 중인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80</t>
    </r>
  </si>
  <si>
    <t xml:space="preserve">전주초포초등학교</t>
  </si>
  <si>
    <t xml:space="preserve">063-253-8151</t>
  </si>
  <si>
    <t xml:space="preserve">http://www.chopo.es.kr</t>
  </si>
  <si>
    <r>
      <rPr>
        <sz val="10"/>
        <rFont val="Noto Sans CJK SC"/>
        <family val="2"/>
      </rPr>
      <t xml:space="preserve">전북특별자치도 전주시 덕진구 초포로 </t>
    </r>
    <r>
      <rPr>
        <sz val="10"/>
        <rFont val="맑은 고딕"/>
        <family val="0"/>
        <charset val="1"/>
      </rPr>
      <t xml:space="preserve">171</t>
    </r>
  </si>
  <si>
    <t xml:space="preserve">전주효천초등학교</t>
  </si>
  <si>
    <t xml:space="preserve">063-717-6100</t>
  </si>
  <si>
    <t xml:space="preserve">http://school.jbedu.kr/hyocheon</t>
  </si>
  <si>
    <r>
      <rPr>
        <sz val="10"/>
        <rFont val="Noto Sans CJK SC"/>
        <family val="2"/>
      </rPr>
      <t xml:space="preserve">전북특별자치도 전주시 완산구 효천중앙로 </t>
    </r>
    <r>
      <rPr>
        <sz val="10"/>
        <rFont val="맑은 고딕"/>
        <family val="0"/>
        <charset val="1"/>
      </rPr>
      <t xml:space="preserve">31</t>
    </r>
  </si>
  <si>
    <t xml:space="preserve">전주근영중학교</t>
  </si>
  <si>
    <t xml:space="preserve">063-223-8512</t>
  </si>
  <si>
    <t xml:space="preserve">http://geunyeong.ms.kr</t>
  </si>
  <si>
    <r>
      <rPr>
        <sz val="10"/>
        <rFont val="Noto Sans CJK SC"/>
        <family val="2"/>
      </rPr>
      <t xml:space="preserve">전북특별자치도 전주시 완산구 영경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</t>
    </r>
  </si>
  <si>
    <t xml:space="preserve">전주온고을중학교</t>
  </si>
  <si>
    <t xml:space="preserve">063-245-5219</t>
  </si>
  <si>
    <t xml:space="preserve">http://jongoul.ms.kr</t>
  </si>
  <si>
    <r>
      <rPr>
        <sz val="10"/>
        <rFont val="Noto Sans CJK SC"/>
        <family val="2"/>
      </rPr>
      <t xml:space="preserve">전북특별자치도 전주시 덕진구 무삼지로 </t>
    </r>
    <r>
      <rPr>
        <sz val="10"/>
        <rFont val="맑은 고딕"/>
        <family val="0"/>
        <charset val="1"/>
      </rPr>
      <t xml:space="preserve">26</t>
    </r>
  </si>
  <si>
    <t xml:space="preserve">전주온빛중학교</t>
  </si>
  <si>
    <t xml:space="preserve">063-214-8452</t>
  </si>
  <si>
    <t xml:space="preserve">http://www.onbit.ms.kr</t>
  </si>
  <si>
    <r>
      <rPr>
        <sz val="10"/>
        <rFont val="Noto Sans CJK SC"/>
        <family val="2"/>
      </rPr>
      <t xml:space="preserve">전북특별자치도 전주시 덕진구 틀못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10</t>
    </r>
  </si>
  <si>
    <t xml:space="preserve">전주풍남중학교</t>
  </si>
  <si>
    <t xml:space="preserve">063-223-3502</t>
  </si>
  <si>
    <t xml:space="preserve">http://www.poong-nam.ms.kr</t>
  </si>
  <si>
    <r>
      <rPr>
        <sz val="10"/>
        <rFont val="Noto Sans CJK SC"/>
        <family val="2"/>
      </rPr>
      <t xml:space="preserve">전북특별자치도 전주시 완산구 거마평로 </t>
    </r>
    <r>
      <rPr>
        <sz val="10"/>
        <rFont val="맑은 고딕"/>
        <family val="0"/>
        <charset val="1"/>
      </rPr>
      <t xml:space="preserve">83</t>
    </r>
  </si>
  <si>
    <t xml:space="preserve">대흥초등학교</t>
  </si>
  <si>
    <t xml:space="preserve">063-534-2013</t>
  </si>
  <si>
    <t xml:space="preserve">http://school.jbedu.kr/jb-daeheung</t>
  </si>
  <si>
    <r>
      <rPr>
        <sz val="10"/>
        <rFont val="Noto Sans CJK SC"/>
        <family val="2"/>
      </rPr>
      <t xml:space="preserve">전북특별자치도 정읍시 입암면 정읍남로 </t>
    </r>
    <r>
      <rPr>
        <sz val="10"/>
        <rFont val="맑은 고딕"/>
        <family val="0"/>
        <charset val="1"/>
      </rPr>
      <t xml:space="preserve">766</t>
    </r>
  </si>
  <si>
    <t xml:space="preserve">백암초등학교</t>
  </si>
  <si>
    <t xml:space="preserve">063-534-3274</t>
  </si>
  <si>
    <t xml:space="preserve">http://www.backam.es.kr</t>
  </si>
  <si>
    <r>
      <rPr>
        <sz val="10"/>
        <rFont val="Noto Sans CJK SC"/>
        <family val="2"/>
      </rPr>
      <t xml:space="preserve">전북특별자치도 정읍시 칠보면 암축길 </t>
    </r>
    <r>
      <rPr>
        <sz val="10"/>
        <rFont val="맑은 고딕"/>
        <family val="0"/>
        <charset val="1"/>
      </rPr>
      <t xml:space="preserve">17</t>
    </r>
  </si>
  <si>
    <t xml:space="preserve">063-535-4567</t>
  </si>
  <si>
    <t xml:space="preserve">http://www.jbs.es.kr</t>
  </si>
  <si>
    <r>
      <rPr>
        <sz val="10"/>
        <rFont val="Noto Sans CJK SC"/>
        <family val="2"/>
      </rPr>
      <t xml:space="preserve">전북특별자치도 정읍시 북면 연지길 </t>
    </r>
    <r>
      <rPr>
        <sz val="10"/>
        <rFont val="맑은 고딕"/>
        <family val="0"/>
        <charset val="1"/>
      </rPr>
      <t xml:space="preserve">38-27</t>
    </r>
  </si>
  <si>
    <t xml:space="preserve">북면초등학교</t>
  </si>
  <si>
    <t xml:space="preserve">063-535-0011</t>
  </si>
  <si>
    <t xml:space="preserve">http://bukmyen.es.kr</t>
  </si>
  <si>
    <r>
      <rPr>
        <sz val="10"/>
        <rFont val="Noto Sans CJK SC"/>
        <family val="2"/>
      </rPr>
      <t xml:space="preserve">전북특별자치도 정읍시 북면 화평길 </t>
    </r>
    <r>
      <rPr>
        <sz val="10"/>
        <rFont val="맑은 고딕"/>
        <family val="0"/>
        <charset val="1"/>
      </rPr>
      <t xml:space="preserve">31</t>
    </r>
  </si>
  <si>
    <t xml:space="preserve">수곡초등학교</t>
  </si>
  <si>
    <t xml:space="preserve">063-534-3273</t>
  </si>
  <si>
    <t xml:space="preserve">http://school.jbedu.kr/jsukok</t>
  </si>
  <si>
    <r>
      <rPr>
        <sz val="10"/>
        <rFont val="Noto Sans CJK SC"/>
        <family val="2"/>
      </rPr>
      <t xml:space="preserve">전북특별자치도 정읍시 칠보면 여옥길 </t>
    </r>
    <r>
      <rPr>
        <sz val="10"/>
        <rFont val="맑은 고딕"/>
        <family val="0"/>
        <charset val="1"/>
      </rPr>
      <t xml:space="preserve">11</t>
    </r>
  </si>
  <si>
    <t xml:space="preserve">정읍남초등학교</t>
  </si>
  <si>
    <t xml:space="preserve">063-535-6660</t>
  </si>
  <si>
    <t xml:space="preserve">http://school.jbedu.kr/ju-nam</t>
  </si>
  <si>
    <r>
      <rPr>
        <sz val="10"/>
        <rFont val="Noto Sans CJK SC"/>
        <family val="2"/>
      </rPr>
      <t xml:space="preserve">전북특별자치도 정읍시 남산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25</t>
    </r>
  </si>
  <si>
    <t xml:space="preserve">칠보초등학교</t>
  </si>
  <si>
    <t xml:space="preserve">063-534-3005</t>
  </si>
  <si>
    <t xml:space="preserve">http://chilbo.es.kr</t>
  </si>
  <si>
    <r>
      <rPr>
        <sz val="10"/>
        <rFont val="Noto Sans CJK SC"/>
        <family val="2"/>
      </rPr>
      <t xml:space="preserve">전북특별자치도 정읍시 칠보면 칠보중앙로 </t>
    </r>
    <r>
      <rPr>
        <sz val="10"/>
        <rFont val="맑은 고딕"/>
        <family val="0"/>
        <charset val="1"/>
      </rPr>
      <t xml:space="preserve">130</t>
    </r>
  </si>
  <si>
    <t xml:space="preserve">진안중앙초등학교</t>
  </si>
  <si>
    <t xml:space="preserve">063-432-6327</t>
  </si>
  <si>
    <t xml:space="preserve">http://www.jaja.es.kr</t>
  </si>
  <si>
    <r>
      <rPr>
        <sz val="10"/>
        <rFont val="Noto Sans CJK SC"/>
        <family val="2"/>
      </rPr>
      <t xml:space="preserve">전북특별자치도 진안군 진안읍 학천변길 </t>
    </r>
    <r>
      <rPr>
        <sz val="10"/>
        <rFont val="맑은 고딕"/>
        <family val="0"/>
        <charset val="1"/>
      </rPr>
      <t xml:space="preserve">37-6</t>
    </r>
  </si>
  <si>
    <t xml:space="preserve">고흥교육지원청</t>
  </si>
  <si>
    <t xml:space="preserve">고흥군</t>
  </si>
  <si>
    <t xml:space="preserve">포두초등학교</t>
  </si>
  <si>
    <t xml:space="preserve">061-832-5419</t>
  </si>
  <si>
    <t xml:space="preserve">http://podu.jge.es.kr</t>
  </si>
  <si>
    <r>
      <rPr>
        <sz val="10"/>
        <rFont val="Noto Sans CJK SC"/>
        <family val="2"/>
      </rPr>
      <t xml:space="preserve">전남광주통합특별시 고흥군 포두면 우주로 </t>
    </r>
    <r>
      <rPr>
        <sz val="10"/>
        <rFont val="맑은 고딕"/>
        <family val="0"/>
        <charset val="1"/>
      </rPr>
      <t xml:space="preserve">624</t>
    </r>
  </si>
  <si>
    <t xml:space="preserve">동강중학교</t>
  </si>
  <si>
    <t xml:space="preserve">061-833-2037</t>
  </si>
  <si>
    <t xml:space="preserve">http://dong-gang.ms.jne.kr</t>
  </si>
  <si>
    <r>
      <rPr>
        <sz val="10"/>
        <rFont val="Noto Sans CJK SC"/>
        <family val="2"/>
      </rPr>
      <t xml:space="preserve">전남광주통합특별시 고흥군 동강면 계매길 </t>
    </r>
    <r>
      <rPr>
        <sz val="10"/>
        <rFont val="맑은 고딕"/>
        <family val="0"/>
        <charset val="1"/>
      </rPr>
      <t xml:space="preserve">11-2</t>
    </r>
  </si>
  <si>
    <t xml:space="preserve">곡성교육지원청</t>
  </si>
  <si>
    <t xml:space="preserve">곡성군</t>
  </si>
  <si>
    <t xml:space="preserve">곡성중앙초등학교</t>
  </si>
  <si>
    <t xml:space="preserve">061-363-1815</t>
  </si>
  <si>
    <t xml:space="preserve">http://gsjungang.es.jne.kr</t>
  </si>
  <si>
    <r>
      <rPr>
        <sz val="10"/>
        <rFont val="Noto Sans CJK SC"/>
        <family val="2"/>
      </rPr>
      <t xml:space="preserve">전남광주통합특별시 곡성군 곡성읍 학교로 </t>
    </r>
    <r>
      <rPr>
        <sz val="10"/>
        <rFont val="맑은 고딕"/>
        <family val="0"/>
        <charset val="1"/>
      </rPr>
      <t xml:space="preserve">103</t>
    </r>
  </si>
  <si>
    <t xml:space="preserve">광양용강초등학교</t>
  </si>
  <si>
    <t xml:space="preserve">061-760-6203</t>
  </si>
  <si>
    <t xml:space="preserve">http://yongkang.jge.es.kr</t>
  </si>
  <si>
    <r>
      <rPr>
        <sz val="10"/>
        <rFont val="Noto Sans CJK SC"/>
        <family val="2"/>
      </rPr>
      <t xml:space="preserve">전남광주통합특별시 광양시 광양읍 용강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40</t>
    </r>
  </si>
  <si>
    <t xml:space="preserve">광양제철남초등학교</t>
  </si>
  <si>
    <t xml:space="preserve">061-798-1410</t>
  </si>
  <si>
    <t xml:space="preserve">http://gwangcheolnam.es.jne.kr</t>
  </si>
  <si>
    <r>
      <rPr>
        <sz val="10"/>
        <rFont val="Noto Sans CJK SC"/>
        <family val="2"/>
      </rPr>
      <t xml:space="preserve">전남광주통합특별시 광양시 금호로 </t>
    </r>
    <r>
      <rPr>
        <sz val="10"/>
        <rFont val="맑은 고딕"/>
        <family val="0"/>
        <charset val="1"/>
      </rPr>
      <t xml:space="preserve">40</t>
    </r>
  </si>
  <si>
    <t xml:space="preserve">광양제철초등학교</t>
  </si>
  <si>
    <t xml:space="preserve">061-798-1310</t>
  </si>
  <si>
    <t xml:space="preserve">http://gwangcheol.es.jne.kr</t>
  </si>
  <si>
    <r>
      <rPr>
        <sz val="10"/>
        <rFont val="Noto Sans CJK SC"/>
        <family val="2"/>
      </rPr>
      <t xml:space="preserve">전남광주통합특별시 광양시 마로니에길 </t>
    </r>
    <r>
      <rPr>
        <sz val="10"/>
        <rFont val="맑은 고딕"/>
        <family val="0"/>
        <charset val="1"/>
      </rPr>
      <t xml:space="preserve">48</t>
    </r>
  </si>
  <si>
    <t xml:space="preserve">광양중마초등학교</t>
  </si>
  <si>
    <t xml:space="preserve">061-797-1203</t>
  </si>
  <si>
    <t xml:space="preserve">http://gyjma.es.jne.kr</t>
  </si>
  <si>
    <r>
      <rPr>
        <sz val="10"/>
        <rFont val="Noto Sans CJK SC"/>
        <family val="2"/>
      </rPr>
      <t xml:space="preserve">전남광주통합특별시 광양시 구마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33</t>
    </r>
  </si>
  <si>
    <t xml:space="preserve">광영초등학교</t>
  </si>
  <si>
    <t xml:space="preserve">061-792-6157</t>
  </si>
  <si>
    <t xml:space="preserve">http://gyeong.jge.es.kr</t>
  </si>
  <si>
    <r>
      <rPr>
        <sz val="10"/>
        <rFont val="Noto Sans CJK SC"/>
        <family val="2"/>
      </rPr>
      <t xml:space="preserve">전남광주통합특별시 광양시 금영로 </t>
    </r>
    <r>
      <rPr>
        <sz val="10"/>
        <rFont val="맑은 고딕"/>
        <family val="0"/>
        <charset val="1"/>
      </rPr>
      <t xml:space="preserve">140</t>
    </r>
  </si>
  <si>
    <t xml:space="preserve">성황초등학교</t>
  </si>
  <si>
    <t xml:space="preserve">061-798-0200</t>
  </si>
  <si>
    <t xml:space="preserve">http://gysh.jge.es.kr</t>
  </si>
  <si>
    <r>
      <rPr>
        <sz val="10"/>
        <rFont val="Noto Sans CJK SC"/>
        <family val="2"/>
      </rPr>
      <t xml:space="preserve">전남광주통합특별시 광양시 지동길 </t>
    </r>
    <r>
      <rPr>
        <sz val="10"/>
        <rFont val="맑은 고딕"/>
        <family val="0"/>
        <charset val="1"/>
      </rPr>
      <t xml:space="preserve">15</t>
    </r>
  </si>
  <si>
    <t xml:space="preserve">광양마동중학교</t>
  </si>
  <si>
    <t xml:space="preserve">061-798-9500</t>
  </si>
  <si>
    <t xml:space="preserve">http://madong.ms.jne.kr</t>
  </si>
  <si>
    <r>
      <rPr>
        <sz val="10"/>
        <rFont val="Noto Sans CJK SC"/>
        <family val="2"/>
      </rPr>
      <t xml:space="preserve">전남광주통합특별시 광양시 느지매기길 </t>
    </r>
    <r>
      <rPr>
        <sz val="10"/>
        <rFont val="맑은 고딕"/>
        <family val="0"/>
        <charset val="1"/>
      </rPr>
      <t xml:space="preserve">7</t>
    </r>
  </si>
  <si>
    <t xml:space="preserve">나주상업고등학교</t>
  </si>
  <si>
    <t xml:space="preserve">061-334-4602</t>
  </si>
  <si>
    <t xml:space="preserve">http://njc.hs.jne.kr</t>
  </si>
  <si>
    <r>
      <rPr>
        <sz val="10"/>
        <rFont val="Noto Sans CJK SC"/>
        <family val="2"/>
      </rPr>
      <t xml:space="preserve">전남광주통합특별시 나주시 함박산길 </t>
    </r>
    <r>
      <rPr>
        <sz val="10"/>
        <rFont val="맑은 고딕"/>
        <family val="0"/>
        <charset val="1"/>
      </rPr>
      <t xml:space="preserve">23-4</t>
    </r>
  </si>
  <si>
    <t xml:space="preserve">목포정명여자고등학교</t>
  </si>
  <si>
    <t xml:space="preserve">061-240-5903</t>
  </si>
  <si>
    <t xml:space="preserve">http://mpjm.hs.jne.kr</t>
  </si>
  <si>
    <t xml:space="preserve">목포중앙고등학교</t>
  </si>
  <si>
    <t xml:space="preserve">061-281-1475</t>
  </si>
  <si>
    <t xml:space="preserve">http://mokpojoongang.hs.jne.kr</t>
  </si>
  <si>
    <r>
      <rPr>
        <sz val="10"/>
        <rFont val="Noto Sans CJK SC"/>
        <family val="2"/>
      </rPr>
      <t xml:space="preserve">전남광주통합특별시 목포시 지적로 </t>
    </r>
    <r>
      <rPr>
        <sz val="10"/>
        <rFont val="맑은 고딕"/>
        <family val="0"/>
        <charset val="1"/>
      </rPr>
      <t xml:space="preserve">36</t>
    </r>
  </si>
  <si>
    <t xml:space="preserve">벌교고등학교</t>
  </si>
  <si>
    <t xml:space="preserve">061-859-0100</t>
  </si>
  <si>
    <t xml:space="preserve">http://beolgyo.hs.jne.kr</t>
  </si>
  <si>
    <r>
      <rPr>
        <sz val="10"/>
        <rFont val="Noto Sans CJK SC"/>
        <family val="2"/>
      </rPr>
      <t xml:space="preserve">전남광주통합특별시 보성군 벌교읍 채동선로 </t>
    </r>
    <r>
      <rPr>
        <sz val="10"/>
        <rFont val="맑은 고딕"/>
        <family val="0"/>
        <charset val="1"/>
      </rPr>
      <t xml:space="preserve">115</t>
    </r>
  </si>
  <si>
    <t xml:space="preserve">순천강남여자고등학교</t>
  </si>
  <si>
    <t xml:space="preserve">061-721-2104</t>
  </si>
  <si>
    <t xml:space="preserve">http://gangnam.hs.jne.kr</t>
  </si>
  <si>
    <r>
      <rPr>
        <sz val="10"/>
        <rFont val="Noto Sans CJK SC"/>
        <family val="2"/>
      </rPr>
      <t xml:space="preserve">전남광주통합특별시 순천시 조례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43</t>
    </r>
  </si>
  <si>
    <t xml:space="preserve">순천효산고등학교</t>
  </si>
  <si>
    <t xml:space="preserve">061-750-9500</t>
  </si>
  <si>
    <t xml:space="preserve">http://hyosan.hs.jne.kr</t>
  </si>
  <si>
    <r>
      <rPr>
        <sz val="10"/>
        <rFont val="Noto Sans CJK SC"/>
        <family val="2"/>
      </rPr>
      <t xml:space="preserve">전남광주통합특별시 순천시 삼산로 </t>
    </r>
    <r>
      <rPr>
        <sz val="10"/>
        <rFont val="맑은 고딕"/>
        <family val="0"/>
        <charset val="1"/>
      </rPr>
      <t xml:space="preserve">104</t>
    </r>
  </si>
  <si>
    <t xml:space="preserve">순천효천고등학교</t>
  </si>
  <si>
    <t xml:space="preserve">061-741-2145</t>
  </si>
  <si>
    <t xml:space="preserve">http://hyocheon.hs.jne.kr</t>
  </si>
  <si>
    <r>
      <rPr>
        <sz val="10"/>
        <rFont val="Noto Sans CJK SC"/>
        <family val="2"/>
      </rPr>
      <t xml:space="preserve">전남광주통합특별시 순천시 녹색로 </t>
    </r>
    <r>
      <rPr>
        <sz val="10"/>
        <rFont val="맑은 고딕"/>
        <family val="0"/>
        <charset val="1"/>
      </rPr>
      <t xml:space="preserve">1360</t>
    </r>
  </si>
  <si>
    <t xml:space="preserve">여수공업고등학교</t>
  </si>
  <si>
    <t xml:space="preserve">061-660-2504</t>
  </si>
  <si>
    <t xml:space="preserve">http://yeosu-th.jge.hs.kr</t>
  </si>
  <si>
    <t xml:space="preserve">여수정보과학고등학교</t>
  </si>
  <si>
    <t xml:space="preserve">061-650-6211</t>
  </si>
  <si>
    <t xml:space="preserve">http://yosuis.hs.jne.kr</t>
  </si>
  <si>
    <r>
      <rPr>
        <sz val="10"/>
        <rFont val="Noto Sans CJK SC"/>
        <family val="2"/>
      </rPr>
      <t xml:space="preserve">전남광주통합특별시 여수시 여문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148</t>
    </r>
  </si>
  <si>
    <t xml:space="preserve">진성여자고등학교</t>
  </si>
  <si>
    <t xml:space="preserve">061-640-2103</t>
  </si>
  <si>
    <t xml:space="preserve">http://jsg.hs.jne.kr</t>
  </si>
  <si>
    <r>
      <rPr>
        <sz val="10"/>
        <rFont val="Noto Sans CJK SC"/>
        <family val="2"/>
      </rPr>
      <t xml:space="preserve">전남광주통합특별시 여수시 봉강서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</t>
    </r>
  </si>
  <si>
    <t xml:space="preserve">061-350-9002</t>
  </si>
  <si>
    <t xml:space="preserve">http://yk.hs.jne.kr</t>
  </si>
  <si>
    <r>
      <rPr>
        <sz val="10"/>
        <rFont val="Noto Sans CJK SC"/>
        <family val="2"/>
      </rPr>
      <t xml:space="preserve">전남광주통합특별시 영광군 영광읍 옥당로 </t>
    </r>
    <r>
      <rPr>
        <sz val="10"/>
        <rFont val="맑은 고딕"/>
        <family val="0"/>
        <charset val="1"/>
      </rPr>
      <t xml:space="preserve">13-22</t>
    </r>
  </si>
  <si>
    <t xml:space="preserve">영암군</t>
  </si>
  <si>
    <t xml:space="preserve">구림공업고등학교</t>
  </si>
  <si>
    <t xml:space="preserve">061-471-6311</t>
  </si>
  <si>
    <t xml:space="preserve">http://gurim-tech.jge.hs.kr</t>
  </si>
  <si>
    <r>
      <rPr>
        <sz val="10"/>
        <rFont val="Noto Sans CJK SC"/>
        <family val="2"/>
      </rPr>
      <t xml:space="preserve">전남광주통합특별시 영암군 군서면 왕인로 </t>
    </r>
    <r>
      <rPr>
        <sz val="10"/>
        <rFont val="맑은 고딕"/>
        <family val="0"/>
        <charset val="1"/>
      </rPr>
      <t xml:space="preserve">453</t>
    </r>
  </si>
  <si>
    <t xml:space="preserve">소림학교</t>
  </si>
  <si>
    <t xml:space="preserve">061-462-5532</t>
  </si>
  <si>
    <t xml:space="preserve">http://sorim.sc.jne.kr</t>
  </si>
  <si>
    <r>
      <rPr>
        <sz val="10"/>
        <rFont val="Noto Sans CJK SC"/>
        <family val="2"/>
      </rPr>
      <t xml:space="preserve">전남광주통합특별시 영암군 삼호읍 저두길 </t>
    </r>
    <r>
      <rPr>
        <sz val="10"/>
        <rFont val="맑은 고딕"/>
        <family val="0"/>
        <charset val="1"/>
      </rPr>
      <t xml:space="preserve">65-7</t>
    </r>
  </si>
  <si>
    <t xml:space="preserve">함평영화학교</t>
  </si>
  <si>
    <t xml:space="preserve">061-323-9889</t>
  </si>
  <si>
    <t xml:space="preserve">http://yh.sc.jne.kr</t>
  </si>
  <si>
    <r>
      <rPr>
        <sz val="10"/>
        <rFont val="Noto Sans CJK SC"/>
        <family val="2"/>
      </rPr>
      <t xml:space="preserve">전남광주통합특별시 함평군 함평읍 한나리길 </t>
    </r>
    <r>
      <rPr>
        <sz val="10"/>
        <rFont val="맑은 고딕"/>
        <family val="0"/>
        <charset val="1"/>
      </rPr>
      <t xml:space="preserve">10-25</t>
    </r>
  </si>
  <si>
    <t xml:space="preserve">공산초등학교</t>
  </si>
  <si>
    <t xml:space="preserve">061-335-3883</t>
  </si>
  <si>
    <t xml:space="preserve">http://nj-gongsan.es.jne.kr</t>
  </si>
  <si>
    <r>
      <rPr>
        <sz val="10"/>
        <rFont val="Noto Sans CJK SC"/>
        <family val="2"/>
      </rPr>
      <t xml:space="preserve">전남광주통합특별시 나주시 공산면 공산로 </t>
    </r>
    <r>
      <rPr>
        <sz val="10"/>
        <rFont val="맑은 고딕"/>
        <family val="0"/>
        <charset val="1"/>
      </rPr>
      <t xml:space="preserve">85</t>
    </r>
  </si>
  <si>
    <t xml:space="preserve">나주북초등학교</t>
  </si>
  <si>
    <t xml:space="preserve">061-333-5936</t>
  </si>
  <si>
    <t xml:space="preserve">http://najubuk.es.jne.kr</t>
  </si>
  <si>
    <r>
      <rPr>
        <sz val="10"/>
        <rFont val="Noto Sans CJK SC"/>
        <family val="2"/>
      </rPr>
      <t xml:space="preserve">전남광주통합특별시 나주시 청암길 </t>
    </r>
    <r>
      <rPr>
        <sz val="10"/>
        <rFont val="맑은 고딕"/>
        <family val="0"/>
        <charset val="1"/>
      </rPr>
      <t xml:space="preserve">47-23</t>
    </r>
  </si>
  <si>
    <t xml:space="preserve">나주초등학교</t>
  </si>
  <si>
    <t xml:space="preserve">061-333-6352</t>
  </si>
  <si>
    <t xml:space="preserve">http://naju.es.jne.kr</t>
  </si>
  <si>
    <r>
      <rPr>
        <sz val="10"/>
        <rFont val="Noto Sans CJK SC"/>
        <family val="2"/>
      </rPr>
      <t xml:space="preserve">전남광주통합특별시 나주시 남외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16</t>
    </r>
  </si>
  <si>
    <t xml:space="preserve">061-331-2020</t>
  </si>
  <si>
    <t xml:space="preserve">http://nampyeong.jge.es.kr</t>
  </si>
  <si>
    <r>
      <rPr>
        <sz val="10"/>
        <rFont val="Noto Sans CJK SC"/>
        <family val="2"/>
      </rPr>
      <t xml:space="preserve">전남광주통합특별시 나주시 남평읍 지석로 </t>
    </r>
    <r>
      <rPr>
        <sz val="10"/>
        <rFont val="맑은 고딕"/>
        <family val="0"/>
        <charset val="1"/>
      </rPr>
      <t xml:space="preserve">95</t>
    </r>
  </si>
  <si>
    <t xml:space="preserve">남평중학교</t>
  </si>
  <si>
    <t xml:space="preserve">061-331-2145</t>
  </si>
  <si>
    <t xml:space="preserve">http://njnampyong.jge.ms.kr</t>
  </si>
  <si>
    <r>
      <rPr>
        <sz val="10"/>
        <rFont val="Noto Sans CJK SC"/>
        <family val="2"/>
      </rPr>
      <t xml:space="preserve">전남광주통합특별시 나주시 남평읍 남평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40</t>
    </r>
  </si>
  <si>
    <t xml:space="preserve">매성중학교</t>
  </si>
  <si>
    <t xml:space="preserve">061-320-7551</t>
  </si>
  <si>
    <t xml:space="preserve">http://maesung.jge.ms.kr</t>
  </si>
  <si>
    <t xml:space="preserve">세지중학교</t>
  </si>
  <si>
    <t xml:space="preserve">061-331-5506</t>
  </si>
  <si>
    <t xml:space="preserve">http://seji.ms.jne.kr</t>
  </si>
  <si>
    <r>
      <rPr>
        <sz val="10"/>
        <rFont val="Noto Sans CJK SC"/>
        <family val="2"/>
      </rPr>
      <t xml:space="preserve">전남광주통합특별시 나주시 세지면 동창로 </t>
    </r>
    <r>
      <rPr>
        <sz val="10"/>
        <rFont val="맑은 고딕"/>
        <family val="0"/>
        <charset val="1"/>
      </rPr>
      <t xml:space="preserve">112</t>
    </r>
  </si>
  <si>
    <t xml:space="preserve">영산중학교</t>
  </si>
  <si>
    <t xml:space="preserve">061-333-6712</t>
  </si>
  <si>
    <t xml:space="preserve">http://ysan.ms.jne.kr</t>
  </si>
  <si>
    <r>
      <rPr>
        <sz val="10"/>
        <rFont val="Noto Sans CJK SC"/>
        <family val="2"/>
      </rPr>
      <t xml:space="preserve">전남광주통합특별시 나주시 영강길 </t>
    </r>
    <r>
      <rPr>
        <sz val="10"/>
        <rFont val="맑은 고딕"/>
        <family val="0"/>
        <charset val="1"/>
      </rPr>
      <t xml:space="preserve">32</t>
    </r>
  </si>
  <si>
    <t xml:space="preserve">담양교육지원청</t>
  </si>
  <si>
    <t xml:space="preserve">담양군</t>
  </si>
  <si>
    <t xml:space="preserve">가사문학초등학교</t>
  </si>
  <si>
    <t xml:space="preserve">061-382-1024</t>
  </si>
  <si>
    <t xml:space="preserve">http://dy-nammyeon.es.jne.kr</t>
  </si>
  <si>
    <r>
      <rPr>
        <sz val="10"/>
        <rFont val="Noto Sans CJK SC"/>
        <family val="2"/>
      </rPr>
      <t xml:space="preserve">전남광주통합특별시 담양군 가사문학면 연천길 </t>
    </r>
    <r>
      <rPr>
        <sz val="10"/>
        <rFont val="맑은 고딕"/>
        <family val="0"/>
        <charset val="1"/>
      </rPr>
      <t xml:space="preserve">3</t>
    </r>
  </si>
  <si>
    <t xml:space="preserve">무정초등학교</t>
  </si>
  <si>
    <t xml:space="preserve">061-382-2024</t>
  </si>
  <si>
    <t xml:space="preserve">http://mujeong.es.jne.kr</t>
  </si>
  <si>
    <r>
      <rPr>
        <sz val="10"/>
        <rFont val="Noto Sans CJK SC"/>
        <family val="2"/>
      </rPr>
      <t xml:space="preserve">전남광주통합특별시 담양군 무정면 수문동길 </t>
    </r>
    <r>
      <rPr>
        <sz val="10"/>
        <rFont val="맑은 고딕"/>
        <family val="0"/>
        <charset val="1"/>
      </rPr>
      <t xml:space="preserve">26-11</t>
    </r>
  </si>
  <si>
    <t xml:space="preserve">목포서부초등학교</t>
  </si>
  <si>
    <t xml:space="preserve">061-244-0157</t>
  </si>
  <si>
    <t xml:space="preserve">http://mokposeobu.es.jne.kr</t>
  </si>
  <si>
    <r>
      <rPr>
        <sz val="10"/>
        <rFont val="Noto Sans CJK SC"/>
        <family val="2"/>
      </rPr>
      <t xml:space="preserve">전남광주통합특별시 목포시 원산로 </t>
    </r>
    <r>
      <rPr>
        <sz val="10"/>
        <rFont val="맑은 고딕"/>
        <family val="0"/>
        <charset val="1"/>
      </rPr>
      <t xml:space="preserve">27</t>
    </r>
  </si>
  <si>
    <t xml:space="preserve">목포여자중학교</t>
  </si>
  <si>
    <t xml:space="preserve">061-244-0164</t>
  </si>
  <si>
    <t xml:space="preserve">http://mokpogirls.ms.jne.kr</t>
  </si>
  <si>
    <r>
      <rPr>
        <sz val="10"/>
        <rFont val="Noto Sans CJK SC"/>
        <family val="2"/>
      </rPr>
      <t xml:space="preserve">전남광주통합특별시 목포시 유동로 </t>
    </r>
    <r>
      <rPr>
        <sz val="10"/>
        <rFont val="맑은 고딕"/>
        <family val="0"/>
        <charset val="1"/>
      </rPr>
      <t xml:space="preserve">35</t>
    </r>
  </si>
  <si>
    <t xml:space="preserve">목포유달중학교</t>
  </si>
  <si>
    <t xml:space="preserve">061-276-4020</t>
  </si>
  <si>
    <t xml:space="preserve">http://mokpoyudal.ms.jne.kr</t>
  </si>
  <si>
    <r>
      <rPr>
        <sz val="10"/>
        <rFont val="Noto Sans CJK SC"/>
        <family val="2"/>
      </rPr>
      <t xml:space="preserve">전남광주통합특별시 목포시 산정로 </t>
    </r>
    <r>
      <rPr>
        <sz val="10"/>
        <rFont val="맑은 고딕"/>
        <family val="0"/>
        <charset val="1"/>
      </rPr>
      <t xml:space="preserve">171</t>
    </r>
  </si>
  <si>
    <t xml:space="preserve">목포제일중학교</t>
  </si>
  <si>
    <t xml:space="preserve">061-273-2301</t>
  </si>
  <si>
    <t xml:space="preserve">http://mokpojeil.ms.jne.kr</t>
  </si>
  <si>
    <r>
      <rPr>
        <sz val="10"/>
        <rFont val="Noto Sans CJK SC"/>
        <family val="2"/>
      </rPr>
      <t xml:space="preserve">전남광주통합특별시 목포시 삼학로 </t>
    </r>
    <r>
      <rPr>
        <sz val="10"/>
        <rFont val="맑은 고딕"/>
        <family val="0"/>
        <charset val="1"/>
      </rPr>
      <t xml:space="preserve">277</t>
    </r>
  </si>
  <si>
    <t xml:space="preserve">목포중앙여자중학교</t>
  </si>
  <si>
    <t xml:space="preserve">061-283-0236</t>
  </si>
  <si>
    <t xml:space="preserve">http://mpjoongang.ms.jne.kr</t>
  </si>
  <si>
    <r>
      <rPr>
        <sz val="10"/>
        <rFont val="Noto Sans CJK SC"/>
        <family val="2"/>
      </rPr>
      <t xml:space="preserve">전남광주통합특별시 목포시 백년대로</t>
    </r>
    <r>
      <rPr>
        <sz val="10"/>
        <rFont val="맑은 고딕"/>
        <family val="0"/>
        <charset val="1"/>
      </rPr>
      <t xml:space="preserve">280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24</t>
    </r>
  </si>
  <si>
    <t xml:space="preserve">영흥중학교</t>
  </si>
  <si>
    <t xml:space="preserve">061-283-5012</t>
  </si>
  <si>
    <t xml:space="preserve">http://yeongheung.jge.ms.kr</t>
  </si>
  <si>
    <r>
      <rPr>
        <sz val="10"/>
        <rFont val="Noto Sans CJK SC"/>
        <family val="2"/>
      </rPr>
      <t xml:space="preserve">전남광주통합특별시 목포시 삼각로</t>
    </r>
    <r>
      <rPr>
        <sz val="10"/>
        <rFont val="맑은 고딕"/>
        <family val="0"/>
        <charset val="1"/>
      </rPr>
      <t xml:space="preserve">43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9</t>
    </r>
  </si>
  <si>
    <t xml:space="preserve">무안행복초등학교</t>
  </si>
  <si>
    <t xml:space="preserve">061-288-5800</t>
  </si>
  <si>
    <t xml:space="preserve">http://haengbok.jge.es.kr</t>
  </si>
  <si>
    <r>
      <rPr>
        <sz val="10"/>
        <rFont val="Noto Sans CJK SC"/>
        <family val="2"/>
      </rPr>
      <t xml:space="preserve">전남광주통합특별시 무안군 일로읍 오룡중앙동로 </t>
    </r>
    <r>
      <rPr>
        <sz val="10"/>
        <rFont val="맑은 고딕"/>
        <family val="0"/>
        <charset val="1"/>
      </rPr>
      <t xml:space="preserve">38</t>
    </r>
  </si>
  <si>
    <t xml:space="preserve">겸백초등학교</t>
  </si>
  <si>
    <t xml:space="preserve">061-853-6056</t>
  </si>
  <si>
    <t xml:space="preserve">http://gyeombaek.jge.es.kr</t>
  </si>
  <si>
    <r>
      <rPr>
        <sz val="10"/>
        <rFont val="Noto Sans CJK SC"/>
        <family val="2"/>
      </rPr>
      <t xml:space="preserve">전남광주통합특별시 보성군 겸백면 충의로 </t>
    </r>
    <r>
      <rPr>
        <sz val="10"/>
        <rFont val="맑은 고딕"/>
        <family val="0"/>
        <charset val="1"/>
      </rPr>
      <t xml:space="preserve">2496</t>
    </r>
  </si>
  <si>
    <t xml:space="preserve">동산초등학교</t>
  </si>
  <si>
    <t xml:space="preserve">061-752-7110</t>
  </si>
  <si>
    <t xml:space="preserve">http://scdongsan.es.jne.kr</t>
  </si>
  <si>
    <r>
      <rPr>
        <sz val="10"/>
        <rFont val="Noto Sans CJK SC"/>
        <family val="2"/>
      </rPr>
      <t xml:space="preserve">전남광주통합특별시 순천시 서면 순천로 </t>
    </r>
    <r>
      <rPr>
        <sz val="10"/>
        <rFont val="맑은 고딕"/>
        <family val="0"/>
        <charset val="1"/>
      </rPr>
      <t xml:space="preserve">16</t>
    </r>
  </si>
  <si>
    <t xml:space="preserve">증도초등학교</t>
  </si>
  <si>
    <t xml:space="preserve">061-271-7506</t>
  </si>
  <si>
    <t xml:space="preserve">http://jeungdo.es.jne.kr</t>
  </si>
  <si>
    <r>
      <rPr>
        <sz val="10"/>
        <rFont val="Noto Sans CJK SC"/>
        <family val="2"/>
      </rPr>
      <t xml:space="preserve">전남광주통합특별시 신안군 증도면 문준경길 </t>
    </r>
    <r>
      <rPr>
        <sz val="10"/>
        <rFont val="맑은 고딕"/>
        <family val="0"/>
        <charset val="1"/>
      </rPr>
      <t xml:space="preserve">218</t>
    </r>
  </si>
  <si>
    <t xml:space="preserve">자은중학교</t>
  </si>
  <si>
    <t xml:space="preserve">061-271-8043</t>
  </si>
  <si>
    <t xml:space="preserve">http://jaeun.ms.jne.kr</t>
  </si>
  <si>
    <r>
      <rPr>
        <sz val="10"/>
        <rFont val="Noto Sans CJK SC"/>
        <family val="2"/>
      </rPr>
      <t xml:space="preserve">전남광주통합특별시 신안군 자은면 구영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82</t>
    </r>
  </si>
  <si>
    <t xml:space="preserve">여수구봉초등학교</t>
  </si>
  <si>
    <t xml:space="preserve">061-641-6845</t>
  </si>
  <si>
    <t xml:space="preserve">http://ysgb.es.jne.kr</t>
  </si>
  <si>
    <r>
      <rPr>
        <sz val="10"/>
        <rFont val="Noto Sans CJK SC"/>
        <family val="2"/>
      </rPr>
      <t xml:space="preserve">전남광주통합특별시 여수시 구봉산길 </t>
    </r>
    <r>
      <rPr>
        <sz val="10"/>
        <rFont val="맑은 고딕"/>
        <family val="0"/>
        <charset val="1"/>
      </rPr>
      <t xml:space="preserve">51</t>
    </r>
  </si>
  <si>
    <t xml:space="preserve">여수종고초등학교</t>
  </si>
  <si>
    <t xml:space="preserve">061-666-6799</t>
  </si>
  <si>
    <t xml:space="preserve">http://jonggo.es.jne.kr</t>
  </si>
  <si>
    <r>
      <rPr>
        <sz val="10"/>
        <rFont val="Noto Sans CJK SC"/>
        <family val="2"/>
      </rPr>
      <t xml:space="preserve">전남광주통합특별시 여수시 공화북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52</t>
    </r>
  </si>
  <si>
    <t xml:space="preserve">여천초등학교</t>
  </si>
  <si>
    <t xml:space="preserve">061-690-1800</t>
  </si>
  <si>
    <t xml:space="preserve">http://yeocheon.es.jne.kr</t>
  </si>
  <si>
    <r>
      <rPr>
        <sz val="10"/>
        <rFont val="Noto Sans CJK SC"/>
        <family val="2"/>
      </rPr>
      <t xml:space="preserve">전남광주통합특별시 여수시 주동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30</t>
    </r>
  </si>
  <si>
    <t xml:space="preserve">웅천초등학교</t>
  </si>
  <si>
    <t xml:space="preserve">061-690-8890</t>
  </si>
  <si>
    <t xml:space="preserve">http://ungchun.jge.es.kr</t>
  </si>
  <si>
    <t xml:space="preserve">전남광주통합특별시 여수시</t>
  </si>
  <si>
    <t xml:space="preserve">백수초등학교</t>
  </si>
  <si>
    <t xml:space="preserve">061-353-7633</t>
  </si>
  <si>
    <r>
      <rPr>
        <sz val="10"/>
        <rFont val="Noto Sans CJK SC"/>
        <family val="2"/>
      </rPr>
      <t xml:space="preserve">전남광주통합특별시 영광군 백수읍 백수로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21</t>
    </r>
  </si>
  <si>
    <t xml:space="preserve">영광염산중학교</t>
  </si>
  <si>
    <t xml:space="preserve">061-352-9018</t>
  </si>
  <si>
    <t xml:space="preserve">http://yeomsan.jge.ms.kr</t>
  </si>
  <si>
    <r>
      <rPr>
        <sz val="10"/>
        <rFont val="Noto Sans CJK SC"/>
        <family val="2"/>
      </rPr>
      <t xml:space="preserve">전남광주통합특별시 영광군 염산면 칠산로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31</t>
    </r>
  </si>
  <si>
    <t xml:space="preserve">영암교육지원청</t>
  </si>
  <si>
    <t xml:space="preserve">대불초등학교</t>
  </si>
  <si>
    <t xml:space="preserve">061-462-4100</t>
  </si>
  <si>
    <t xml:space="preserve">http://daebul.es.jne.kr</t>
  </si>
  <si>
    <r>
      <rPr>
        <sz val="10"/>
        <rFont val="Noto Sans CJK SC"/>
        <family val="2"/>
      </rPr>
      <t xml:space="preserve">전남광주통합특별시 영암군 삼호읍 대불주거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41</t>
    </r>
  </si>
  <si>
    <t xml:space="preserve">시종초등학교</t>
  </si>
  <si>
    <t xml:space="preserve">061-473-0833</t>
  </si>
  <si>
    <t xml:space="preserve">http://sijong.jge.es.kr</t>
  </si>
  <si>
    <r>
      <rPr>
        <sz val="10"/>
        <rFont val="Noto Sans CJK SC"/>
        <family val="2"/>
      </rPr>
      <t xml:space="preserve">전남광주통합특별시 영암군 시종면 내동중앙로 </t>
    </r>
    <r>
      <rPr>
        <sz val="10"/>
        <rFont val="맑은 고딕"/>
        <family val="0"/>
        <charset val="1"/>
      </rPr>
      <t xml:space="preserve">17</t>
    </r>
  </si>
  <si>
    <t xml:space="preserve">삼호중학교</t>
  </si>
  <si>
    <t xml:space="preserve">061-462-6570</t>
  </si>
  <si>
    <t xml:space="preserve">http://samho.ms.jne.kr</t>
  </si>
  <si>
    <r>
      <rPr>
        <sz val="10"/>
        <rFont val="Noto Sans CJK SC"/>
        <family val="2"/>
      </rPr>
      <t xml:space="preserve">전남광주통합특별시 영암군 삼호읍 방아제로 </t>
    </r>
    <r>
      <rPr>
        <sz val="10"/>
        <rFont val="맑은 고딕"/>
        <family val="0"/>
        <charset val="1"/>
      </rPr>
      <t xml:space="preserve">102</t>
    </r>
  </si>
  <si>
    <t xml:space="preserve">금일초등학교</t>
  </si>
  <si>
    <t xml:space="preserve">061-553-2001</t>
  </si>
  <si>
    <t xml:space="preserve">http://geumil.jge.es.kr</t>
  </si>
  <si>
    <r>
      <rPr>
        <sz val="10"/>
        <rFont val="Noto Sans CJK SC"/>
        <family val="2"/>
      </rPr>
      <t xml:space="preserve">전남광주통합특별시 완도군 금일읍 구동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38</t>
    </r>
  </si>
  <si>
    <t xml:space="preserve">노화초등학교</t>
  </si>
  <si>
    <t xml:space="preserve">061-553-4903</t>
  </si>
  <si>
    <t xml:space="preserve">http://nohwa.es.jne.kr</t>
  </si>
  <si>
    <r>
      <rPr>
        <sz val="10"/>
        <rFont val="Noto Sans CJK SC"/>
        <family val="2"/>
      </rPr>
      <t xml:space="preserve">전남광주통합특별시 완도군 노화읍 노화서로 </t>
    </r>
    <r>
      <rPr>
        <sz val="10"/>
        <rFont val="맑은 고딕"/>
        <family val="0"/>
        <charset val="1"/>
      </rPr>
      <t xml:space="preserve">149</t>
    </r>
  </si>
  <si>
    <t xml:space="preserve">완도초등학교</t>
  </si>
  <si>
    <t xml:space="preserve">061-552-2387</t>
  </si>
  <si>
    <t xml:space="preserve">http://wando.jge.es.kr</t>
  </si>
  <si>
    <r>
      <rPr>
        <sz val="10"/>
        <rFont val="Noto Sans CJK SC"/>
        <family val="2"/>
      </rPr>
      <t xml:space="preserve">전남광주통합특별시 완도군 완도읍 중앙길 </t>
    </r>
    <r>
      <rPr>
        <sz val="10"/>
        <rFont val="맑은 고딕"/>
        <family val="0"/>
        <charset val="1"/>
      </rPr>
      <t xml:space="preserve">43</t>
    </r>
  </si>
  <si>
    <t xml:space="preserve">청해초등학교</t>
  </si>
  <si>
    <t xml:space="preserve">061-552-2995</t>
  </si>
  <si>
    <t xml:space="preserve">http://cheonghae.es.jne.kr</t>
  </si>
  <si>
    <r>
      <rPr>
        <sz val="10"/>
        <rFont val="Noto Sans CJK SC"/>
        <family val="2"/>
      </rPr>
      <t xml:space="preserve">전남광주통합특별시 완도군 완도읍 청해진로 </t>
    </r>
    <r>
      <rPr>
        <sz val="10"/>
        <rFont val="맑은 고딕"/>
        <family val="0"/>
        <charset val="1"/>
      </rPr>
      <t xml:space="preserve">1374</t>
    </r>
  </si>
  <si>
    <t xml:space="preserve">동화초등학교</t>
  </si>
  <si>
    <t xml:space="preserve">061-392-1258</t>
  </si>
  <si>
    <t xml:space="preserve">http://donghwa.es.jne.kr</t>
  </si>
  <si>
    <r>
      <rPr>
        <sz val="10"/>
        <rFont val="Noto Sans CJK SC"/>
        <family val="2"/>
      </rPr>
      <t xml:space="preserve">전남광주통합특별시 장성군 동화면 용정교촌길 </t>
    </r>
    <r>
      <rPr>
        <sz val="10"/>
        <rFont val="맑은 고딕"/>
        <family val="0"/>
        <charset val="1"/>
      </rPr>
      <t xml:space="preserve">45</t>
    </r>
  </si>
  <si>
    <t xml:space="preserve">사창초등학교</t>
  </si>
  <si>
    <t xml:space="preserve">061-399-0770</t>
  </si>
  <si>
    <t xml:space="preserve">http://js-sachang.jge.es.kr</t>
  </si>
  <si>
    <r>
      <rPr>
        <sz val="10"/>
        <rFont val="Noto Sans CJK SC"/>
        <family val="2"/>
      </rPr>
      <t xml:space="preserve">전남광주통합특별시 장성군 삼계면 사창로 </t>
    </r>
    <r>
      <rPr>
        <sz val="10"/>
        <rFont val="맑은 고딕"/>
        <family val="0"/>
        <charset val="1"/>
      </rPr>
      <t xml:space="preserve">64-17</t>
    </r>
  </si>
  <si>
    <t xml:space="preserve">진원초등학교</t>
  </si>
  <si>
    <t xml:space="preserve">061-392-5101</t>
  </si>
  <si>
    <t xml:space="preserve">http://jinwon.es.jne.kr</t>
  </si>
  <si>
    <r>
      <rPr>
        <sz val="10"/>
        <rFont val="Noto Sans CJK SC"/>
        <family val="2"/>
      </rPr>
      <t xml:space="preserve">전남광주통합특별시 장성군 진원면 진남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199</t>
    </r>
  </si>
  <si>
    <t xml:space="preserve">진도교육지원청</t>
  </si>
  <si>
    <t xml:space="preserve">진도군</t>
  </si>
  <si>
    <t xml:space="preserve">진도서초등학교</t>
  </si>
  <si>
    <t xml:space="preserve">061-544-9201</t>
  </si>
  <si>
    <t xml:space="preserve">http://jindoseo.jge.es.kr</t>
  </si>
  <si>
    <r>
      <rPr>
        <sz val="10"/>
        <rFont val="Noto Sans CJK SC"/>
        <family val="2"/>
      </rPr>
      <t xml:space="preserve">전남광주통합특별시 진도군 진도읍 신흥정자로 </t>
    </r>
    <r>
      <rPr>
        <sz val="10"/>
        <rFont val="맑은 고딕"/>
        <family val="0"/>
        <charset val="1"/>
      </rPr>
      <t xml:space="preserve">25</t>
    </r>
  </si>
  <si>
    <t xml:space="preserve">진도지산중학교</t>
  </si>
  <si>
    <t xml:space="preserve">061-542-0010</t>
  </si>
  <si>
    <t xml:space="preserve">http://jindojisan.ms.jne.kr</t>
  </si>
  <si>
    <r>
      <rPr>
        <sz val="10"/>
        <rFont val="Noto Sans CJK SC"/>
        <family val="2"/>
      </rPr>
      <t xml:space="preserve">전남광주통합특별시 진도군 지산면 인지독치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21-62</t>
    </r>
  </si>
  <si>
    <t xml:space="preserve">해남제일중학교</t>
  </si>
  <si>
    <t xml:space="preserve">061-535-4282</t>
  </si>
  <si>
    <t xml:space="preserve">http://hnjeil.ms.jne.kr</t>
  </si>
  <si>
    <r>
      <rPr>
        <sz val="10"/>
        <rFont val="Noto Sans CJK SC"/>
        <family val="2"/>
      </rPr>
      <t xml:space="preserve">전남광주통합특별시 해남군 해남읍 명문길 </t>
    </r>
    <r>
      <rPr>
        <sz val="10"/>
        <rFont val="맑은 고딕"/>
        <family val="0"/>
        <charset val="1"/>
      </rPr>
      <t xml:space="preserve">19</t>
    </r>
  </si>
  <si>
    <t xml:space="preserve">한천초등학교</t>
  </si>
  <si>
    <t xml:space="preserve">061-373-0022</t>
  </si>
  <si>
    <t xml:space="preserve">http://hs-hancheon.es.jne.kr</t>
  </si>
  <si>
    <r>
      <rPr>
        <sz val="10"/>
        <rFont val="Noto Sans CJK SC"/>
        <family val="2"/>
      </rPr>
      <t xml:space="preserve">전남광주통합특별시 화순군 한천면 청계길 </t>
    </r>
    <r>
      <rPr>
        <sz val="10"/>
        <rFont val="맑은 고딕"/>
        <family val="0"/>
        <charset val="1"/>
      </rPr>
      <t xml:space="preserve">26</t>
    </r>
  </si>
  <si>
    <t xml:space="preserve">화순제일초등학교</t>
  </si>
  <si>
    <t xml:space="preserve">061-375-1300</t>
  </si>
  <si>
    <t xml:space="preserve">http://hsji.es.jne.kr</t>
  </si>
  <si>
    <r>
      <rPr>
        <sz val="10"/>
        <rFont val="Noto Sans CJK SC"/>
        <family val="2"/>
      </rPr>
      <t xml:space="preserve">전남광주통합특별시 화순군 화순읍 알메로 </t>
    </r>
    <r>
      <rPr>
        <sz val="10"/>
        <rFont val="맑은 고딕"/>
        <family val="0"/>
        <charset val="1"/>
      </rPr>
      <t xml:space="preserve">8</t>
    </r>
  </si>
  <si>
    <t xml:space="preserve">경산동부초등학교</t>
  </si>
  <si>
    <t xml:space="preserve">053-819-6800</t>
  </si>
  <si>
    <t xml:space="preserve">http://school.gyo6.net/ksdongbues</t>
  </si>
  <si>
    <r>
      <rPr>
        <sz val="10"/>
        <rFont val="Noto Sans CJK SC"/>
        <family val="2"/>
      </rPr>
      <t xml:space="preserve">경상북도 경산시 원효로</t>
    </r>
    <r>
      <rPr>
        <sz val="10"/>
        <rFont val="맑은 고딕"/>
        <family val="0"/>
        <charset val="1"/>
      </rPr>
      <t xml:space="preserve">28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60-6</t>
    </r>
  </si>
  <si>
    <t xml:space="preserve">경산서부초등학교</t>
  </si>
  <si>
    <t xml:space="preserve">053-816-5101</t>
  </si>
  <si>
    <t xml:space="preserve">http://school.gyo6.net/gssb</t>
  </si>
  <si>
    <r>
      <rPr>
        <sz val="10"/>
        <rFont val="Noto Sans CJK SC"/>
        <family val="2"/>
      </rPr>
      <t xml:space="preserve">경상북도 경산시 경산로</t>
    </r>
    <r>
      <rPr>
        <sz val="10"/>
        <rFont val="맑은 고딕"/>
        <family val="0"/>
        <charset val="1"/>
      </rPr>
      <t xml:space="preserve">42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22-11</t>
    </r>
  </si>
  <si>
    <t xml:space="preserve">남산초등학교</t>
  </si>
  <si>
    <t xml:space="preserve">053-852-5006</t>
  </si>
  <si>
    <t xml:space="preserve">http://school.gyo6.net/kns</t>
  </si>
  <si>
    <r>
      <rPr>
        <sz val="10"/>
        <rFont val="Noto Sans CJK SC"/>
        <family val="2"/>
      </rPr>
      <t xml:space="preserve">경상북도 경산시 남산면 하남로 </t>
    </r>
    <r>
      <rPr>
        <sz val="10"/>
        <rFont val="맑은 고딕"/>
        <family val="0"/>
        <charset val="1"/>
      </rPr>
      <t xml:space="preserve">316</t>
    </r>
  </si>
  <si>
    <t xml:space="preserve">053-813-1106</t>
  </si>
  <si>
    <t xml:space="preserve">http://school.gyo6.net/seongam</t>
  </si>
  <si>
    <r>
      <rPr>
        <sz val="10"/>
        <rFont val="Noto Sans CJK SC"/>
        <family val="2"/>
      </rPr>
      <t xml:space="preserve">경상북도 경산시 펜타힐즈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21</t>
    </r>
  </si>
  <si>
    <t xml:space="preserve">옥곡초등학교</t>
  </si>
  <si>
    <t xml:space="preserve">053-811-8611</t>
  </si>
  <si>
    <t xml:space="preserve">http://school.gyo6.net/gsokes</t>
  </si>
  <si>
    <r>
      <rPr>
        <sz val="10"/>
        <rFont val="Noto Sans CJK SC"/>
        <family val="2"/>
      </rPr>
      <t xml:space="preserve">경상북도 경산시 경산로 </t>
    </r>
    <r>
      <rPr>
        <sz val="10"/>
        <rFont val="맑은 고딕"/>
        <family val="0"/>
        <charset val="1"/>
      </rPr>
      <t xml:space="preserve">54</t>
    </r>
  </si>
  <si>
    <t xml:space="preserve">053-813-6197</t>
  </si>
  <si>
    <t xml:space="preserve">http://school.gyo6.net/jsan</t>
  </si>
  <si>
    <r>
      <rPr>
        <sz val="10"/>
        <rFont val="Noto Sans CJK SC"/>
        <family val="2"/>
      </rPr>
      <t xml:space="preserve">경상북도 경산시 성암로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25</t>
    </r>
  </si>
  <si>
    <t xml:space="preserve">정평초등학교</t>
  </si>
  <si>
    <t xml:space="preserve">053-811-7953</t>
  </si>
  <si>
    <t xml:space="preserve">http://school.gyo6.net/jeongpyeong</t>
  </si>
  <si>
    <r>
      <rPr>
        <sz val="10"/>
        <rFont val="Noto Sans CJK SC"/>
        <family val="2"/>
      </rPr>
      <t xml:space="preserve">경상북도 경산시 대학로</t>
    </r>
    <r>
      <rPr>
        <sz val="10"/>
        <rFont val="맑은 고딕"/>
        <family val="0"/>
        <charset val="1"/>
      </rPr>
      <t xml:space="preserve">16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15</t>
    </r>
  </si>
  <si>
    <t xml:space="preserve">평산초등학교</t>
  </si>
  <si>
    <t xml:space="preserve">053-802-7314</t>
  </si>
  <si>
    <t xml:space="preserve">http://school.gyo6.net/psps</t>
  </si>
  <si>
    <r>
      <rPr>
        <sz val="10"/>
        <rFont val="Noto Sans CJK SC"/>
        <family val="2"/>
      </rPr>
      <t xml:space="preserve">경상북도 경산시 솔숲길 </t>
    </r>
    <r>
      <rPr>
        <sz val="10"/>
        <rFont val="맑은 고딕"/>
        <family val="0"/>
        <charset val="1"/>
      </rPr>
      <t xml:space="preserve">47</t>
    </r>
  </si>
  <si>
    <t xml:space="preserve">하양초등학교</t>
  </si>
  <si>
    <t xml:space="preserve">053-851-2762</t>
  </si>
  <si>
    <t xml:space="preserve">http://school.gyo6.net/hayanges</t>
  </si>
  <si>
    <r>
      <rPr>
        <sz val="10"/>
        <rFont val="Noto Sans CJK SC"/>
        <family val="2"/>
      </rPr>
      <t xml:space="preserve">경상북도 경산시 하양읍 대학로</t>
    </r>
    <r>
      <rPr>
        <sz val="10"/>
        <rFont val="맑은 고딕"/>
        <family val="0"/>
        <charset val="1"/>
      </rPr>
      <t xml:space="preserve">305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25</t>
    </r>
  </si>
  <si>
    <t xml:space="preserve">하주초등학교</t>
  </si>
  <si>
    <t xml:space="preserve">053-852-8868</t>
  </si>
  <si>
    <t xml:space="preserve">http://school.gyo6.net/hajues</t>
  </si>
  <si>
    <r>
      <rPr>
        <sz val="10"/>
        <rFont val="Noto Sans CJK SC"/>
        <family val="2"/>
      </rPr>
      <t xml:space="preserve">경상북도 경산시 하양읍 무학로 </t>
    </r>
    <r>
      <rPr>
        <sz val="10"/>
        <rFont val="맑은 고딕"/>
        <family val="0"/>
        <charset val="1"/>
      </rPr>
      <t xml:space="preserve">48</t>
    </r>
  </si>
  <si>
    <t xml:space="preserve">경산여자중학교</t>
  </si>
  <si>
    <t xml:space="preserve">053-811-4062</t>
  </si>
  <si>
    <t xml:space="preserve">http://school.gyo6.net/gsgm</t>
  </si>
  <si>
    <r>
      <rPr>
        <sz val="10"/>
        <rFont val="Noto Sans CJK SC"/>
        <family val="2"/>
      </rPr>
      <t xml:space="preserve">경상북도 경산시 경산로 </t>
    </r>
    <r>
      <rPr>
        <sz val="10"/>
        <rFont val="맑은 고딕"/>
        <family val="0"/>
        <charset val="1"/>
      </rPr>
      <t xml:space="preserve">91</t>
    </r>
  </si>
  <si>
    <t xml:space="preserve">금장초등학교</t>
  </si>
  <si>
    <t xml:space="preserve">054-745-9671</t>
  </si>
  <si>
    <t xml:space="preserve">http://school.gyo6.net/geumjanges</t>
  </si>
  <si>
    <r>
      <rPr>
        <sz val="10"/>
        <rFont val="Noto Sans CJK SC"/>
        <family val="2"/>
      </rPr>
      <t xml:space="preserve">경상북도 경주시 현곡면 등나무길 </t>
    </r>
    <r>
      <rPr>
        <sz val="10"/>
        <rFont val="맑은 고딕"/>
        <family val="0"/>
        <charset val="1"/>
      </rPr>
      <t xml:space="preserve">18-6</t>
    </r>
  </si>
  <si>
    <t xml:space="preserve">계림중학교</t>
  </si>
  <si>
    <t xml:space="preserve">054-742-9061</t>
  </si>
  <si>
    <t xml:space="preserve">http://school.gyo6.net/gyerimms</t>
  </si>
  <si>
    <r>
      <rPr>
        <sz val="10"/>
        <rFont val="Noto Sans CJK SC"/>
        <family val="2"/>
      </rPr>
      <t xml:space="preserve">경상북도 경주시 용담로 </t>
    </r>
    <r>
      <rPr>
        <sz val="10"/>
        <rFont val="맑은 고딕"/>
        <family val="0"/>
        <charset val="1"/>
      </rPr>
      <t xml:space="preserve">68</t>
    </r>
  </si>
  <si>
    <t xml:space="preserve">근화여자중학교</t>
  </si>
  <si>
    <t xml:space="preserve">070-7113-7401</t>
  </si>
  <si>
    <t xml:space="preserve">http://school.gyo6.net/geunhwams</t>
  </si>
  <si>
    <t xml:space="preserve">선덕여자중학교</t>
  </si>
  <si>
    <t xml:space="preserve">054-745-7053</t>
  </si>
  <si>
    <t xml:space="preserve">http://school.gyo6.net/seondeokms</t>
  </si>
  <si>
    <r>
      <rPr>
        <sz val="10"/>
        <rFont val="Noto Sans CJK SC"/>
        <family val="2"/>
      </rPr>
      <t xml:space="preserve">경상북도 경주시 양정로 </t>
    </r>
    <r>
      <rPr>
        <sz val="10"/>
        <rFont val="맑은 고딕"/>
        <family val="0"/>
        <charset val="1"/>
      </rPr>
      <t xml:space="preserve">20-11</t>
    </r>
  </si>
  <si>
    <t xml:space="preserve">고령교육지원청</t>
  </si>
  <si>
    <t xml:space="preserve">고령군</t>
  </si>
  <si>
    <t xml:space="preserve">고령초등학교</t>
  </si>
  <si>
    <t xml:space="preserve">054-955-2460</t>
  </si>
  <si>
    <t xml:space="preserve">http://school.gyo6.net/goryonges</t>
  </si>
  <si>
    <r>
      <rPr>
        <sz val="10"/>
        <rFont val="Noto Sans CJK SC"/>
        <family val="2"/>
      </rPr>
      <t xml:space="preserve">경상북도 고령군 왕정길 </t>
    </r>
    <r>
      <rPr>
        <sz val="10"/>
        <rFont val="맑은 고딕"/>
        <family val="0"/>
        <charset val="1"/>
      </rPr>
      <t xml:space="preserve">10</t>
    </r>
  </si>
  <si>
    <t xml:space="preserve">성산초등학교</t>
  </si>
  <si>
    <t xml:space="preserve">054-954-4008</t>
  </si>
  <si>
    <t xml:space="preserve">http://school.gyo6.net/seongsan</t>
  </si>
  <si>
    <r>
      <rPr>
        <sz val="10"/>
        <rFont val="Noto Sans CJK SC"/>
        <family val="2"/>
      </rPr>
      <t xml:space="preserve">경상북도 고령군 성산면 성산로 </t>
    </r>
    <r>
      <rPr>
        <sz val="10"/>
        <rFont val="맑은 고딕"/>
        <family val="0"/>
        <charset val="1"/>
      </rPr>
      <t xml:space="preserve">902</t>
    </r>
  </si>
  <si>
    <t xml:space="preserve">쌍림초등학교</t>
  </si>
  <si>
    <t xml:space="preserve">054-955-0034</t>
  </si>
  <si>
    <t xml:space="preserve">http://school.gyo6.net/ssangrimes</t>
  </si>
  <si>
    <r>
      <rPr>
        <sz val="10"/>
        <rFont val="Noto Sans CJK SC"/>
        <family val="2"/>
      </rPr>
      <t xml:space="preserve">경상북도 고령군 쌍림면 귀원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</t>
    </r>
  </si>
  <si>
    <t xml:space="preserve">경산과학고등학교</t>
  </si>
  <si>
    <t xml:space="preserve">053-717-7201</t>
  </si>
  <si>
    <t xml:space="preserve">http://school.gyo6.net/gsshs</t>
  </si>
  <si>
    <r>
      <rPr>
        <sz val="10"/>
        <rFont val="Noto Sans CJK SC"/>
        <family val="2"/>
      </rPr>
      <t xml:space="preserve">경상북도 경산시 화랑로 </t>
    </r>
    <r>
      <rPr>
        <sz val="10"/>
        <rFont val="맑은 고딕"/>
        <family val="0"/>
        <charset val="1"/>
      </rPr>
      <t xml:space="preserve">66</t>
    </r>
  </si>
  <si>
    <t xml:space="preserve">문명고등학교</t>
  </si>
  <si>
    <t xml:space="preserve">053-813-7312</t>
  </si>
  <si>
    <t xml:space="preserve">http://school.gyo6.net/munmyeonghs</t>
  </si>
  <si>
    <t xml:space="preserve">영남삼육고등학교</t>
  </si>
  <si>
    <t xml:space="preserve">053-852-3661</t>
  </si>
  <si>
    <t xml:space="preserve">http://school.gyo6.net/yn36</t>
  </si>
  <si>
    <r>
      <rPr>
        <sz val="10"/>
        <rFont val="Noto Sans CJK SC"/>
        <family val="2"/>
      </rPr>
      <t xml:space="preserve">경상북도 경산시 남산면 서원길 </t>
    </r>
    <r>
      <rPr>
        <sz val="10"/>
        <rFont val="맑은 고딕"/>
        <family val="0"/>
        <charset val="1"/>
      </rPr>
      <t xml:space="preserve">58-31</t>
    </r>
  </si>
  <si>
    <t xml:space="preserve">경주여자정보고등학교</t>
  </si>
  <si>
    <t xml:space="preserve">054-746-0081</t>
  </si>
  <si>
    <t xml:space="preserve">http://school.gyo6.net/newschool</t>
  </si>
  <si>
    <r>
      <rPr>
        <sz val="10"/>
        <rFont val="Noto Sans CJK SC"/>
        <family val="2"/>
      </rPr>
      <t xml:space="preserve">경상북도 경주시 시동로 </t>
    </r>
    <r>
      <rPr>
        <sz val="10"/>
        <rFont val="맑은 고딕"/>
        <family val="0"/>
        <charset val="1"/>
      </rPr>
      <t xml:space="preserve">90</t>
    </r>
  </si>
  <si>
    <t xml:space="preserve">경주정보고등학교</t>
  </si>
  <si>
    <t xml:space="preserve">054-742-8965</t>
  </si>
  <si>
    <t xml:space="preserve">http://school.gyo6.net/interneths</t>
  </si>
  <si>
    <r>
      <rPr>
        <sz val="10"/>
        <rFont val="Noto Sans CJK SC"/>
        <family val="2"/>
      </rPr>
      <t xml:space="preserve">경상북도 경주시 충효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19</t>
    </r>
  </si>
  <si>
    <t xml:space="preserve">문화고등학교</t>
  </si>
  <si>
    <t xml:space="preserve">054-742-2544</t>
  </si>
  <si>
    <t xml:space="preserve">http://school.gyo6.net/moonhwa</t>
  </si>
  <si>
    <t xml:space="preserve">효청보건고등학교</t>
  </si>
  <si>
    <t xml:space="preserve">054-773-0734</t>
  </si>
  <si>
    <t xml:space="preserve">http://school.gyo6.net/hyochung</t>
  </si>
  <si>
    <r>
      <rPr>
        <sz val="10"/>
        <rFont val="Noto Sans CJK SC"/>
        <family val="2"/>
      </rPr>
      <t xml:space="preserve">경상북도 경주시 외동읍 모화남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26-132</t>
    </r>
  </si>
  <si>
    <t xml:space="preserve">경희학교</t>
  </si>
  <si>
    <t xml:space="preserve">054-749-1542</t>
  </si>
  <si>
    <t xml:space="preserve">http://school.gyo6.net/gyeonghui</t>
  </si>
  <si>
    <r>
      <rPr>
        <sz val="10"/>
        <rFont val="Noto Sans CJK SC"/>
        <family val="2"/>
      </rPr>
      <t xml:space="preserve">경상북도 경주시 초당길</t>
    </r>
    <r>
      <rPr>
        <sz val="10"/>
        <rFont val="맑은 고딕"/>
        <family val="0"/>
        <charset val="1"/>
      </rPr>
      <t xml:space="preserve">15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15</t>
    </r>
  </si>
  <si>
    <t xml:space="preserve">대가야고등학교</t>
  </si>
  <si>
    <t xml:space="preserve">054-954-3516</t>
  </si>
  <si>
    <t xml:space="preserve">http://school.gyo6.net/daegaya</t>
  </si>
  <si>
    <r>
      <rPr>
        <sz val="10"/>
        <rFont val="Noto Sans CJK SC"/>
        <family val="2"/>
      </rPr>
      <t xml:space="preserve">경상북도 고령군 대가야읍 가야금길 </t>
    </r>
    <r>
      <rPr>
        <sz val="10"/>
        <rFont val="맑은 고딕"/>
        <family val="0"/>
        <charset val="1"/>
      </rPr>
      <t xml:space="preserve">36</t>
    </r>
  </si>
  <si>
    <t xml:space="preserve">구미여자고등학교</t>
  </si>
  <si>
    <t xml:space="preserve">054-452-0052</t>
  </si>
  <si>
    <t xml:space="preserve">http://school.gyo6.net/gumigirlhs</t>
  </si>
  <si>
    <r>
      <rPr>
        <sz val="10"/>
        <rFont val="Noto Sans CJK SC"/>
        <family val="2"/>
      </rPr>
      <t xml:space="preserve">경상북도 구미시 문장로 </t>
    </r>
    <r>
      <rPr>
        <sz val="10"/>
        <rFont val="맑은 고딕"/>
        <family val="0"/>
        <charset val="1"/>
      </rPr>
      <t xml:space="preserve">114</t>
    </r>
  </si>
  <si>
    <t xml:space="preserve">금오공업고등학교</t>
  </si>
  <si>
    <t xml:space="preserve">054-461-1681</t>
  </si>
  <si>
    <t xml:space="preserve">http://school.gyo6.net/koths</t>
  </si>
  <si>
    <r>
      <rPr>
        <sz val="10"/>
        <rFont val="Noto Sans CJK SC"/>
        <family val="2"/>
      </rPr>
      <t xml:space="preserve">경상북도 구미시 구미대로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59</t>
    </r>
  </si>
  <si>
    <t xml:space="preserve">도개고등학교</t>
  </si>
  <si>
    <t xml:space="preserve">054-474-1052</t>
  </si>
  <si>
    <t xml:space="preserve">http://school.gyo6.net/dogaehs</t>
  </si>
  <si>
    <r>
      <rPr>
        <sz val="10"/>
        <rFont val="Noto Sans CJK SC"/>
        <family val="2"/>
      </rPr>
      <t xml:space="preserve">경상북도 구미시 도개면 도안로 </t>
    </r>
    <r>
      <rPr>
        <sz val="10"/>
        <rFont val="맑은 고딕"/>
        <family val="0"/>
        <charset val="1"/>
      </rPr>
      <t xml:space="preserve">120</t>
    </r>
  </si>
  <si>
    <t xml:space="preserve">선산고등학교</t>
  </si>
  <si>
    <t xml:space="preserve">054-481-0763</t>
  </si>
  <si>
    <t xml:space="preserve">http://school.gyo6.net/seonsanhs</t>
  </si>
  <si>
    <r>
      <rPr>
        <sz val="10"/>
        <rFont val="Noto Sans CJK SC"/>
        <family val="2"/>
      </rPr>
      <t xml:space="preserve">경상북도 구미시 선산읍 단계서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18</t>
    </r>
  </si>
  <si>
    <t xml:space="preserve">현일고등학교</t>
  </si>
  <si>
    <t xml:space="preserve">054-454-1987</t>
  </si>
  <si>
    <t xml:space="preserve">http://school.gyo6.net/hyunilhs</t>
  </si>
  <si>
    <r>
      <rPr>
        <sz val="10"/>
        <rFont val="Noto Sans CJK SC"/>
        <family val="2"/>
      </rPr>
      <t xml:space="preserve">경상북도 구미시 고아읍 선산대로 </t>
    </r>
    <r>
      <rPr>
        <sz val="10"/>
        <rFont val="맑은 고딕"/>
        <family val="0"/>
        <charset val="1"/>
      </rPr>
      <t xml:space="preserve">656</t>
    </r>
  </si>
  <si>
    <t xml:space="preserve">김천고등학교</t>
  </si>
  <si>
    <t xml:space="preserve">054-429-9700</t>
  </si>
  <si>
    <t xml:space="preserve">http://school.gyo6.net/gimcheon</t>
  </si>
  <si>
    <r>
      <rPr>
        <sz val="10"/>
        <rFont val="Noto Sans CJK SC"/>
        <family val="2"/>
      </rPr>
      <t xml:space="preserve">경상북도 김천시 송설로 </t>
    </r>
    <r>
      <rPr>
        <sz val="10"/>
        <rFont val="맑은 고딕"/>
        <family val="0"/>
        <charset val="1"/>
      </rPr>
      <t xml:space="preserve">90</t>
    </r>
  </si>
  <si>
    <t xml:space="preserve">문경공업고등학교</t>
  </si>
  <si>
    <t xml:space="preserve">054-550-1563</t>
  </si>
  <si>
    <t xml:space="preserve">http://school.gyo6.net/mungyeong-th</t>
  </si>
  <si>
    <r>
      <rPr>
        <sz val="10"/>
        <rFont val="Noto Sans CJK SC"/>
        <family val="2"/>
      </rPr>
      <t xml:space="preserve">경상북도 문경시 영신로 </t>
    </r>
    <r>
      <rPr>
        <sz val="10"/>
        <rFont val="맑은 고딕"/>
        <family val="0"/>
        <charset val="1"/>
      </rPr>
      <t xml:space="preserve">65</t>
    </r>
  </si>
  <si>
    <t xml:space="preserve">대영고등학교</t>
  </si>
  <si>
    <t xml:space="preserve">054-630-7803</t>
  </si>
  <si>
    <t xml:space="preserve">http://school.gyo6.net/daeyoung</t>
  </si>
  <si>
    <r>
      <rPr>
        <sz val="10"/>
        <rFont val="Noto Sans CJK SC"/>
        <family val="2"/>
      </rPr>
      <t xml:space="preserve">경상북도 영주시 구성로</t>
    </r>
    <r>
      <rPr>
        <sz val="10"/>
        <rFont val="맑은 고딕"/>
        <family val="0"/>
        <charset val="1"/>
      </rPr>
      <t xml:space="preserve">150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45</t>
    </r>
  </si>
  <si>
    <t xml:space="preserve">영광여자고등학교</t>
  </si>
  <si>
    <t xml:space="preserve">054-634-5303</t>
  </si>
  <si>
    <t xml:space="preserve">http://school.gyo6.net/yg</t>
  </si>
  <si>
    <r>
      <rPr>
        <sz val="10"/>
        <rFont val="Noto Sans CJK SC"/>
        <family val="2"/>
      </rPr>
      <t xml:space="preserve">경상북도 영주시 숫골길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39</t>
    </r>
  </si>
  <si>
    <t xml:space="preserve">경북바이오마이스터고등학교</t>
  </si>
  <si>
    <t xml:space="preserve">054-332-0474</t>
  </si>
  <si>
    <t xml:space="preserve">http://school.gyo6.net/gbm</t>
  </si>
  <si>
    <r>
      <rPr>
        <sz val="10"/>
        <rFont val="Noto Sans CJK SC"/>
        <family val="2"/>
      </rPr>
      <t xml:space="preserve">경상북도 영천시 신녕면 찰방길 </t>
    </r>
    <r>
      <rPr>
        <sz val="10"/>
        <rFont val="맑은 고딕"/>
        <family val="0"/>
        <charset val="1"/>
      </rPr>
      <t xml:space="preserve">8</t>
    </r>
  </si>
  <si>
    <t xml:space="preserve">경북휴먼테크고등학교</t>
  </si>
  <si>
    <t xml:space="preserve">054-333-3611</t>
  </si>
  <si>
    <t xml:space="preserve">http://school.gyo6.net/khumantech</t>
  </si>
  <si>
    <r>
      <rPr>
        <sz val="10"/>
        <rFont val="Noto Sans CJK SC"/>
        <family val="2"/>
      </rPr>
      <t xml:space="preserve">경상북도 영천시 금호읍 교대길 </t>
    </r>
    <r>
      <rPr>
        <sz val="10"/>
        <rFont val="맑은 고딕"/>
        <family val="0"/>
        <charset val="1"/>
      </rPr>
      <t xml:space="preserve">8-18</t>
    </r>
  </si>
  <si>
    <t xml:space="preserve">영천전자고등학교</t>
  </si>
  <si>
    <t xml:space="preserve">054-337-3505</t>
  </si>
  <si>
    <t xml:space="preserve">http://school.gyo6.net/yeongcheon-e</t>
  </si>
  <si>
    <r>
      <rPr>
        <sz val="10"/>
        <rFont val="Noto Sans CJK SC"/>
        <family val="2"/>
      </rPr>
      <t xml:space="preserve">경상북도 영천시 화남면 천문로 </t>
    </r>
    <r>
      <rPr>
        <sz val="10"/>
        <rFont val="맑은 고딕"/>
        <family val="0"/>
        <charset val="1"/>
      </rPr>
      <t xml:space="preserve">1709</t>
    </r>
  </si>
  <si>
    <t xml:space="preserve">경북소프트웨어마이스터고등학교</t>
  </si>
  <si>
    <t xml:space="preserve">054-832-2903</t>
  </si>
  <si>
    <t xml:space="preserve">http://school.gyo6.net/gbsw</t>
  </si>
  <si>
    <r>
      <rPr>
        <sz val="10"/>
        <rFont val="Noto Sans CJK SC"/>
        <family val="2"/>
      </rPr>
      <t xml:space="preserve">경상북도 의성군 봉양면 봉호로 </t>
    </r>
    <r>
      <rPr>
        <sz val="10"/>
        <rFont val="맑은 고딕"/>
        <family val="0"/>
        <charset val="1"/>
      </rPr>
      <t xml:space="preserve">14</t>
    </r>
  </si>
  <si>
    <t xml:space="preserve">청도군</t>
  </si>
  <si>
    <t xml:space="preserve">이서고등학교</t>
  </si>
  <si>
    <t xml:space="preserve">054-372-4593</t>
  </si>
  <si>
    <t xml:space="preserve">http://school.gyo6.net/eseohhs</t>
  </si>
  <si>
    <r>
      <rPr>
        <sz val="10"/>
        <rFont val="Noto Sans CJK SC"/>
        <family val="2"/>
      </rPr>
      <t xml:space="preserve">경상북도 청도군 이서면 학산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22</t>
    </r>
  </si>
  <si>
    <t xml:space="preserve">동지고등학교</t>
  </si>
  <si>
    <t xml:space="preserve">054-244-7003</t>
  </si>
  <si>
    <t xml:space="preserve">http://school.gyo6.net/dongjihs</t>
  </si>
  <si>
    <r>
      <rPr>
        <sz val="10"/>
        <rFont val="Noto Sans CJK SC"/>
        <family val="2"/>
      </rPr>
      <t xml:space="preserve">경상북도 포항시 북구 용흥로 </t>
    </r>
    <r>
      <rPr>
        <sz val="10"/>
        <rFont val="맑은 고딕"/>
        <family val="0"/>
        <charset val="1"/>
      </rPr>
      <t xml:space="preserve">123</t>
    </r>
  </si>
  <si>
    <t xml:space="preserve">유성여자고등학교</t>
  </si>
  <si>
    <t xml:space="preserve">054-246-2315</t>
  </si>
  <si>
    <t xml:space="preserve">http://school.gyo6.net/yuseong-g</t>
  </si>
  <si>
    <r>
      <rPr>
        <sz val="10"/>
        <rFont val="Noto Sans CJK SC"/>
        <family val="2"/>
      </rPr>
      <t xml:space="preserve">경상북도 포항시 북구 우창로 </t>
    </r>
    <r>
      <rPr>
        <sz val="10"/>
        <rFont val="맑은 고딕"/>
        <family val="0"/>
        <charset val="1"/>
      </rPr>
      <t xml:space="preserve">43</t>
    </r>
  </si>
  <si>
    <t xml:space="preserve">포항동성고등학교</t>
  </si>
  <si>
    <t xml:space="preserve">054-286-3009</t>
  </si>
  <si>
    <t xml:space="preserve">http://school.gyo6.net/phds</t>
  </si>
  <si>
    <r>
      <rPr>
        <sz val="10"/>
        <rFont val="Noto Sans CJK SC"/>
        <family val="2"/>
      </rPr>
      <t xml:space="preserve">경상북도 포항시 남구 동해면 일월로</t>
    </r>
    <r>
      <rPr>
        <sz val="10"/>
        <rFont val="맑은 고딕"/>
        <family val="0"/>
        <charset val="1"/>
      </rPr>
      <t xml:space="preserve">41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26</t>
    </r>
  </si>
  <si>
    <t xml:space="preserve">포항제철공업고등학교</t>
  </si>
  <si>
    <t xml:space="preserve">054-279-4613</t>
  </si>
  <si>
    <t xml:space="preserve">http://school.gyo6.net/pocheoltechhs</t>
  </si>
  <si>
    <t xml:space="preserve">포항명도학교</t>
  </si>
  <si>
    <t xml:space="preserve">054-248-5370</t>
  </si>
  <si>
    <t xml:space="preserve">http://school.gyo6.net/phmd</t>
  </si>
  <si>
    <r>
      <rPr>
        <sz val="10"/>
        <rFont val="Noto Sans CJK SC"/>
        <family val="2"/>
      </rPr>
      <t xml:space="preserve">경상북도 포항시 북구 소티재로 </t>
    </r>
    <r>
      <rPr>
        <sz val="10"/>
        <rFont val="맑은 고딕"/>
        <family val="0"/>
        <charset val="1"/>
      </rPr>
      <t xml:space="preserve">133</t>
    </r>
  </si>
  <si>
    <t xml:space="preserve">구미문성초등학교</t>
  </si>
  <si>
    <t xml:space="preserve">054-605-7000</t>
  </si>
  <si>
    <t xml:space="preserve">http://school.gyo6.net/gmsung</t>
  </si>
  <si>
    <r>
      <rPr>
        <sz val="10"/>
        <rFont val="Noto Sans CJK SC"/>
        <family val="2"/>
      </rPr>
      <t xml:space="preserve">경상북도 구미시 고아읍 들성로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13</t>
    </r>
  </si>
  <si>
    <t xml:space="preserve">구미봉곡초등학교</t>
  </si>
  <si>
    <t xml:space="preserve">054-454-7026</t>
  </si>
  <si>
    <t xml:space="preserve">http://school.gyo6.net/bonggokes</t>
  </si>
  <si>
    <r>
      <rPr>
        <sz val="10"/>
        <rFont val="Noto Sans CJK SC"/>
        <family val="2"/>
      </rPr>
      <t xml:space="preserve">경상북도 구미시 봉곡남로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23</t>
    </r>
  </si>
  <si>
    <t xml:space="preserve">구미사곡초등학교</t>
  </si>
  <si>
    <t xml:space="preserve">054-463-2162</t>
  </si>
  <si>
    <t xml:space="preserve">http://school.gyo6.net/gumisagok</t>
  </si>
  <si>
    <r>
      <rPr>
        <sz val="10"/>
        <rFont val="Noto Sans CJK SC"/>
        <family val="2"/>
      </rPr>
      <t xml:space="preserve">경상북도 구미시 상사동로</t>
    </r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9</t>
    </r>
  </si>
  <si>
    <t xml:space="preserve">구미인덕초등학교</t>
  </si>
  <si>
    <t xml:space="preserve">054-714-3280</t>
  </si>
  <si>
    <t xml:space="preserve">http://school.gyo6.net/gmindeokes</t>
  </si>
  <si>
    <r>
      <rPr>
        <sz val="10"/>
        <rFont val="Noto Sans CJK SC"/>
        <family val="2"/>
      </rPr>
      <t xml:space="preserve">경상북도 구미시 산동읍 신당인덕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25</t>
    </r>
  </si>
  <si>
    <t xml:space="preserve">054-455-2095</t>
  </si>
  <si>
    <t xml:space="preserve">http://school.gyo6.net/dosan</t>
  </si>
  <si>
    <r>
      <rPr>
        <sz val="10"/>
        <rFont val="Noto Sans CJK SC"/>
        <family val="2"/>
      </rPr>
      <t xml:space="preserve">경상북도 구미시 문장로 </t>
    </r>
    <r>
      <rPr>
        <sz val="10"/>
        <rFont val="맑은 고딕"/>
        <family val="0"/>
        <charset val="1"/>
      </rPr>
      <t xml:space="preserve">100</t>
    </r>
  </si>
  <si>
    <t xml:space="preserve">선주초등학교</t>
  </si>
  <si>
    <t xml:space="preserve">054-442-7505</t>
  </si>
  <si>
    <t xml:space="preserve">http://school.gyo6.net/seonju</t>
  </si>
  <si>
    <r>
      <rPr>
        <sz val="10"/>
        <rFont val="Noto Sans CJK SC"/>
        <family val="2"/>
      </rPr>
      <t xml:space="preserve">경상북도 구미시 봉곡로 </t>
    </r>
    <r>
      <rPr>
        <sz val="10"/>
        <rFont val="맑은 고딕"/>
        <family val="0"/>
        <charset val="1"/>
      </rPr>
      <t xml:space="preserve">134</t>
    </r>
  </si>
  <si>
    <t xml:space="preserve">054-455-6511</t>
  </si>
  <si>
    <t xml:space="preserve">http://school.gyo6.net/songjeung</t>
  </si>
  <si>
    <r>
      <rPr>
        <sz val="10"/>
        <rFont val="Noto Sans CJK SC"/>
        <family val="2"/>
      </rPr>
      <t xml:space="preserve">경상북도 구미시 송정대로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72-6</t>
    </r>
  </si>
  <si>
    <t xml:space="preserve">양포초등학교</t>
  </si>
  <si>
    <t xml:space="preserve">054-475-1455</t>
  </si>
  <si>
    <t xml:space="preserve">http://school.gyo6.net/yangpo</t>
  </si>
  <si>
    <r>
      <rPr>
        <sz val="10"/>
        <rFont val="Noto Sans CJK SC"/>
        <family val="2"/>
      </rPr>
      <t xml:space="preserve">경상북도 구미시 흥안로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30</t>
    </r>
  </si>
  <si>
    <t xml:space="preserve">옥계동부초등학교</t>
  </si>
  <si>
    <t xml:space="preserve">054-474-5323</t>
  </si>
  <si>
    <t xml:space="preserve">http://school.gyo6.net/okgyedongbues</t>
  </si>
  <si>
    <r>
      <rPr>
        <sz val="10"/>
        <rFont val="Noto Sans CJK SC"/>
        <family val="2"/>
      </rPr>
      <t xml:space="preserve">경상북도 구미시 옥계북로 </t>
    </r>
    <r>
      <rPr>
        <sz val="10"/>
        <rFont val="맑은 고딕"/>
        <family val="0"/>
        <charset val="1"/>
      </rPr>
      <t xml:space="preserve">89</t>
    </r>
  </si>
  <si>
    <t xml:space="preserve">원호초등학교</t>
  </si>
  <si>
    <t xml:space="preserve">054-443-5204</t>
  </si>
  <si>
    <t xml:space="preserve">http://school.gyo6.net/wonho</t>
  </si>
  <si>
    <r>
      <rPr>
        <sz val="10"/>
        <rFont val="Noto Sans CJK SC"/>
        <family val="2"/>
      </rPr>
      <t xml:space="preserve">경상북도 구미시 고아읍 문장로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58</t>
    </r>
  </si>
  <si>
    <t xml:space="preserve">해마루초등학교</t>
  </si>
  <si>
    <t xml:space="preserve">054-473-2215</t>
  </si>
  <si>
    <t xml:space="preserve">http://school.gyo6.net/haemaru</t>
  </si>
  <si>
    <r>
      <rPr>
        <sz val="10"/>
        <rFont val="Noto Sans CJK SC"/>
        <family val="2"/>
      </rPr>
      <t xml:space="preserve">경상북도 구미시 산호대로 </t>
    </r>
    <r>
      <rPr>
        <sz val="10"/>
        <rFont val="맑은 고딕"/>
        <family val="0"/>
        <charset val="1"/>
      </rPr>
      <t xml:space="preserve">953</t>
    </r>
  </si>
  <si>
    <t xml:space="preserve">도개중학교</t>
  </si>
  <si>
    <t xml:space="preserve">인동중학교</t>
  </si>
  <si>
    <t xml:space="preserve">054-471-1700</t>
  </si>
  <si>
    <t xml:space="preserve">http://school.gyo6.net/indongms</t>
  </si>
  <si>
    <r>
      <rPr>
        <sz val="10"/>
        <rFont val="Noto Sans CJK SC"/>
        <family val="2"/>
      </rPr>
      <t xml:space="preserve">경상북도 구미시 여헌로</t>
    </r>
    <r>
      <rPr>
        <sz val="10"/>
        <rFont val="맑은 고딕"/>
        <family val="0"/>
        <charset val="1"/>
      </rPr>
      <t xml:space="preserve">14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17</t>
    </r>
  </si>
  <si>
    <t xml:space="preserve">대룡초등학교</t>
  </si>
  <si>
    <t xml:space="preserve">054-436-6116</t>
  </si>
  <si>
    <t xml:space="preserve">http://school.gyo6.net/bigdragon</t>
  </si>
  <si>
    <r>
      <rPr>
        <sz val="10"/>
        <rFont val="Noto Sans CJK SC"/>
        <family val="2"/>
      </rPr>
      <t xml:space="preserve">경상북도 김천시 대항면 대룡로 </t>
    </r>
    <r>
      <rPr>
        <sz val="10"/>
        <rFont val="맑은 고딕"/>
        <family val="0"/>
        <charset val="1"/>
      </rPr>
      <t xml:space="preserve">82</t>
    </r>
  </si>
  <si>
    <t xml:space="preserve">김천중학교</t>
  </si>
  <si>
    <t xml:space="preserve">054-433-0611</t>
  </si>
  <si>
    <t xml:space="preserve">http://school.gyo6.net/gimcheonms</t>
  </si>
  <si>
    <t xml:space="preserve">문성중학교</t>
  </si>
  <si>
    <t xml:space="preserve">054-436-8772</t>
  </si>
  <si>
    <t xml:space="preserve">http://school.gyo6.net/munseong</t>
  </si>
  <si>
    <r>
      <rPr>
        <sz val="10"/>
        <rFont val="Noto Sans CJK SC"/>
        <family val="2"/>
      </rPr>
      <t xml:space="preserve">경상북도 김천시 영남대로 </t>
    </r>
    <r>
      <rPr>
        <sz val="10"/>
        <rFont val="맑은 고딕"/>
        <family val="0"/>
        <charset val="1"/>
      </rPr>
      <t xml:space="preserve">1992-3</t>
    </r>
  </si>
  <si>
    <t xml:space="preserve">성의중학교</t>
  </si>
  <si>
    <t xml:space="preserve">054-436-2813</t>
  </si>
  <si>
    <t xml:space="preserve">http://school.gyo6.net/seongui1901</t>
  </si>
  <si>
    <r>
      <rPr>
        <sz val="10"/>
        <rFont val="Noto Sans CJK SC"/>
        <family val="2"/>
      </rPr>
      <t xml:space="preserve">경상북도 김천시 성의길 </t>
    </r>
    <r>
      <rPr>
        <sz val="10"/>
        <rFont val="맑은 고딕"/>
        <family val="0"/>
        <charset val="1"/>
      </rPr>
      <t xml:space="preserve">38</t>
    </r>
  </si>
  <si>
    <r>
      <rPr>
        <sz val="10"/>
        <rFont val="Noto Sans CJK SC"/>
        <family val="2"/>
      </rPr>
      <t xml:space="preserve">명단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성의여자중</t>
    </r>
    <r>
      <rPr>
        <sz val="10"/>
        <rFont val="맑은 고딕"/>
        <family val="0"/>
        <charset val="1"/>
      </rPr>
      <t xml:space="preserve">" → </t>
    </r>
    <r>
      <rPr>
        <sz val="10"/>
        <rFont val="Noto Sans CJK SC"/>
        <family val="2"/>
      </rPr>
      <t xml:space="preserve">나이스 교명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성의중학교</t>
    </r>
    <r>
      <rPr>
        <sz val="10"/>
        <rFont val="맑은 고딕"/>
        <family val="0"/>
        <charset val="1"/>
      </rPr>
      <t xml:space="preserve">"</t>
    </r>
  </si>
  <si>
    <t xml:space="preserve">지품천중학교</t>
  </si>
  <si>
    <t xml:space="preserve">054-433-9712</t>
  </si>
  <si>
    <t xml:space="preserve">http://school.gyo6.net/jpcm</t>
  </si>
  <si>
    <r>
      <rPr>
        <sz val="10"/>
        <rFont val="Noto Sans CJK SC"/>
        <family val="2"/>
      </rPr>
      <t xml:space="preserve">경상북도 김천시 대덕면 대덕로 </t>
    </r>
    <r>
      <rPr>
        <sz val="10"/>
        <rFont val="맑은 고딕"/>
        <family val="0"/>
        <charset val="1"/>
      </rPr>
      <t xml:space="preserve">731</t>
    </r>
  </si>
  <si>
    <t xml:space="preserve">한일여자중학교</t>
  </si>
  <si>
    <t xml:space="preserve">054-431-7021</t>
  </si>
  <si>
    <t xml:space="preserve">http://school.gyo6.net/han</t>
  </si>
  <si>
    <r>
      <rPr>
        <sz val="10"/>
        <rFont val="Noto Sans CJK SC"/>
        <family val="2"/>
      </rPr>
      <t xml:space="preserve">경상북도 김천시 한일길 </t>
    </r>
    <r>
      <rPr>
        <sz val="10"/>
        <rFont val="맑은 고딕"/>
        <family val="0"/>
        <charset val="1"/>
      </rPr>
      <t xml:space="preserve">11-30</t>
    </r>
  </si>
  <si>
    <t xml:space="preserve">동로초등학교</t>
  </si>
  <si>
    <t xml:space="preserve">054-553-8234</t>
  </si>
  <si>
    <t xml:space="preserve">http://school.gyo6.net/dongro</t>
  </si>
  <si>
    <r>
      <rPr>
        <sz val="10"/>
        <rFont val="Noto Sans CJK SC"/>
        <family val="2"/>
      </rPr>
      <t xml:space="preserve">경상북도 문경시 동로면 노은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</t>
    </r>
  </si>
  <si>
    <t xml:space="preserve">모전초등학교</t>
  </si>
  <si>
    <t xml:space="preserve">054-555-0272</t>
  </si>
  <si>
    <t xml:space="preserve">http://school.gyo6.net/mojeon</t>
  </si>
  <si>
    <r>
      <rPr>
        <sz val="10"/>
        <rFont val="Noto Sans CJK SC"/>
        <family val="2"/>
      </rPr>
      <t xml:space="preserve">경상북도 문경시 매봉로 </t>
    </r>
    <r>
      <rPr>
        <sz val="10"/>
        <rFont val="맑은 고딕"/>
        <family val="0"/>
        <charset val="1"/>
      </rPr>
      <t xml:space="preserve">75</t>
    </r>
  </si>
  <si>
    <t xml:space="preserve">문경초등학교</t>
  </si>
  <si>
    <t xml:space="preserve">054-572-1092</t>
  </si>
  <si>
    <t xml:space="preserve">http://school.gyo6.net/mungyeonges</t>
  </si>
  <si>
    <r>
      <rPr>
        <sz val="10"/>
        <rFont val="Noto Sans CJK SC"/>
        <family val="2"/>
      </rPr>
      <t xml:space="preserve">경상북도 문경시 문경읍 청운로 </t>
    </r>
    <r>
      <rPr>
        <sz val="10"/>
        <rFont val="맑은 고딕"/>
        <family val="0"/>
        <charset val="1"/>
      </rPr>
      <t xml:space="preserve">23</t>
    </r>
  </si>
  <si>
    <t xml:space="preserve">054-553-4128</t>
  </si>
  <si>
    <t xml:space="preserve">http://school.gyo6.net/singie</t>
  </si>
  <si>
    <r>
      <rPr>
        <sz val="10"/>
        <rFont val="Noto Sans CJK SC"/>
        <family val="2"/>
      </rPr>
      <t xml:space="preserve">경상북도 문경시 신기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15</t>
    </r>
  </si>
  <si>
    <t xml:space="preserve">점촌북초등학교</t>
  </si>
  <si>
    <t xml:space="preserve">054-553-5041</t>
  </si>
  <si>
    <t xml:space="preserve">http://school.gyo6.net/jeomchonbuk</t>
  </si>
  <si>
    <r>
      <rPr>
        <sz val="10"/>
        <rFont val="Noto Sans CJK SC"/>
        <family val="2"/>
      </rPr>
      <t xml:space="preserve">경상북도 문경시 유곡불정로 </t>
    </r>
    <r>
      <rPr>
        <sz val="10"/>
        <rFont val="맑은 고딕"/>
        <family val="0"/>
        <charset val="1"/>
      </rPr>
      <t xml:space="preserve">154</t>
    </r>
  </si>
  <si>
    <t xml:space="preserve">물야초등학교</t>
  </si>
  <si>
    <t xml:space="preserve">054-672-2009</t>
  </si>
  <si>
    <t xml:space="preserve">http://school.gyo6.net/mulyaes</t>
  </si>
  <si>
    <r>
      <rPr>
        <sz val="10"/>
        <rFont val="Noto Sans CJK SC"/>
        <family val="2"/>
      </rPr>
      <t xml:space="preserve">경상북도 봉화군 물야면 오록길 </t>
    </r>
    <r>
      <rPr>
        <sz val="10"/>
        <rFont val="맑은 고딕"/>
        <family val="0"/>
        <charset val="1"/>
      </rPr>
      <t xml:space="preserve">25</t>
    </r>
  </si>
  <si>
    <t xml:space="preserve">상산초등학교</t>
  </si>
  <si>
    <t xml:space="preserve">054-532-3851</t>
  </si>
  <si>
    <t xml:space="preserve">http://school.gyo6.net/sangsanes</t>
  </si>
  <si>
    <r>
      <rPr>
        <sz val="10"/>
        <rFont val="Noto Sans CJK SC"/>
        <family val="2"/>
      </rPr>
      <t xml:space="preserve">경상북도 상주시 왕산로 </t>
    </r>
    <r>
      <rPr>
        <sz val="10"/>
        <rFont val="맑은 고딕"/>
        <family val="0"/>
        <charset val="1"/>
      </rPr>
      <t xml:space="preserve">374</t>
    </r>
  </si>
  <si>
    <t xml:space="preserve">은척초등학교</t>
  </si>
  <si>
    <t xml:space="preserve">054-541-3405</t>
  </si>
  <si>
    <t xml:space="preserve">http://school.gyo6.net/euncheok</t>
  </si>
  <si>
    <r>
      <rPr>
        <sz val="10"/>
        <rFont val="Noto Sans CJK SC"/>
        <family val="2"/>
      </rPr>
      <t xml:space="preserve">경상북도 상주시 은척면 봉중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10</t>
    </r>
  </si>
  <si>
    <t xml:space="preserve">중동초등학교</t>
  </si>
  <si>
    <t xml:space="preserve">054-532-9505</t>
  </si>
  <si>
    <t xml:space="preserve">http://school.gyo6.net/sjjungdong</t>
  </si>
  <si>
    <r>
      <rPr>
        <sz val="10"/>
        <rFont val="Noto Sans CJK SC"/>
        <family val="2"/>
      </rPr>
      <t xml:space="preserve">경상북도 상주시 중동면 오상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17-4</t>
    </r>
  </si>
  <si>
    <t xml:space="preserve">함창초등학교</t>
  </si>
  <si>
    <t xml:space="preserve">054-541-3016</t>
  </si>
  <si>
    <t xml:space="preserve">http://school.gyo6.net/hamchanges</t>
  </si>
  <si>
    <r>
      <rPr>
        <sz val="10"/>
        <rFont val="Noto Sans CJK SC"/>
        <family val="2"/>
      </rPr>
      <t xml:space="preserve">경상북도 상주시 함창읍 구향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38</t>
    </r>
  </si>
  <si>
    <t xml:space="preserve">함창중학교</t>
  </si>
  <si>
    <t xml:space="preserve">054-541-2296</t>
  </si>
  <si>
    <t xml:space="preserve">http://school.gyo6.net/hamchangms</t>
  </si>
  <si>
    <t xml:space="preserve">풍북초등학교</t>
  </si>
  <si>
    <t xml:space="preserve">054-858-6432</t>
  </si>
  <si>
    <t xml:space="preserve">http://school.gyo6.net/pb</t>
  </si>
  <si>
    <r>
      <rPr>
        <sz val="10"/>
        <rFont val="Noto Sans CJK SC"/>
        <family val="2"/>
      </rPr>
      <t xml:space="preserve">경상북도 안동시 풍산읍 괴정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21-14</t>
    </r>
  </si>
  <si>
    <t xml:space="preserve">풍산중학교</t>
  </si>
  <si>
    <t xml:space="preserve">054-858-6802</t>
  </si>
  <si>
    <t xml:space="preserve">http://school.gyo6.net/poongsanms</t>
  </si>
  <si>
    <r>
      <rPr>
        <sz val="10"/>
        <rFont val="Noto Sans CJK SC"/>
        <family val="2"/>
      </rPr>
      <t xml:space="preserve">경상북도 안동시 풍산읍 풍산중앙길 </t>
    </r>
    <r>
      <rPr>
        <sz val="10"/>
        <rFont val="맑은 고딕"/>
        <family val="0"/>
        <charset val="1"/>
      </rPr>
      <t xml:space="preserve">39</t>
    </r>
  </si>
  <si>
    <t xml:space="preserve">영덕야성초등학교</t>
  </si>
  <si>
    <t xml:space="preserve">054-732-7714</t>
  </si>
  <si>
    <t xml:space="preserve">http://school.gyo6.net/yeongdeokyasung</t>
  </si>
  <si>
    <r>
      <rPr>
        <sz val="10"/>
        <rFont val="Noto Sans CJK SC"/>
        <family val="2"/>
      </rPr>
      <t xml:space="preserve">경상북도 영덕군 영덕읍 덕곡길 </t>
    </r>
    <r>
      <rPr>
        <sz val="10"/>
        <rFont val="맑은 고딕"/>
        <family val="0"/>
        <charset val="1"/>
      </rPr>
      <t xml:space="preserve">96</t>
    </r>
  </si>
  <si>
    <t xml:space="preserve">창수초등학교</t>
  </si>
  <si>
    <t xml:space="preserve">054-733-6015</t>
  </si>
  <si>
    <t xml:space="preserve">http://school.gyo6.net/changsu</t>
  </si>
  <si>
    <r>
      <rPr>
        <sz val="10"/>
        <rFont val="Noto Sans CJK SC"/>
        <family val="2"/>
      </rPr>
      <t xml:space="preserve">경상북도 영덕군 창수면 영양창수로 </t>
    </r>
    <r>
      <rPr>
        <sz val="10"/>
        <rFont val="맑은 고딕"/>
        <family val="0"/>
        <charset val="1"/>
      </rPr>
      <t xml:space="preserve">3184</t>
    </r>
  </si>
  <si>
    <t xml:space="preserve">영양교육지원청</t>
  </si>
  <si>
    <t xml:space="preserve">영양군</t>
  </si>
  <si>
    <t xml:space="preserve">영양초등학교</t>
  </si>
  <si>
    <t xml:space="preserve">054-683-2913</t>
  </si>
  <si>
    <t xml:space="preserve">http://school.gyo6.net/yeongyang</t>
  </si>
  <si>
    <r>
      <rPr>
        <sz val="10"/>
        <rFont val="Noto Sans CJK SC"/>
        <family val="2"/>
      </rPr>
      <t xml:space="preserve">경상북도 영양군 영양읍 군청길 </t>
    </r>
    <r>
      <rPr>
        <sz val="10"/>
        <rFont val="맑은 고딕"/>
        <family val="0"/>
        <charset val="1"/>
      </rPr>
      <t xml:space="preserve">25</t>
    </r>
  </si>
  <si>
    <t xml:space="preserve">일월초등학교</t>
  </si>
  <si>
    <t xml:space="preserve">054-682-5008</t>
  </si>
  <si>
    <t xml:space="preserve">http://school.gyo6.net/il-wol</t>
  </si>
  <si>
    <r>
      <rPr>
        <sz val="10"/>
        <rFont val="Noto Sans CJK SC"/>
        <family val="2"/>
      </rPr>
      <t xml:space="preserve">경상북도 영양군 일월면 영양로 </t>
    </r>
    <r>
      <rPr>
        <sz val="10"/>
        <rFont val="맑은 고딕"/>
        <family val="0"/>
        <charset val="1"/>
      </rPr>
      <t xml:space="preserve">2410</t>
    </r>
  </si>
  <si>
    <t xml:space="preserve">영주가흥초등학교</t>
  </si>
  <si>
    <t xml:space="preserve">054-630-0606</t>
  </si>
  <si>
    <t xml:space="preserve">http://school.gyo6.net/yjgh</t>
  </si>
  <si>
    <r>
      <rPr>
        <sz val="10"/>
        <rFont val="Noto Sans CJK SC"/>
        <family val="2"/>
      </rPr>
      <t xml:space="preserve">경상북도 영주시 대동로</t>
    </r>
    <r>
      <rPr>
        <sz val="10"/>
        <rFont val="맑은 고딕"/>
        <family val="0"/>
        <charset val="1"/>
      </rPr>
      <t xml:space="preserve">70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8-9</t>
    </r>
  </si>
  <si>
    <t xml:space="preserve">풍기초등학교</t>
  </si>
  <si>
    <t xml:space="preserve">054-636-2396</t>
  </si>
  <si>
    <t xml:space="preserve">http://school.gyo6.net/punggi</t>
  </si>
  <si>
    <r>
      <rPr>
        <sz val="10"/>
        <rFont val="Noto Sans CJK SC"/>
        <family val="2"/>
      </rPr>
      <t xml:space="preserve">경상북도 영주시 풍기읍 기주로 </t>
    </r>
    <r>
      <rPr>
        <sz val="10"/>
        <rFont val="맑은 고딕"/>
        <family val="0"/>
        <charset val="1"/>
      </rPr>
      <t xml:space="preserve">110</t>
    </r>
  </si>
  <si>
    <t xml:space="preserve">영광중학교</t>
  </si>
  <si>
    <t xml:space="preserve">054-630-3100</t>
  </si>
  <si>
    <t xml:space="preserve">http://school.gyo6.net/yeonggwang</t>
  </si>
  <si>
    <r>
      <rPr>
        <sz val="10"/>
        <rFont val="Noto Sans CJK SC"/>
        <family val="2"/>
      </rPr>
      <t xml:space="preserve">경상북도 영주시 광복로 </t>
    </r>
    <r>
      <rPr>
        <sz val="10"/>
        <rFont val="맑은 고딕"/>
        <family val="0"/>
        <charset val="1"/>
      </rPr>
      <t xml:space="preserve">17</t>
    </r>
  </si>
  <si>
    <t xml:space="preserve">영주중학교</t>
  </si>
  <si>
    <t xml:space="preserve">054-700-0546</t>
  </si>
  <si>
    <t xml:space="preserve">http://school.gyo6.net/yeongju-m</t>
  </si>
  <si>
    <r>
      <rPr>
        <sz val="10"/>
        <rFont val="Noto Sans CJK SC"/>
        <family val="2"/>
      </rPr>
      <t xml:space="preserve">경상북도 영주시 남간로 </t>
    </r>
    <r>
      <rPr>
        <sz val="10"/>
        <rFont val="맑은 고딕"/>
        <family val="0"/>
        <charset val="1"/>
      </rPr>
      <t xml:space="preserve">29</t>
    </r>
  </si>
  <si>
    <t xml:space="preserve">단포초등학교</t>
  </si>
  <si>
    <t xml:space="preserve">054-335-2004</t>
  </si>
  <si>
    <t xml:space="preserve">http://school.gyo6.net/danpoes</t>
  </si>
  <si>
    <r>
      <rPr>
        <sz val="10"/>
        <rFont val="Noto Sans CJK SC"/>
        <family val="2"/>
      </rPr>
      <t xml:space="preserve">경상북도 영천시 고경면 호국로 </t>
    </r>
    <r>
      <rPr>
        <sz val="10"/>
        <rFont val="맑은 고딕"/>
        <family val="0"/>
        <charset val="1"/>
      </rPr>
      <t xml:space="preserve">343</t>
    </r>
  </si>
  <si>
    <t xml:space="preserve">포은초등학교</t>
  </si>
  <si>
    <t xml:space="preserve">054-338-1293</t>
  </si>
  <si>
    <t xml:space="preserve">http://school.gyo6.net/poeun</t>
  </si>
  <si>
    <r>
      <rPr>
        <sz val="10"/>
        <rFont val="Noto Sans CJK SC"/>
        <family val="2"/>
      </rPr>
      <t xml:space="preserve">경상북도 영천시 망정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72</t>
    </r>
  </si>
  <si>
    <t xml:space="preserve">http://school.gyo6.net/gumhoms</t>
  </si>
  <si>
    <t xml:space="preserve">산동중학교</t>
  </si>
  <si>
    <t xml:space="preserve">054-337-3504</t>
  </si>
  <si>
    <t xml:space="preserve">http://school.gyo6.net/sandongms</t>
  </si>
  <si>
    <t xml:space="preserve">054-333-5532</t>
  </si>
  <si>
    <t xml:space="preserve">http://school.gyo6.net/youngdongms</t>
  </si>
  <si>
    <r>
      <rPr>
        <sz val="10"/>
        <rFont val="Noto Sans CJK SC"/>
        <family val="2"/>
      </rPr>
      <t xml:space="preserve">경상북도 영천시 안야사길 </t>
    </r>
    <r>
      <rPr>
        <sz val="10"/>
        <rFont val="맑은 고딕"/>
        <family val="0"/>
        <charset val="1"/>
      </rPr>
      <t xml:space="preserve">13</t>
    </r>
  </si>
  <si>
    <t xml:space="preserve">예천교육지원청</t>
  </si>
  <si>
    <t xml:space="preserve">예천초등학교</t>
  </si>
  <si>
    <t xml:space="preserve">054-653-1683</t>
  </si>
  <si>
    <t xml:space="preserve">http://school.gyo6.net/yecheones</t>
  </si>
  <si>
    <r>
      <rPr>
        <sz val="10"/>
        <rFont val="Noto Sans CJK SC"/>
        <family val="2"/>
      </rPr>
      <t xml:space="preserve">경상북도 예천군 예천읍 효자로 </t>
    </r>
    <r>
      <rPr>
        <sz val="10"/>
        <rFont val="맑은 고딕"/>
        <family val="0"/>
        <charset val="1"/>
      </rPr>
      <t xml:space="preserve">43</t>
    </r>
  </si>
  <si>
    <t xml:space="preserve">호명초등학교</t>
  </si>
  <si>
    <t xml:space="preserve">054-522-7890</t>
  </si>
  <si>
    <t xml:space="preserve">http://school.gyo6.net/homyeong</t>
  </si>
  <si>
    <r>
      <rPr>
        <sz val="10"/>
        <rFont val="Noto Sans CJK SC"/>
        <family val="2"/>
      </rPr>
      <t xml:space="preserve">경상북도 예천군 호명읍 행복로 </t>
    </r>
    <r>
      <rPr>
        <sz val="10"/>
        <rFont val="맑은 고딕"/>
        <family val="0"/>
        <charset val="1"/>
      </rPr>
      <t xml:space="preserve">151</t>
    </r>
  </si>
  <si>
    <t xml:space="preserve">기성초등학교</t>
  </si>
  <si>
    <t xml:space="preserve">054-787-6010</t>
  </si>
  <si>
    <t xml:space="preserve">http://school.gyo6.net/e-kiseonges</t>
  </si>
  <si>
    <r>
      <rPr>
        <sz val="10"/>
        <rFont val="Noto Sans CJK SC"/>
        <family val="2"/>
      </rPr>
      <t xml:space="preserve">경상북도 울진군 기성면 척산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24-5</t>
    </r>
  </si>
  <si>
    <t xml:space="preserve">부구초등학교</t>
  </si>
  <si>
    <t xml:space="preserve">054-782-0211</t>
  </si>
  <si>
    <t xml:space="preserve">http://school.gyo6.net/bugues</t>
  </si>
  <si>
    <r>
      <rPr>
        <sz val="10"/>
        <rFont val="Noto Sans CJK SC"/>
        <family val="2"/>
      </rPr>
      <t xml:space="preserve">경상북도 울진군 북면 울진북로 </t>
    </r>
    <r>
      <rPr>
        <sz val="10"/>
        <rFont val="맑은 고딕"/>
        <family val="0"/>
        <charset val="1"/>
      </rPr>
      <t xml:space="preserve">2081</t>
    </r>
  </si>
  <si>
    <t xml:space="preserve">구천초등학교</t>
  </si>
  <si>
    <t xml:space="preserve">054-861-2227</t>
  </si>
  <si>
    <t xml:space="preserve">http://school.gyo6.net/guchunes</t>
  </si>
  <si>
    <r>
      <rPr>
        <sz val="10"/>
        <rFont val="Noto Sans CJK SC"/>
        <family val="2"/>
      </rPr>
      <t xml:space="preserve">경상북도 의성군 구천면 소보안계로 </t>
    </r>
    <r>
      <rPr>
        <sz val="10"/>
        <rFont val="맑은 고딕"/>
        <family val="0"/>
        <charset val="1"/>
      </rPr>
      <t xml:space="preserve">1616</t>
    </r>
  </si>
  <si>
    <t xml:space="preserve">비안초등학교</t>
  </si>
  <si>
    <t xml:space="preserve">054-861-7015</t>
  </si>
  <si>
    <t xml:space="preserve">http://school.gyo6.net/bian</t>
  </si>
  <si>
    <r>
      <rPr>
        <sz val="10"/>
        <rFont val="Noto Sans CJK SC"/>
        <family val="2"/>
      </rPr>
      <t xml:space="preserve">경상북도 의성군 비안면 강변길 </t>
    </r>
    <r>
      <rPr>
        <sz val="10"/>
        <rFont val="맑은 고딕"/>
        <family val="0"/>
        <charset val="1"/>
      </rPr>
      <t xml:space="preserve">105</t>
    </r>
  </si>
  <si>
    <t xml:space="preserve">청도교육지원청</t>
  </si>
  <si>
    <t xml:space="preserve">남성현초등학교</t>
  </si>
  <si>
    <t xml:space="preserve">054-373-1855</t>
  </si>
  <si>
    <t xml:space="preserve">http://school.gyo6.net/nsh</t>
  </si>
  <si>
    <r>
      <rPr>
        <sz val="10"/>
        <rFont val="Noto Sans CJK SC"/>
        <family val="2"/>
      </rPr>
      <t xml:space="preserve">경상북도 청도군 화양읍 남성현로 </t>
    </r>
    <r>
      <rPr>
        <sz val="10"/>
        <rFont val="맑은 고딕"/>
        <family val="0"/>
        <charset val="1"/>
      </rPr>
      <t xml:space="preserve">473-11</t>
    </r>
  </si>
  <si>
    <t xml:space="preserve">이서초등학교</t>
  </si>
  <si>
    <t xml:space="preserve">054-372-4087</t>
  </si>
  <si>
    <t xml:space="preserve">http://school.gyo6.net/iseo</t>
  </si>
  <si>
    <r>
      <rPr>
        <sz val="10"/>
        <rFont val="Noto Sans CJK SC"/>
        <family val="2"/>
      </rPr>
      <t xml:space="preserve">경상북도 청도군 이서면 학산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56</t>
    </r>
  </si>
  <si>
    <t xml:space="preserve">이서중학교</t>
  </si>
  <si>
    <t xml:space="preserve">054-372-4592</t>
  </si>
  <si>
    <t xml:space="preserve">http://school.gyo6.net/eseoms</t>
  </si>
  <si>
    <t xml:space="preserve">청도중학교</t>
  </si>
  <si>
    <t xml:space="preserve">054-372-9336</t>
  </si>
  <si>
    <t xml:space="preserve">http://cheongdo.ms.kr</t>
  </si>
  <si>
    <r>
      <rPr>
        <sz val="10"/>
        <rFont val="Noto Sans CJK SC"/>
        <family val="2"/>
      </rPr>
      <t xml:space="preserve">경상북도 청도군 청도읍 청화로 </t>
    </r>
    <r>
      <rPr>
        <sz val="10"/>
        <rFont val="맑은 고딕"/>
        <family val="0"/>
        <charset val="1"/>
      </rPr>
      <t xml:space="preserve">219-21</t>
    </r>
  </si>
  <si>
    <t xml:space="preserve">청송교육지원청</t>
  </si>
  <si>
    <t xml:space="preserve">청송군</t>
  </si>
  <si>
    <t xml:space="preserve">진성중학교</t>
  </si>
  <si>
    <t xml:space="preserve">054-874-2337</t>
  </si>
  <si>
    <t xml:space="preserve">http://school.gyo6.net/jin-sungms</t>
  </si>
  <si>
    <r>
      <rPr>
        <sz val="10"/>
        <rFont val="Noto Sans CJK SC"/>
        <family val="2"/>
      </rPr>
      <t xml:space="preserve">경상북도 청송군 진보면 못안길 </t>
    </r>
    <r>
      <rPr>
        <sz val="10"/>
        <rFont val="맑은 고딕"/>
        <family val="0"/>
        <charset val="1"/>
      </rPr>
      <t xml:space="preserve">33</t>
    </r>
  </si>
  <si>
    <t xml:space="preserve">북삼초등학교</t>
  </si>
  <si>
    <t xml:space="preserve">054-972-0270</t>
  </si>
  <si>
    <t xml:space="preserve">http://school.gyo6.net/buk-sames</t>
  </si>
  <si>
    <r>
      <rPr>
        <sz val="10"/>
        <rFont val="Noto Sans CJK SC"/>
        <family val="2"/>
      </rPr>
      <t xml:space="preserve">경상북도 칠곡군 북삼읍 인평중앙로 </t>
    </r>
    <r>
      <rPr>
        <sz val="10"/>
        <rFont val="맑은 고딕"/>
        <family val="0"/>
        <charset val="1"/>
      </rPr>
      <t xml:space="preserve">43</t>
    </r>
  </si>
  <si>
    <t xml:space="preserve">왜관동부초등학교</t>
  </si>
  <si>
    <t xml:space="preserve">054-973-7168</t>
  </si>
  <si>
    <t xml:space="preserve">http://school.gyo6.net/waedonges</t>
  </si>
  <si>
    <r>
      <rPr>
        <sz val="10"/>
        <rFont val="Noto Sans CJK SC"/>
        <family val="2"/>
      </rPr>
      <t xml:space="preserve">경상북도 칠곡군 왜관읍 평장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31-4</t>
    </r>
  </si>
  <si>
    <t xml:space="preserve">왜관중앙초등학교</t>
  </si>
  <si>
    <t xml:space="preserve">054-973-3412</t>
  </si>
  <si>
    <t xml:space="preserve">http://school.gyo6.net/wgja</t>
  </si>
  <si>
    <r>
      <rPr>
        <sz val="10"/>
        <rFont val="Noto Sans CJK SC"/>
        <family val="2"/>
      </rPr>
      <t xml:space="preserve">경상북도 칠곡군 왜관읍 석전로 </t>
    </r>
    <r>
      <rPr>
        <sz val="10"/>
        <rFont val="맑은 고딕"/>
        <family val="0"/>
        <charset val="1"/>
      </rPr>
      <t xml:space="preserve">80</t>
    </r>
  </si>
  <si>
    <t xml:space="preserve">인평초등학교</t>
  </si>
  <si>
    <t xml:space="preserve">054-975-4033</t>
  </si>
  <si>
    <t xml:space="preserve">http://school.gyo6.net/inpyounges</t>
  </si>
  <si>
    <r>
      <rPr>
        <sz val="10"/>
        <rFont val="Noto Sans CJK SC"/>
        <family val="2"/>
      </rPr>
      <t xml:space="preserve">경상북도 칠곡군 북삼읍 북삼로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10</t>
    </r>
  </si>
  <si>
    <t xml:space="preserve">북삼중학교</t>
  </si>
  <si>
    <t xml:space="preserve">054-975-8202</t>
  </si>
  <si>
    <t xml:space="preserve">http://school.gyo6.net/booksamms</t>
  </si>
  <si>
    <r>
      <rPr>
        <sz val="10"/>
        <rFont val="Noto Sans CJK SC"/>
        <family val="2"/>
      </rPr>
      <t xml:space="preserve">경상북도 칠곡군 북삼읍 북삼로 </t>
    </r>
    <r>
      <rPr>
        <sz val="10"/>
        <rFont val="맑은 고딕"/>
        <family val="0"/>
        <charset val="1"/>
      </rPr>
      <t xml:space="preserve">29</t>
    </r>
  </si>
  <si>
    <t xml:space="preserve">달전초등학교</t>
  </si>
  <si>
    <t xml:space="preserve">054-261-6836</t>
  </si>
  <si>
    <t xml:space="preserve">http://school.gyo6.net/daljeon</t>
  </si>
  <si>
    <r>
      <rPr>
        <sz val="10"/>
        <rFont val="Noto Sans CJK SC"/>
        <family val="2"/>
      </rPr>
      <t xml:space="preserve">경상북도 포항시 북구 흥해읍 이인로</t>
    </r>
    <r>
      <rPr>
        <sz val="10"/>
        <rFont val="맑은 고딕"/>
        <family val="0"/>
        <charset val="1"/>
      </rPr>
      <t xml:space="preserve">101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27-10</t>
    </r>
  </si>
  <si>
    <t xml:space="preserve">대해초등학교</t>
  </si>
  <si>
    <t xml:space="preserve">054-272-6317</t>
  </si>
  <si>
    <t xml:space="preserve">http://school.gyo6.net/daehae</t>
  </si>
  <si>
    <r>
      <rPr>
        <sz val="10"/>
        <rFont val="Noto Sans CJK SC"/>
        <family val="2"/>
      </rPr>
      <t xml:space="preserve">경상북도 포항시 남구 양학천로</t>
    </r>
    <r>
      <rPr>
        <sz val="10"/>
        <rFont val="맑은 고딕"/>
        <family val="0"/>
        <charset val="1"/>
      </rPr>
      <t xml:space="preserve">150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58</t>
    </r>
  </si>
  <si>
    <t xml:space="preserve">문충초등학교</t>
  </si>
  <si>
    <t xml:space="preserve">054-292-2239</t>
  </si>
  <si>
    <t xml:space="preserve">http://school.gyo6.net/munchung</t>
  </si>
  <si>
    <r>
      <rPr>
        <sz val="10"/>
        <rFont val="Noto Sans CJK SC"/>
        <family val="2"/>
      </rPr>
      <t xml:space="preserve">경상북도 포항시 남구 오천읍 정몽주로 </t>
    </r>
    <r>
      <rPr>
        <sz val="10"/>
        <rFont val="맑은 고딕"/>
        <family val="0"/>
        <charset val="1"/>
      </rPr>
      <t xml:space="preserve">49</t>
    </r>
  </si>
  <si>
    <t xml:space="preserve">054-243-0008</t>
  </si>
  <si>
    <t xml:space="preserve">http://school.gyo6.net/singwang</t>
  </si>
  <si>
    <r>
      <rPr>
        <sz val="10"/>
        <rFont val="Noto Sans CJK SC"/>
        <family val="2"/>
      </rPr>
      <t xml:space="preserve">경상북도 포항시 북구 신광면 토성길 </t>
    </r>
    <r>
      <rPr>
        <sz val="10"/>
        <rFont val="맑은 고딕"/>
        <family val="0"/>
        <charset val="1"/>
      </rPr>
      <t xml:space="preserve">31</t>
    </r>
  </si>
  <si>
    <t xml:space="preserve">양서초등학교</t>
  </si>
  <si>
    <t xml:space="preserve">054-250-7600</t>
  </si>
  <si>
    <t xml:space="preserve">http://school.gyo6.net/yangseo</t>
  </si>
  <si>
    <r>
      <rPr>
        <sz val="10"/>
        <rFont val="Noto Sans CJK SC"/>
        <family val="2"/>
      </rPr>
      <t xml:space="preserve">경상북도 포항시 북구 천마로 </t>
    </r>
    <r>
      <rPr>
        <sz val="10"/>
        <rFont val="맑은 고딕"/>
        <family val="0"/>
        <charset val="1"/>
      </rPr>
      <t xml:space="preserve">89</t>
    </r>
  </si>
  <si>
    <t xml:space="preserve">054-275-0437</t>
  </si>
  <si>
    <t xml:space="preserve">http://school.gyo6.net/edong</t>
  </si>
  <si>
    <r>
      <rPr>
        <sz val="10"/>
        <rFont val="Noto Sans CJK SC"/>
        <family val="2"/>
      </rPr>
      <t xml:space="preserve">경상북도 포항시 남구 포스코대로 </t>
    </r>
    <r>
      <rPr>
        <sz val="10"/>
        <rFont val="맑은 고딕"/>
        <family val="0"/>
        <charset val="1"/>
      </rPr>
      <t xml:space="preserve">147-10</t>
    </r>
  </si>
  <si>
    <t xml:space="preserve">죽도초등학교</t>
  </si>
  <si>
    <t xml:space="preserve">054-274-2612</t>
  </si>
  <si>
    <t xml:space="preserve">http://school.gyo6.net/jukdo</t>
  </si>
  <si>
    <r>
      <rPr>
        <sz val="10"/>
        <rFont val="Noto Sans CJK SC"/>
        <family val="2"/>
      </rPr>
      <t xml:space="preserve">경상북도 포항시 북구 중흥로 </t>
    </r>
    <r>
      <rPr>
        <sz val="10"/>
        <rFont val="맑은 고딕"/>
        <family val="0"/>
        <charset val="1"/>
      </rPr>
      <t xml:space="preserve">195</t>
    </r>
  </si>
  <si>
    <t xml:space="preserve">초서초등학교</t>
  </si>
  <si>
    <t xml:space="preserve">054-613-7000</t>
  </si>
  <si>
    <t xml:space="preserve">http://school.gyo6.net/choseo</t>
  </si>
  <si>
    <r>
      <rPr>
        <sz val="10"/>
        <rFont val="Noto Sans CJK SC"/>
        <family val="2"/>
      </rPr>
      <t xml:space="preserve">경상북도 포항시 북구 흥해읍 초곡지구로 </t>
    </r>
    <r>
      <rPr>
        <sz val="10"/>
        <rFont val="맑은 고딕"/>
        <family val="0"/>
        <charset val="1"/>
      </rPr>
      <t xml:space="preserve">152</t>
    </r>
  </si>
  <si>
    <t xml:space="preserve">포항송곡초등학교</t>
  </si>
  <si>
    <t xml:space="preserve">054-254-0063</t>
  </si>
  <si>
    <t xml:space="preserve">http://school.gyo6.net/phsges</t>
  </si>
  <si>
    <r>
      <rPr>
        <sz val="10"/>
        <rFont val="Noto Sans CJK SC"/>
        <family val="2"/>
      </rPr>
      <t xml:space="preserve">경상북도 포항시 북구 장량중앙로 </t>
    </r>
    <r>
      <rPr>
        <sz val="10"/>
        <rFont val="맑은 고딕"/>
        <family val="0"/>
        <charset val="1"/>
      </rPr>
      <t xml:space="preserve">27</t>
    </r>
  </si>
  <si>
    <t xml:space="preserve">포항원동초등학교</t>
  </si>
  <si>
    <t xml:space="preserve">054-291-3013</t>
  </si>
  <si>
    <t xml:space="preserve">http://school.gyo6.net/ph-one</t>
  </si>
  <si>
    <r>
      <rPr>
        <sz val="10"/>
        <rFont val="Noto Sans CJK SC"/>
        <family val="2"/>
      </rPr>
      <t xml:space="preserve">경상북도 포항시 남구 오천읍 냉천로</t>
    </r>
    <r>
      <rPr>
        <sz val="10"/>
        <rFont val="맑은 고딕"/>
        <family val="0"/>
        <charset val="1"/>
      </rPr>
      <t xml:space="preserve">340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64</t>
    </r>
  </si>
  <si>
    <t xml:space="preserve">포항제철지곡초등학교</t>
  </si>
  <si>
    <t xml:space="preserve">054-279-4020</t>
  </si>
  <si>
    <t xml:space="preserve">http://school.gyo6.net/posjigok</t>
  </si>
  <si>
    <r>
      <rPr>
        <sz val="10"/>
        <rFont val="Noto Sans CJK SC"/>
        <family val="2"/>
      </rPr>
      <t xml:space="preserve">경상북도 포항시 남구 지곡로 </t>
    </r>
    <r>
      <rPr>
        <sz val="10"/>
        <rFont val="맑은 고딕"/>
        <family val="0"/>
        <charset val="1"/>
      </rPr>
      <t xml:space="preserve">295</t>
    </r>
  </si>
  <si>
    <t xml:space="preserve">포항해맞이초등학교</t>
  </si>
  <si>
    <t xml:space="preserve">054-241-8831</t>
  </si>
  <si>
    <t xml:space="preserve">http://school.gyo6.net/haeschool</t>
  </si>
  <si>
    <r>
      <rPr>
        <sz val="10"/>
        <rFont val="Noto Sans CJK SC"/>
        <family val="2"/>
      </rPr>
      <t xml:space="preserve">경상북도 포항시 북구 환호로 </t>
    </r>
    <r>
      <rPr>
        <sz val="10"/>
        <rFont val="맑은 고딕"/>
        <family val="0"/>
        <charset val="1"/>
      </rPr>
      <t xml:space="preserve">37</t>
    </r>
  </si>
  <si>
    <t xml:space="preserve">학천초등학교</t>
  </si>
  <si>
    <t xml:space="preserve">054-262-5727</t>
  </si>
  <si>
    <t xml:space="preserve">http://school.gyo6.net/dreami</t>
  </si>
  <si>
    <r>
      <rPr>
        <sz val="10"/>
        <rFont val="Noto Sans CJK SC"/>
        <family val="2"/>
      </rPr>
      <t xml:space="preserve">경상북도 포항시 북구 흥해읍 도음로</t>
    </r>
    <r>
      <rPr>
        <sz val="10"/>
        <rFont val="맑은 고딕"/>
        <family val="0"/>
        <charset val="1"/>
      </rPr>
      <t xml:space="preserve">856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17</t>
    </r>
  </si>
  <si>
    <t xml:space="preserve">효자초등학교</t>
  </si>
  <si>
    <t xml:space="preserve">054-272-6316</t>
  </si>
  <si>
    <t xml:space="preserve">http://school.gyo6.net/hyojacho</t>
  </si>
  <si>
    <r>
      <rPr>
        <sz val="10"/>
        <rFont val="Noto Sans CJK SC"/>
        <family val="2"/>
      </rPr>
      <t xml:space="preserve">경상북도 포항시 남구 효성로 </t>
    </r>
    <r>
      <rPr>
        <sz val="10"/>
        <rFont val="맑은 고딕"/>
        <family val="0"/>
        <charset val="1"/>
      </rPr>
      <t xml:space="preserve">30</t>
    </r>
  </si>
  <si>
    <t xml:space="preserve">대도중학교</t>
  </si>
  <si>
    <t xml:space="preserve">054-252-4240</t>
  </si>
  <si>
    <t xml:space="preserve">http://school.gyo6.net/daedo</t>
  </si>
  <si>
    <r>
      <rPr>
        <sz val="10"/>
        <rFont val="Noto Sans CJK SC"/>
        <family val="2"/>
      </rPr>
      <t xml:space="preserve">경상북도 포항시 북구 삼호로</t>
    </r>
    <r>
      <rPr>
        <sz val="10"/>
        <rFont val="맑은 고딕"/>
        <family val="0"/>
        <charset val="1"/>
      </rPr>
      <t xml:space="preserve">509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12</t>
    </r>
  </si>
  <si>
    <t xml:space="preserve">대동중학교</t>
  </si>
  <si>
    <t xml:space="preserve">054-231-5023</t>
  </si>
  <si>
    <t xml:space="preserve">http://school.gyo6.net/phdaedong</t>
  </si>
  <si>
    <t xml:space="preserve">054-243-0005</t>
  </si>
  <si>
    <t xml:space="preserve">http://school.gyo6.net/sgmiddle</t>
  </si>
  <si>
    <r>
      <rPr>
        <sz val="10"/>
        <rFont val="Noto Sans CJK SC"/>
        <family val="2"/>
      </rPr>
      <t xml:space="preserve">경상북도 포항시 북구 신광면 토성길</t>
    </r>
    <r>
      <rPr>
        <sz val="10"/>
        <rFont val="맑은 고딕"/>
        <family val="0"/>
        <charset val="1"/>
      </rPr>
      <t xml:space="preserve">51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19-2</t>
    </r>
  </si>
  <si>
    <t xml:space="preserve">장흥중학교</t>
  </si>
  <si>
    <t xml:space="preserve">054-250-5710</t>
  </si>
  <si>
    <t xml:space="preserve">http://school.gyo6.net/pjh</t>
  </si>
  <si>
    <r>
      <rPr>
        <sz val="10"/>
        <rFont val="Noto Sans CJK SC"/>
        <family val="2"/>
      </rPr>
      <t xml:space="preserve">경상북도 포항시 북구 법원로 </t>
    </r>
    <r>
      <rPr>
        <sz val="10"/>
        <rFont val="맑은 고딕"/>
        <family val="0"/>
        <charset val="1"/>
      </rPr>
      <t xml:space="preserve">120</t>
    </r>
  </si>
  <si>
    <t xml:space="preserve">청하중학교</t>
  </si>
  <si>
    <t xml:space="preserve">054-232-4016</t>
  </si>
  <si>
    <t xml:space="preserve">http://school.gyo6.net/cheonghams</t>
  </si>
  <si>
    <r>
      <rPr>
        <sz val="10"/>
        <rFont val="Noto Sans CJK SC"/>
        <family val="2"/>
      </rPr>
      <t xml:space="preserve">경상북도 포항시 북구 청하면 청하로</t>
    </r>
    <r>
      <rPr>
        <sz val="10"/>
        <rFont val="맑은 고딕"/>
        <family val="0"/>
        <charset val="1"/>
      </rPr>
      <t xml:space="preserve">151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26</t>
    </r>
  </si>
  <si>
    <t xml:space="preserve">포항항도중학교</t>
  </si>
  <si>
    <t xml:space="preserve">054-283-4697</t>
  </si>
  <si>
    <t xml:space="preserve">http://school.gyo6.net/phhangdo</t>
  </si>
  <si>
    <r>
      <rPr>
        <sz val="10"/>
        <rFont val="Noto Sans CJK SC"/>
        <family val="2"/>
      </rPr>
      <t xml:space="preserve">경상북도 포항시 북구 중흥로 </t>
    </r>
    <r>
      <rPr>
        <sz val="10"/>
        <rFont val="맑은 고딕"/>
        <family val="0"/>
        <charset val="1"/>
      </rPr>
      <t xml:space="preserve">170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</si>
</sst>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"/>
    <numFmt numFmtId="167" formatCode="yyyy\-mm\-dd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맑은 고딕"/>
      <family val="0"/>
      <charset val="1"/>
    </font>
    <font>
      <b val="true"/>
      <sz val="14"/>
      <color rgb="FF1F3864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맑은 고딕"/>
      <family val="0"/>
      <charset val="1"/>
    </font>
    <font>
      <b val="true"/>
      <sz val="11"/>
      <color rgb="FF1F3864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name val="Noto Sans CJK SC"/>
      <family val="2"/>
    </font>
    <font>
      <sz val="10"/>
      <name val="맑은 고딕"/>
      <family val="0"/>
      <charset val="1"/>
    </font>
    <font>
      <sz val="10"/>
      <name val="Noto Sans CJK SC"/>
      <family val="2"/>
    </font>
    <font>
      <b val="true"/>
      <sz val="10"/>
      <name val="맑은 고딕"/>
      <family val="0"/>
      <charset val="1"/>
    </font>
    <font>
      <b val="true"/>
      <sz val="11"/>
      <color rgb="FF1F3864"/>
      <name val="맑은 고딕"/>
      <family val="0"/>
      <charset val="1"/>
    </font>
    <font>
      <sz val="9"/>
      <color rgb="FF404040"/>
      <name val="맑은 고딕"/>
      <family val="0"/>
      <charset val="1"/>
    </font>
    <font>
      <sz val="9"/>
      <color rgb="FF404040"/>
      <name val="Noto Sans CJK SC"/>
      <family val="2"/>
    </font>
    <font>
      <u val="single"/>
      <sz val="10"/>
      <color rgb="FF0563C1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FFF"/>
      </patternFill>
    </fill>
    <fill>
      <patternFill patternType="solid">
        <fgColor rgb="FFC65911"/>
        <bgColor rgb="FF993300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659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gaewon.sen.es.kr/" TargetMode="External"/><Relationship Id="rId2" Type="http://schemas.openxmlformats.org/officeDocument/2006/relationships/hyperlink" Target="http://gaeil.sen.es.kr/" TargetMode="External"/><Relationship Id="rId3" Type="http://schemas.openxmlformats.org/officeDocument/2006/relationships/hyperlink" Target="http://kuryong.sen.es.kr/" TargetMode="External"/><Relationship Id="rId4" Type="http://schemas.openxmlformats.org/officeDocument/2006/relationships/hyperlink" Target="http://srng.sen.es.kr/" TargetMode="External"/><Relationship Id="rId5" Type="http://schemas.openxmlformats.org/officeDocument/2006/relationships/hyperlink" Target="http://gaepo.sen.ms.kr/" TargetMode="External"/><Relationship Id="rId6" Type="http://schemas.openxmlformats.org/officeDocument/2006/relationships/hyperlink" Target="http://cheongdam.sen.ms.kr/" TargetMode="External"/><Relationship Id="rId7" Type="http://schemas.openxmlformats.org/officeDocument/2006/relationships/hyperlink" Target="http://whimoon.sen.ms.kr/" TargetMode="External"/><Relationship Id="rId8" Type="http://schemas.openxmlformats.org/officeDocument/2006/relationships/hyperlink" Target="http://bangil.sen.es.kr/" TargetMode="External"/><Relationship Id="rId9" Type="http://schemas.openxmlformats.org/officeDocument/2006/relationships/hyperlink" Target="http://seoi.sen.es.kr/" TargetMode="External"/><Relationship Id="rId10" Type="http://schemas.openxmlformats.org/officeDocument/2006/relationships/hyperlink" Target="http://yangjae.sen.es.kr/" TargetMode="External"/><Relationship Id="rId11" Type="http://schemas.openxmlformats.org/officeDocument/2006/relationships/hyperlink" Target="http://wonchon.sen.es.kr/" TargetMode="External"/><Relationship Id="rId12" Type="http://schemas.openxmlformats.org/officeDocument/2006/relationships/hyperlink" Target="http://naegok.sen.ms.kr/" TargetMode="External"/><Relationship Id="rId13" Type="http://schemas.openxmlformats.org/officeDocument/2006/relationships/hyperlink" Target="http://shindong.sen.ms.kr/" TargetMode="External"/><Relationship Id="rId14" Type="http://schemas.openxmlformats.org/officeDocument/2006/relationships/hyperlink" Target="http://youngdong.sen.ms.kr/" TargetMode="External"/><Relationship Id="rId15" Type="http://schemas.openxmlformats.org/officeDocument/2006/relationships/hyperlink" Target="http://gbe.sen.es.kr/" TargetMode="External"/><Relationship Id="rId16" Type="http://schemas.openxmlformats.org/officeDocument/2006/relationships/hyperlink" Target="http://gangil.sen.es.kr/" TargetMode="External"/><Relationship Id="rId17" Type="http://schemas.openxmlformats.org/officeDocument/2006/relationships/hyperlink" Target="http://goil.sen.es.kr/" TargetMode="External"/><Relationship Id="rId18" Type="http://schemas.openxmlformats.org/officeDocument/2006/relationships/hyperlink" Target="http://sunsa.sen.es.kr/" TargetMode="External"/><Relationship Id="rId19" Type="http://schemas.openxmlformats.org/officeDocument/2006/relationships/hyperlink" Target="http://seongnae.sen.es.kr/" TargetMode="External"/><Relationship Id="rId20" Type="http://schemas.openxmlformats.org/officeDocument/2006/relationships/hyperlink" Target="http://wirye.sen.es.kr/" TargetMode="External"/><Relationship Id="rId21" Type="http://schemas.openxmlformats.org/officeDocument/2006/relationships/hyperlink" Target="http://paichai.sen.ms.kr/" TargetMode="External"/><Relationship Id="rId22" Type="http://schemas.openxmlformats.org/officeDocument/2006/relationships/hyperlink" Target="http://sangil.sen.ms.kr/" TargetMode="External"/><Relationship Id="rId23" Type="http://schemas.openxmlformats.org/officeDocument/2006/relationships/hyperlink" Target="http://garak.sen.es.kr/" TargetMode="External"/><Relationship Id="rId24" Type="http://schemas.openxmlformats.org/officeDocument/2006/relationships/hyperlink" Target="http://s-namcheon.sen.es.kr/" TargetMode="External"/><Relationship Id="rId25" Type="http://schemas.openxmlformats.org/officeDocument/2006/relationships/hyperlink" Target="http://songpa.sen.es.kr/" TargetMode="External"/><Relationship Id="rId26" Type="http://schemas.openxmlformats.org/officeDocument/2006/relationships/hyperlink" Target="http://wiryesol.sen.es.kr/" TargetMode="External"/><Relationship Id="rId27" Type="http://schemas.openxmlformats.org/officeDocument/2006/relationships/hyperlink" Target="http://jamshin.sen.es.kr/" TargetMode="External"/><Relationship Id="rId28" Type="http://schemas.openxmlformats.org/officeDocument/2006/relationships/hyperlink" Target="http://jamsil.sen.es.kr/" TargetMode="External"/><Relationship Id="rId29" Type="http://schemas.openxmlformats.org/officeDocument/2006/relationships/hyperlink" Target="http://poongnap.sen.es.kr/" TargetMode="External"/><Relationship Id="rId30" Type="http://schemas.openxmlformats.org/officeDocument/2006/relationships/hyperlink" Target="http://poongsung.sen.es.kr/" TargetMode="External"/><Relationship Id="rId31" Type="http://schemas.openxmlformats.org/officeDocument/2006/relationships/hyperlink" Target="http://bm.sen.ms.kr/" TargetMode="External"/><Relationship Id="rId32" Type="http://schemas.openxmlformats.org/officeDocument/2006/relationships/hyperlink" Target="http://aju.sen.ms.kr/" TargetMode="External"/><Relationship Id="rId33" Type="http://schemas.openxmlformats.org/officeDocument/2006/relationships/hyperlink" Target="http://pungsung.sen.ms.kr/" TargetMode="External"/><Relationship Id="rId34" Type="http://schemas.openxmlformats.org/officeDocument/2006/relationships/hyperlink" Target="http://haenuri.sen.ms.kr/" TargetMode="External"/><Relationship Id="rId35" Type="http://schemas.openxmlformats.org/officeDocument/2006/relationships/hyperlink" Target="http://dungyang.sen.es.kr/" TargetMode="External"/><Relationship Id="rId36" Type="http://schemas.openxmlformats.org/officeDocument/2006/relationships/hyperlink" Target="http://deungchon.sen.es.kr/" TargetMode="External"/><Relationship Id="rId37" Type="http://schemas.openxmlformats.org/officeDocument/2006/relationships/hyperlink" Target="http://songhwa.sen.es.kr/" TargetMode="External"/><Relationship Id="rId38" Type="http://schemas.openxmlformats.org/officeDocument/2006/relationships/hyperlink" Target="http://yeomkyoung.sen.es.kr/" TargetMode="External"/><Relationship Id="rId39" Type="http://schemas.openxmlformats.org/officeDocument/2006/relationships/hyperlink" Target="http://yeomdong.sen.es.kr/" TargetMode="External"/><Relationship Id="rId40" Type="http://schemas.openxmlformats.org/officeDocument/2006/relationships/hyperlink" Target="http://deungchon.sen.ms.kr/" TargetMode="External"/><Relationship Id="rId41" Type="http://schemas.openxmlformats.org/officeDocument/2006/relationships/hyperlink" Target="http://samjeong.sen.ms.kr/" TargetMode="External"/><Relationship Id="rId42" Type="http://schemas.openxmlformats.org/officeDocument/2006/relationships/hyperlink" Target="http://sungjae.sen.ms.kr/" TargetMode="External"/><Relationship Id="rId43" Type="http://schemas.openxmlformats.org/officeDocument/2006/relationships/hyperlink" Target="http://gangwol.sen.es.kr/" TargetMode="External"/><Relationship Id="rId44" Type="http://schemas.openxmlformats.org/officeDocument/2006/relationships/hyperlink" Target="http://gyenam.sen.es.kr/" TargetMode="External"/><Relationship Id="rId45" Type="http://schemas.openxmlformats.org/officeDocument/2006/relationships/hyperlink" Target="http://mokwon.sen.es.kr/" TargetMode="External"/><Relationship Id="rId46" Type="http://schemas.openxmlformats.org/officeDocument/2006/relationships/hyperlink" Target="http://mokil.sen.ms.kr/" TargetMode="External"/><Relationship Id="rId47" Type="http://schemas.openxmlformats.org/officeDocument/2006/relationships/hyperlink" Target="http://yangdong.sen.ms.kr/" TargetMode="External"/><Relationship Id="rId48" Type="http://schemas.openxmlformats.org/officeDocument/2006/relationships/hyperlink" Target="http://yeongdo21.sen.ms.kr/" TargetMode="External"/><Relationship Id="rId49" Type="http://schemas.openxmlformats.org/officeDocument/2006/relationships/hyperlink" Target="http://gwangmun.sen.hs.kr/" TargetMode="External"/><Relationship Id="rId50" Type="http://schemas.openxmlformats.org/officeDocument/2006/relationships/hyperlink" Target="http://shinil.sen.hs.kr/" TargetMode="External"/><Relationship Id="rId51" Type="http://schemas.openxmlformats.org/officeDocument/2006/relationships/hyperlink" Target="http://hyehwa-h.sen.hs.kr/" TargetMode="External"/><Relationship Id="rId52" Type="http://schemas.openxmlformats.org/officeDocument/2006/relationships/hyperlink" Target="http://dongyang.sen.hs.kr/" TargetMode="External"/><Relationship Id="rId53" Type="http://schemas.openxmlformats.org/officeDocument/2006/relationships/hyperlink" Target="http://mapo.sen.hs.kr/" TargetMode="External"/><Relationship Id="rId54" Type="http://schemas.openxmlformats.org/officeDocument/2006/relationships/hyperlink" Target="http://youngil.sen.hs.kr/" TargetMode="External"/><Relationship Id="rId55" Type="http://schemas.openxmlformats.org/officeDocument/2006/relationships/hyperlink" Target="http://seojin.sen.sc.kr/" TargetMode="External"/><Relationship Id="rId56" Type="http://schemas.openxmlformats.org/officeDocument/2006/relationships/hyperlink" Target="http://danggok.sen.hs.kr/" TargetMode="External"/><Relationship Id="rId57" Type="http://schemas.openxmlformats.org/officeDocument/2006/relationships/hyperlink" Target="http://dwg.sen.hs.kr/" TargetMode="External"/><Relationship Id="rId58" Type="http://schemas.openxmlformats.org/officeDocument/2006/relationships/hyperlink" Target="http://garam.sen.hs.kr/" TargetMode="External"/><Relationship Id="rId59" Type="http://schemas.openxmlformats.org/officeDocument/2006/relationships/hyperlink" Target="http://kyeongin.sen.hs.kr/" TargetMode="External"/><Relationship Id="rId60" Type="http://schemas.openxmlformats.org/officeDocument/2006/relationships/hyperlink" Target="http://guro.sen.hs.kr/" TargetMode="External"/><Relationship Id="rId61" Type="http://schemas.openxmlformats.org/officeDocument/2006/relationships/hyperlink" Target="http://guil.sen.hs.kr/" TargetMode="External"/><Relationship Id="rId62" Type="http://schemas.openxmlformats.org/officeDocument/2006/relationships/hyperlink" Target="http://jungjin.sen.sc.kr/" TargetMode="External"/><Relationship Id="rId63" Type="http://schemas.openxmlformats.org/officeDocument/2006/relationships/hyperlink" Target="http://dongilg.sen.hs.kr/" TargetMode="External"/><Relationship Id="rId64" Type="http://schemas.openxmlformats.org/officeDocument/2006/relationships/hyperlink" Target="http://buram.sen.hs.kr/" TargetMode="External"/><Relationship Id="rId65" Type="http://schemas.openxmlformats.org/officeDocument/2006/relationships/hyperlink" Target="http://sangmyung.sen.hs.kr/" TargetMode="External"/><Relationship Id="rId66" Type="http://schemas.openxmlformats.org/officeDocument/2006/relationships/hyperlink" Target="http://sorabol.sen.hs.kr/" TargetMode="External"/><Relationship Id="rId67" Type="http://schemas.openxmlformats.org/officeDocument/2006/relationships/hyperlink" Target="http://www.yonghwa.hs.kr/" TargetMode="External"/><Relationship Id="rId68" Type="http://schemas.openxmlformats.org/officeDocument/2006/relationships/hyperlink" Target="http://cheongwon-gh.sen.hs.kr/" TargetMode="External"/><Relationship Id="rId69" Type="http://schemas.openxmlformats.org/officeDocument/2006/relationships/hyperlink" Target="http://sunduck.sen.hs.kr/" TargetMode="External"/><Relationship Id="rId70" Type="http://schemas.openxmlformats.org/officeDocument/2006/relationships/hyperlink" Target="http://ddbk.sen.hs.kr/" TargetMode="External"/><Relationship Id="rId71" Type="http://schemas.openxmlformats.org/officeDocument/2006/relationships/hyperlink" Target="http://kyungmoon.sen.hs.kr/" TargetMode="External"/><Relationship Id="rId72" Type="http://schemas.openxmlformats.org/officeDocument/2006/relationships/hyperlink" Target="http://sungnam.sen.hs.kr/" TargetMode="External"/><Relationship Id="rId73" Type="http://schemas.openxmlformats.org/officeDocument/2006/relationships/hyperlink" Target="http://sudogh.sen.hs.kr/" TargetMode="External"/><Relationship Id="rId74" Type="http://schemas.openxmlformats.org/officeDocument/2006/relationships/hyperlink" Target="http://soongeui.sen.hs.kr/" TargetMode="External"/><Relationship Id="rId75" Type="http://schemas.openxmlformats.org/officeDocument/2006/relationships/hyperlink" Target="http://sangam.sen.hs.kr/" TargetMode="External"/><Relationship Id="rId76" Type="http://schemas.openxmlformats.org/officeDocument/2006/relationships/hyperlink" Target="http://soongmoon.sen.hs.kr/" TargetMode="External"/><Relationship Id="rId77" Type="http://schemas.openxmlformats.org/officeDocument/2006/relationships/hyperlink" Target="http://gajaeul.sen.hs.kr/" TargetMode="External"/><Relationship Id="rId78" Type="http://schemas.openxmlformats.org/officeDocument/2006/relationships/hyperlink" Target="http://dongduk.sen.hs.kr/" TargetMode="External"/><Relationship Id="rId79" Type="http://schemas.openxmlformats.org/officeDocument/2006/relationships/hyperlink" Target="http://banpo.sen.hs.kr/" TargetMode="External"/><Relationship Id="rId80" Type="http://schemas.openxmlformats.org/officeDocument/2006/relationships/hyperlink" Target="http://seoul.sen.hs.kr/" TargetMode="External"/><Relationship Id="rId81" Type="http://schemas.openxmlformats.org/officeDocument/2006/relationships/hyperlink" Target="http://eonnam.sen.hs.kr/" TargetMode="External"/><Relationship Id="rId82" Type="http://schemas.openxmlformats.org/officeDocument/2006/relationships/hyperlink" Target="http://dosun.sen.hs.kr/" TargetMode="External"/><Relationship Id="rId83" Type="http://schemas.openxmlformats.org/officeDocument/2006/relationships/hyperlink" Target="http://www.hanyang-u.hs.kr/" TargetMode="External"/><Relationship Id="rId84" Type="http://schemas.openxmlformats.org/officeDocument/2006/relationships/hyperlink" Target="http://gyeseong.sen.hs.kr/" TargetMode="External"/><Relationship Id="rId85" Type="http://schemas.openxmlformats.org/officeDocument/2006/relationships/hyperlink" Target="http://koreahi.sen.hs.kr/" TargetMode="External"/><Relationship Id="rId86" Type="http://schemas.openxmlformats.org/officeDocument/2006/relationships/hyperlink" Target="http://seokgwan.sen.hs.kr/" TargetMode="External"/><Relationship Id="rId87" Type="http://schemas.openxmlformats.org/officeDocument/2006/relationships/hyperlink" Target="http://yongmoon.sen.hs.kr/" TargetMode="External"/><Relationship Id="rId88" Type="http://schemas.openxmlformats.org/officeDocument/2006/relationships/hyperlink" Target="http://hongik.sen.hs.kr/" TargetMode="External"/><Relationship Id="rId89" Type="http://schemas.openxmlformats.org/officeDocument/2006/relationships/hyperlink" Target="http://posung.sen.hs.kr/" TargetMode="External"/><Relationship Id="rId90" Type="http://schemas.openxmlformats.org/officeDocument/2006/relationships/hyperlink" Target="http://jamsin.sen.hs.kr/" TargetMode="External"/><Relationship Id="rId91" Type="http://schemas.openxmlformats.org/officeDocument/2006/relationships/hyperlink" Target="http://kyg.sen.hs.kr/" TargetMode="External"/><Relationship Id="rId92" Type="http://schemas.openxmlformats.org/officeDocument/2006/relationships/hyperlink" Target="http://www.yangchung.hs.kr/" TargetMode="External"/><Relationship Id="rId93" Type="http://schemas.openxmlformats.org/officeDocument/2006/relationships/hyperlink" Target="http://kwan-ak.sen.hs.kr/" TargetMode="External"/><Relationship Id="rId94" Type="http://schemas.openxmlformats.org/officeDocument/2006/relationships/hyperlink" Target="http://www.baemoon.hs.kr/" TargetMode="External"/><Relationship Id="rId95" Type="http://schemas.openxmlformats.org/officeDocument/2006/relationships/hyperlink" Target="http://osan.sen.hs.kr/" TargetMode="External"/><Relationship Id="rId96" Type="http://schemas.openxmlformats.org/officeDocument/2006/relationships/hyperlink" Target="http://yongsan.sen.hs.kr/" TargetMode="External"/><Relationship Id="rId97" Type="http://schemas.openxmlformats.org/officeDocument/2006/relationships/hyperlink" Target="http://duksung.sen.hs.kr/" TargetMode="External"/><Relationship Id="rId98" Type="http://schemas.openxmlformats.org/officeDocument/2006/relationships/hyperlink" Target="http://www.dongsung.hs.kr/" TargetMode="External"/><Relationship Id="rId99" Type="http://schemas.openxmlformats.org/officeDocument/2006/relationships/hyperlink" Target="http://paiwha.sen.hs.kr/" TargetMode="External"/><Relationship Id="rId100" Type="http://schemas.openxmlformats.org/officeDocument/2006/relationships/hyperlink" Target="http://gyeongun.sen.sc.kr/" TargetMode="External"/><Relationship Id="rId101" Type="http://schemas.openxmlformats.org/officeDocument/2006/relationships/hyperlink" Target="http://www.ewha.hs.kr/" TargetMode="External"/><Relationship Id="rId102" Type="http://schemas.openxmlformats.org/officeDocument/2006/relationships/hyperlink" Target="http://www.hwanil.hs.kr/" TargetMode="External"/><Relationship Id="rId103" Type="http://schemas.openxmlformats.org/officeDocument/2006/relationships/hyperlink" Target="http://mmhs.sen.hs.kr/" TargetMode="External"/><Relationship Id="rId104" Type="http://schemas.openxmlformats.org/officeDocument/2006/relationships/hyperlink" Target="http://sg.sen.hs.kr/" TargetMode="External"/><Relationship Id="rId105" Type="http://schemas.openxmlformats.org/officeDocument/2006/relationships/hyperlink" Target="http://wonmook.sen.hs.kr/" TargetMode="External"/><Relationship Id="rId106" Type="http://schemas.openxmlformats.org/officeDocument/2006/relationships/hyperlink" Target="http://taereung.sen.hs.kr/" TargetMode="External"/><Relationship Id="rId107" Type="http://schemas.openxmlformats.org/officeDocument/2006/relationships/hyperlink" Target="http://snums.sen.ms.kr/" TargetMode="External"/><Relationship Id="rId108" Type="http://schemas.openxmlformats.org/officeDocument/2006/relationships/hyperlink" Target="http://snu.sen.ms.kr/" TargetMode="External"/><Relationship Id="rId109" Type="http://schemas.openxmlformats.org/officeDocument/2006/relationships/hyperlink" Target="http://gocheok.sen.es.kr/" TargetMode="External"/><Relationship Id="rId110" Type="http://schemas.openxmlformats.org/officeDocument/2006/relationships/hyperlink" Target="http://mirae.sen.es.kr/" TargetMode="External"/><Relationship Id="rId111" Type="http://schemas.openxmlformats.org/officeDocument/2006/relationships/hyperlink" Target="http://sinmirim.sen.es.kr/" TargetMode="External"/><Relationship Id="rId112" Type="http://schemas.openxmlformats.org/officeDocument/2006/relationships/hyperlink" Target="http://syoungil.sen.es.kr/" TargetMode="External"/><Relationship Id="rId113" Type="http://schemas.openxmlformats.org/officeDocument/2006/relationships/hyperlink" Target="http://ojung.sen.es.kr/" TargetMode="External"/><Relationship Id="rId114" Type="http://schemas.openxmlformats.org/officeDocument/2006/relationships/hyperlink" Target="http://geumdong.sen.es.kr/" TargetMode="External"/><Relationship Id="rId115" Type="http://schemas.openxmlformats.org/officeDocument/2006/relationships/hyperlink" Target="http://munbaek.sen.es.kr/" TargetMode="External"/><Relationship Id="rId116" Type="http://schemas.openxmlformats.org/officeDocument/2006/relationships/hyperlink" Target="http://dangseo.sen.es.kr/" TargetMode="External"/><Relationship Id="rId117" Type="http://schemas.openxmlformats.org/officeDocument/2006/relationships/hyperlink" Target="http://idaegil.sen.es.kr/" TargetMode="External"/><Relationship Id="rId118" Type="http://schemas.openxmlformats.org/officeDocument/2006/relationships/hyperlink" Target="http://dangsanseo.sen.ms.kr/" TargetMode="External"/><Relationship Id="rId119" Type="http://schemas.openxmlformats.org/officeDocument/2006/relationships/hyperlink" Target="http://dangsan.sen.ms.kr/" TargetMode="External"/><Relationship Id="rId120" Type="http://schemas.openxmlformats.org/officeDocument/2006/relationships/hyperlink" Target="http://yeouido.sen.ms.kr/" TargetMode="External"/><Relationship Id="rId121" Type="http://schemas.openxmlformats.org/officeDocument/2006/relationships/hyperlink" Target="http://jeonnong.sen.es.kr/" TargetMode="External"/><Relationship Id="rId122" Type="http://schemas.openxmlformats.org/officeDocument/2006/relationships/hyperlink" Target="http://kyunghee.sen.ms.kr/" TargetMode="External"/><Relationship Id="rId123" Type="http://schemas.openxmlformats.org/officeDocument/2006/relationships/hyperlink" Target="http://jangpyung.sen.ms.kr/" TargetMode="External"/><Relationship Id="rId124" Type="http://schemas.openxmlformats.org/officeDocument/2006/relationships/hyperlink" Target="http://wonmuk.sen.es.kr/" TargetMode="External"/><Relationship Id="rId125" Type="http://schemas.openxmlformats.org/officeDocument/2006/relationships/hyperlink" Target="http://jangan70.sen.ms.kr/" TargetMode="External"/><Relationship Id="rId126" Type="http://schemas.openxmlformats.org/officeDocument/2006/relationships/hyperlink" Target="http://misung.sen.es.kr/" TargetMode="External"/><Relationship Id="rId127" Type="http://schemas.openxmlformats.org/officeDocument/2006/relationships/hyperlink" Target="http://sillim.sen.es.kr/" TargetMode="External"/><Relationship Id="rId128" Type="http://schemas.openxmlformats.org/officeDocument/2006/relationships/hyperlink" Target="http://sss.sen.es.kr/" TargetMode="External"/><Relationship Id="rId129" Type="http://schemas.openxmlformats.org/officeDocument/2006/relationships/hyperlink" Target="http://boramae.sen.es.kr/" TargetMode="External"/><Relationship Id="rId130" Type="http://schemas.openxmlformats.org/officeDocument/2006/relationships/hyperlink" Target="http://seoulsangdo.sen.es.kr/" TargetMode="External"/><Relationship Id="rId131" Type="http://schemas.openxmlformats.org/officeDocument/2006/relationships/hyperlink" Target="http://heukseok.sen.es.kr/" TargetMode="External"/><Relationship Id="rId132" Type="http://schemas.openxmlformats.org/officeDocument/2006/relationships/hyperlink" Target="http://dongyang.sen.ms.kr/" TargetMode="External"/><Relationship Id="rId133" Type="http://schemas.openxmlformats.org/officeDocument/2006/relationships/hyperlink" Target="http://sadang.sen.ms.kr/" TargetMode="External"/><Relationship Id="rId134" Type="http://schemas.openxmlformats.org/officeDocument/2006/relationships/hyperlink" Target="http://jangseung.sen.ms.kr/" TargetMode="External"/><Relationship Id="rId135" Type="http://schemas.openxmlformats.org/officeDocument/2006/relationships/hyperlink" Target="http://gongrung.sen.es.kr/" TargetMode="External"/><Relationship Id="rId136" Type="http://schemas.openxmlformats.org/officeDocument/2006/relationships/hyperlink" Target="http://sangsoo.sen.es.kr/" TargetMode="External"/><Relationship Id="rId137" Type="http://schemas.openxmlformats.org/officeDocument/2006/relationships/hyperlink" Target="http://suam.sen.es.kr/" TargetMode="External"/><Relationship Id="rId138" Type="http://schemas.openxmlformats.org/officeDocument/2006/relationships/hyperlink" Target="http://yong1.sen.es.kr/" TargetMode="External"/><Relationship Id="rId139" Type="http://schemas.openxmlformats.org/officeDocument/2006/relationships/hyperlink" Target="http://jungpyong.sen.es.kr/" TargetMode="External"/><Relationship Id="rId140" Type="http://schemas.openxmlformats.org/officeDocument/2006/relationships/hyperlink" Target="http://taereung.sen.es.kr/" TargetMode="External"/><Relationship Id="rId141" Type="http://schemas.openxmlformats.org/officeDocument/2006/relationships/hyperlink" Target="http://cheongwon.sen.es.kr/" TargetMode="External"/><Relationship Id="rId142" Type="http://schemas.openxmlformats.org/officeDocument/2006/relationships/hyperlink" Target="http://kongrung.sen.ms.kr/" TargetMode="External"/><Relationship Id="rId143" Type="http://schemas.openxmlformats.org/officeDocument/2006/relationships/hyperlink" Target="http://sanggyejeil.sen.ms.kr/" TargetMode="External"/><Relationship Id="rId144" Type="http://schemas.openxmlformats.org/officeDocument/2006/relationships/hyperlink" Target="http://jaehyun.sen.ms.kr/" TargetMode="External"/><Relationship Id="rId145" Type="http://schemas.openxmlformats.org/officeDocument/2006/relationships/hyperlink" Target="http://taerang.sen.ms.kr/" TargetMode="External"/><Relationship Id="rId146" Type="http://schemas.openxmlformats.org/officeDocument/2006/relationships/hyperlink" Target="http://nuwon.sen.es.kr/" TargetMode="External"/><Relationship Id="rId147" Type="http://schemas.openxmlformats.org/officeDocument/2006/relationships/hyperlink" Target="http://jawoon.sen.es.kr/" TargetMode="External"/><Relationship Id="rId148" Type="http://schemas.openxmlformats.org/officeDocument/2006/relationships/hyperlink" Target="http://changdo.sen.es.kr/" TargetMode="External"/><Relationship Id="rId149" Type="http://schemas.openxmlformats.org/officeDocument/2006/relationships/hyperlink" Target="http://mapo.sen.es.kr/" TargetMode="External"/><Relationship Id="rId150" Type="http://schemas.openxmlformats.org/officeDocument/2006/relationships/hyperlink" Target="http://soongmoon.sen.ms.kr/" TargetMode="External"/><Relationship Id="rId151" Type="http://schemas.openxmlformats.org/officeDocument/2006/relationships/hyperlink" Target="http://yeonga.sen.es.kr/" TargetMode="External"/><Relationship Id="rId152" Type="http://schemas.openxmlformats.org/officeDocument/2006/relationships/hyperlink" Target="http://yeokchon.sen.es.kr/" TargetMode="External"/><Relationship Id="rId153" Type="http://schemas.openxmlformats.org/officeDocument/2006/relationships/hyperlink" Target="http://yeoneun.sen.es.kr/" TargetMode="External"/><Relationship Id="rId154" Type="http://schemas.openxmlformats.org/officeDocument/2006/relationships/hyperlink" Target="http://eunpyeong.sen.es.kr/" TargetMode="External"/><Relationship Id="rId155" Type="http://schemas.openxmlformats.org/officeDocument/2006/relationships/hyperlink" Target="http://jingwan.sen.es.kr/" TargetMode="External"/><Relationship Id="rId156" Type="http://schemas.openxmlformats.org/officeDocument/2006/relationships/hyperlink" Target="http://choongam.sen.ms.kr/" TargetMode="External"/><Relationship Id="rId157" Type="http://schemas.openxmlformats.org/officeDocument/2006/relationships/hyperlink" Target="http://guui.sen.es.kr/" TargetMode="External"/><Relationship Id="rId158" Type="http://schemas.openxmlformats.org/officeDocument/2006/relationships/hyperlink" Target="http://seongja.sen.es.kr/" TargetMode="External"/><Relationship Id="rId159" Type="http://schemas.openxmlformats.org/officeDocument/2006/relationships/hyperlink" Target="http://sinja.sen.es.kr/" TargetMode="External"/><Relationship Id="rId160" Type="http://schemas.openxmlformats.org/officeDocument/2006/relationships/hyperlink" Target="http://yonggok.sen.es.kr/" TargetMode="External"/><Relationship Id="rId161" Type="http://schemas.openxmlformats.org/officeDocument/2006/relationships/hyperlink" Target="http://jkschool.sen.es.kr/" TargetMode="External"/><Relationship Id="rId162" Type="http://schemas.openxmlformats.org/officeDocument/2006/relationships/hyperlink" Target="http://shinyang.sen.ms.kr/" TargetMode="External"/><Relationship Id="rId163" Type="http://schemas.openxmlformats.org/officeDocument/2006/relationships/hyperlink" Target="http://muhag.sen.es.kr/" TargetMode="External"/><Relationship Id="rId164" Type="http://schemas.openxmlformats.org/officeDocument/2006/relationships/hyperlink" Target="http://www.hye.or.kr/" TargetMode="External"/><Relationship Id="rId165" Type="http://schemas.openxmlformats.org/officeDocument/2006/relationships/hyperlink" Target="http://kwanghee.sen.ms.kr/" TargetMode="External"/><Relationship Id="rId166" Type="http://schemas.openxmlformats.org/officeDocument/2006/relationships/hyperlink" Target="http://muhak.sen.ms.kr/" TargetMode="External"/><Relationship Id="rId167" Type="http://schemas.openxmlformats.org/officeDocument/2006/relationships/hyperlink" Target="http://suyu.sen.es.kr/" TargetMode="External"/><Relationship Id="rId168" Type="http://schemas.openxmlformats.org/officeDocument/2006/relationships/hyperlink" Target="http://www.younghoon.ms.kr/" TargetMode="External"/><Relationship Id="rId169" Type="http://schemas.openxmlformats.org/officeDocument/2006/relationships/hyperlink" Target="http://daegwang.sen.es.kr/" TargetMode="External"/><Relationship Id="rId170" Type="http://schemas.openxmlformats.org/officeDocument/2006/relationships/hyperlink" Target="http://donam.sen.es.kr/" TargetMode="External"/><Relationship Id="rId171" Type="http://schemas.openxmlformats.org/officeDocument/2006/relationships/hyperlink" Target="http://jangwol.sen.es.kr/" TargetMode="External"/><Relationship Id="rId172" Type="http://schemas.openxmlformats.org/officeDocument/2006/relationships/hyperlink" Target="http://komyung.sen.ms.kr/" TargetMode="External"/><Relationship Id="rId173" Type="http://schemas.openxmlformats.org/officeDocument/2006/relationships/hyperlink" Target="http://namdaemoon.sen.ms.kr/" TargetMode="External"/><Relationship Id="rId174" Type="http://schemas.openxmlformats.org/officeDocument/2006/relationships/hyperlink" Target="http://samseon.sen.ms.kr/" TargetMode="External"/><Relationship Id="rId175" Type="http://schemas.openxmlformats.org/officeDocument/2006/relationships/hyperlink" Target="http://soonggok.sen.ms.kr/" TargetMode="External"/><Relationship Id="rId176" Type="http://schemas.openxmlformats.org/officeDocument/2006/relationships/hyperlink" Target="http://yongmoon.sen.ms.kr/" TargetMode="External"/><Relationship Id="rId177" Type="http://schemas.openxmlformats.org/officeDocument/2006/relationships/hyperlink" Target="http://seoulsamkwang.sen.es.kr/" TargetMode="External"/><Relationship Id="rId178" Type="http://schemas.openxmlformats.org/officeDocument/2006/relationships/hyperlink" Target="http://s-cheongpa.sen.es.kr/" TargetMode="External"/><Relationship Id="rId179" Type="http://schemas.openxmlformats.org/officeDocument/2006/relationships/hyperlink" Target="http://skes.sen.es.kr/" TargetMode="External"/><Relationship Id="rId180" Type="http://schemas.openxmlformats.org/officeDocument/2006/relationships/hyperlink" Target="http://sangmyung-ae.sen.es.kr/" TargetMode="External"/><Relationship Id="rId181" Type="http://schemas.openxmlformats.org/officeDocument/2006/relationships/hyperlink" Target="http://dae-shin.sen.ms.kr/" TargetMode="External"/><Relationship Id="rId182" Type="http://schemas.openxmlformats.org/officeDocument/2006/relationships/hyperlink" Target="http://sds.sen.ms.kr/" TargetMode="External"/><Relationship Id="rId183" Type="http://schemas.openxmlformats.org/officeDocument/2006/relationships/hyperlink" Target="http://hansol.sc.kr/" TargetMode="External"/><Relationship Id="rId184" Type="http://schemas.openxmlformats.org/officeDocument/2006/relationships/hyperlink" Target="http://www.pdj.hs.kr/" TargetMode="External"/><Relationship Id="rId185" Type="http://schemas.openxmlformats.org/officeDocument/2006/relationships/hyperlink" Target="http://school.busanedu.net/" TargetMode="External"/><Relationship Id="rId186" Type="http://schemas.openxmlformats.org/officeDocument/2006/relationships/hyperlink" Target="http://sungwoo.sc.kr/" TargetMode="External"/><Relationship Id="rId187" Type="http://schemas.openxmlformats.org/officeDocument/2006/relationships/hyperlink" Target="http://haemaru.sc.kr/" TargetMode="External"/><Relationship Id="rId188" Type="http://schemas.openxmlformats.org/officeDocument/2006/relationships/hyperlink" Target="http://www.daeyang.hs.kr/" TargetMode="External"/><Relationship Id="rId189" Type="http://schemas.openxmlformats.org/officeDocument/2006/relationships/hyperlink" Target="http://baejeong.hs.kr/" TargetMode="External"/><Relationship Id="rId190" Type="http://schemas.openxmlformats.org/officeDocument/2006/relationships/hyperlink" Target="http://haneol.hs.kr/" TargetMode="External"/><Relationship Id="rId191" Type="http://schemas.openxmlformats.org/officeDocument/2006/relationships/hyperlink" Target="http://www.pcs.hs.kr/" TargetMode="External"/><Relationship Id="rId192" Type="http://schemas.openxmlformats.org/officeDocument/2006/relationships/hyperlink" Target="http://kaekeum.hs.kr/" TargetMode="External"/><Relationship Id="rId193" Type="http://schemas.openxmlformats.org/officeDocument/2006/relationships/hyperlink" Target="http://school.busanedu.net/psdongsung-h" TargetMode="External"/><Relationship Id="rId194" Type="http://schemas.openxmlformats.org/officeDocument/2006/relationships/hyperlink" Target="http://www.marketing.hs.kr/" TargetMode="External"/><Relationship Id="rId195" Type="http://schemas.openxmlformats.org/officeDocument/2006/relationships/hyperlink" Target="http://www.geumgok.hs.kr/" TargetMode="External"/><Relationship Id="rId196" Type="http://schemas.openxmlformats.org/officeDocument/2006/relationships/hyperlink" Target="http://www.sj.hs.kr/" TargetMode="External"/><Relationship Id="rId197" Type="http://schemas.openxmlformats.org/officeDocument/2006/relationships/hyperlink" Target="http://www.sungdo.hs.kr/" TargetMode="External"/><Relationship Id="rId198" Type="http://schemas.openxmlformats.org/officeDocument/2006/relationships/hyperlink" Target="http://www.ddhs.hs.kr/" TargetMode="External"/><Relationship Id="rId199" Type="http://schemas.openxmlformats.org/officeDocument/2006/relationships/hyperlink" Target="http://dong-a.hs.kr/" TargetMode="External"/><Relationship Id="rId200" Type="http://schemas.openxmlformats.org/officeDocument/2006/relationships/hyperlink" Target="http://bsis.hs.kr/" TargetMode="External"/><Relationship Id="rId201" Type="http://schemas.openxmlformats.org/officeDocument/2006/relationships/hyperlink" Target="http://www.buil.hs.kr/" TargetMode="External"/><Relationship Id="rId202" Type="http://schemas.openxmlformats.org/officeDocument/2006/relationships/hyperlink" Target="http://www.isabelle.hs.kr/" TargetMode="External"/><Relationship Id="rId203" Type="http://schemas.openxmlformats.org/officeDocument/2006/relationships/hyperlink" Target="http://busanhc.com/" TargetMode="External"/><Relationship Id="rId204" Type="http://schemas.openxmlformats.org/officeDocument/2006/relationships/hyperlink" Target="http://www.hangdo.ms.kr/" TargetMode="External"/><Relationship Id="rId205" Type="http://schemas.openxmlformats.org/officeDocument/2006/relationships/hyperlink" Target="http://geumyang.ms.kr/" TargetMode="External"/><Relationship Id="rId206" Type="http://schemas.openxmlformats.org/officeDocument/2006/relationships/hyperlink" Target="http://www.myongseo.es.kr/" TargetMode="External"/><Relationship Id="rId207" Type="http://schemas.openxmlformats.org/officeDocument/2006/relationships/hyperlink" Target="http://sajik.ms.kr/" TargetMode="External"/><Relationship Id="rId208" Type="http://schemas.openxmlformats.org/officeDocument/2006/relationships/hyperlink" Target="http://myeongmun.es.kr/" TargetMode="External"/><Relationship Id="rId209" Type="http://schemas.openxmlformats.org/officeDocument/2006/relationships/hyperlink" Target="http://myungjin.es.kr/" TargetMode="External"/><Relationship Id="rId210" Type="http://schemas.openxmlformats.org/officeDocument/2006/relationships/hyperlink" Target="http://school.busanedu.net/haksa-e" TargetMode="External"/><Relationship Id="rId211" Type="http://schemas.openxmlformats.org/officeDocument/2006/relationships/hyperlink" Target="http://www.bshj.es.kr/" TargetMode="External"/><Relationship Id="rId212" Type="http://schemas.openxmlformats.org/officeDocument/2006/relationships/hyperlink" Target="http://www.jugam.es.kr/" TargetMode="External"/><Relationship Id="rId213" Type="http://schemas.openxmlformats.org/officeDocument/2006/relationships/hyperlink" Target="http://dadae.es.kr/" TargetMode="External"/><Relationship Id="rId214" Type="http://schemas.openxmlformats.org/officeDocument/2006/relationships/hyperlink" Target="http://www.chunma.es.kr/" TargetMode="External"/><Relationship Id="rId215" Type="http://schemas.openxmlformats.org/officeDocument/2006/relationships/hyperlink" Target="http://toseong.es.kr/" TargetMode="External"/><Relationship Id="rId216" Type="http://schemas.openxmlformats.org/officeDocument/2006/relationships/hyperlink" Target="http://ses.es.kr/" TargetMode="External"/><Relationship Id="rId217" Type="http://schemas.openxmlformats.org/officeDocument/2006/relationships/hyperlink" Target="http://bsdalsan.es.kr/" TargetMode="External"/><Relationship Id="rId218" Type="http://schemas.openxmlformats.org/officeDocument/2006/relationships/hyperlink" Target="http://www.daechung.es.kr/" TargetMode="External"/><Relationship Id="rId219" Type="http://schemas.openxmlformats.org/officeDocument/2006/relationships/hyperlink" Target="http://sinjeong.kr/" TargetMode="External"/><Relationship Id="rId220" Type="http://schemas.openxmlformats.org/officeDocument/2006/relationships/hyperlink" Target="http://www.jwacheon.es.kr/" TargetMode="External"/><Relationship Id="rId221" Type="http://schemas.openxmlformats.org/officeDocument/2006/relationships/hyperlink" Target="http://haebit.es.kr/" TargetMode="External"/><Relationship Id="rId222" Type="http://schemas.openxmlformats.org/officeDocument/2006/relationships/hyperlink" Target="http://minlak.es.kr/" TargetMode="External"/><Relationship Id="rId223" Type="http://schemas.openxmlformats.org/officeDocument/2006/relationships/hyperlink" Target="http://www.baesan.es.kr/" TargetMode="External"/><Relationship Id="rId224" Type="http://schemas.openxmlformats.org/officeDocument/2006/relationships/hyperlink" Target="http://school.busanedu.net/dong-a-m" TargetMode="External"/><Relationship Id="rId225" Type="http://schemas.openxmlformats.org/officeDocument/2006/relationships/hyperlink" Target="http://sameo.es.kr/" TargetMode="External"/><Relationship Id="rId226" Type="http://schemas.openxmlformats.org/officeDocument/2006/relationships/hyperlink" Target="http://www.jwasan.es.kr/" TargetMode="External"/><Relationship Id="rId227" Type="http://schemas.openxmlformats.org/officeDocument/2006/relationships/hyperlink" Target="http://daegu.dge.hs.kr/" TargetMode="External"/><Relationship Id="rId228" Type="http://schemas.openxmlformats.org/officeDocument/2006/relationships/hyperlink" Target="http://daegun.dge.hs.kr/" TargetMode="External"/><Relationship Id="rId229" Type="http://schemas.openxmlformats.org/officeDocument/2006/relationships/hyperlink" Target="http://daesang.dge.hs.kr/" TargetMode="External"/><Relationship Id="rId230" Type="http://schemas.openxmlformats.org/officeDocument/2006/relationships/hyperlink" Target="http://waryong.dge.hs.kr/" TargetMode="External"/><Relationship Id="rId231" Type="http://schemas.openxmlformats.org/officeDocument/2006/relationships/hyperlink" Target="http://hwawon.dge.hs.kr/" TargetMode="External"/><Relationship Id="rId232" Type="http://schemas.openxmlformats.org/officeDocument/2006/relationships/hyperlink" Target="http://maecheon.dge.hs.kr/" TargetMode="External"/><Relationship Id="rId233" Type="http://schemas.openxmlformats.org/officeDocument/2006/relationships/hyperlink" Target="http://ja.hs.kr/" TargetMode="External"/><Relationship Id="rId234" Type="http://schemas.openxmlformats.org/officeDocument/2006/relationships/hyperlink" Target="http://gunwi.dge.es.kr/" TargetMode="External"/><Relationship Id="rId235" Type="http://schemas.openxmlformats.org/officeDocument/2006/relationships/hyperlink" Target="http://nammyeong.dge.es.kr/" TargetMode="External"/><Relationship Id="rId236" Type="http://schemas.openxmlformats.org/officeDocument/2006/relationships/hyperlink" Target="http://gi.dge.ms.kr/" TargetMode="External"/><Relationship Id="rId237" Type="http://schemas.openxmlformats.org/officeDocument/2006/relationships/hyperlink" Target="http://www.hyupsungkyungbok.dge.ms.kr/" TargetMode="External"/><Relationship Id="rId238" Type="http://schemas.openxmlformats.org/officeDocument/2006/relationships/hyperlink" Target="http://dgdowon.dge.es.kr/" TargetMode="External"/><Relationship Id="rId239" Type="http://schemas.openxmlformats.org/officeDocument/2006/relationships/hyperlink" Target="http://bonri.dge.es.kr/" TargetMode="External"/><Relationship Id="rId240" Type="http://schemas.openxmlformats.org/officeDocument/2006/relationships/hyperlink" Target="http://wolseo.dge.es.kr/" TargetMode="External"/><Relationship Id="rId241" Type="http://schemas.openxmlformats.org/officeDocument/2006/relationships/hyperlink" Target="http://wolam.dge.es.kr/" TargetMode="External"/><Relationship Id="rId242" Type="http://schemas.openxmlformats.org/officeDocument/2006/relationships/hyperlink" Target="http://ka.dge.ms.kr/" TargetMode="External"/><Relationship Id="rId243" Type="http://schemas.openxmlformats.org/officeDocument/2006/relationships/hyperlink" Target="http://daegun.dge.ms.kr/" TargetMode="External"/><Relationship Id="rId244" Type="http://schemas.openxmlformats.org/officeDocument/2006/relationships/hyperlink" Target="http://www.daegok.dge.ms.kr/" TargetMode="External"/><Relationship Id="rId245" Type="http://schemas.openxmlformats.org/officeDocument/2006/relationships/hyperlink" Target="http://daeseo.dge.ms.kr/" TargetMode="External"/><Relationship Id="rId246" Type="http://schemas.openxmlformats.org/officeDocument/2006/relationships/hyperlink" Target="http://daejin.dge.ms.kr/" TargetMode="External"/><Relationship Id="rId247" Type="http://schemas.openxmlformats.org/officeDocument/2006/relationships/hyperlink" Target="http://sangwon.dge.ms.kr/" TargetMode="External"/><Relationship Id="rId248" Type="http://schemas.openxmlformats.org/officeDocument/2006/relationships/hyperlink" Target="http://seonggok.dge.ms.kr/" TargetMode="External"/><Relationship Id="rId249" Type="http://schemas.openxmlformats.org/officeDocument/2006/relationships/hyperlink" Target="http://songhyun.dge.ms.kr/" TargetMode="External"/><Relationship Id="rId250" Type="http://schemas.openxmlformats.org/officeDocument/2006/relationships/hyperlink" Target="http://wolbae.dge.ms.kr/" TargetMode="External"/><Relationship Id="rId251" Type="http://schemas.openxmlformats.org/officeDocument/2006/relationships/hyperlink" Target="http://wolam.dge.ms.kr/" TargetMode="External"/><Relationship Id="rId252" Type="http://schemas.openxmlformats.org/officeDocument/2006/relationships/hyperlink" Target="http://www.dasa.dge.es.kr/" TargetMode="External"/><Relationship Id="rId253" Type="http://schemas.openxmlformats.org/officeDocument/2006/relationships/hyperlink" Target="http://donggok.dge.es.kr/" TargetMode="External"/><Relationship Id="rId254" Type="http://schemas.openxmlformats.org/officeDocument/2006/relationships/hyperlink" Target="http://bukdong.dge.es.kr/" TargetMode="External"/><Relationship Id="rId255" Type="http://schemas.openxmlformats.org/officeDocument/2006/relationships/hyperlink" Target="http://yonggye.dge.es.kr/" TargetMode="External"/><Relationship Id="rId256" Type="http://schemas.openxmlformats.org/officeDocument/2006/relationships/hyperlink" Target="http://yuga.dge.es.kr/" TargetMode="External"/><Relationship Id="rId257" Type="http://schemas.openxmlformats.org/officeDocument/2006/relationships/hyperlink" Target="http://dasa.dge.ms.kr/" TargetMode="External"/><Relationship Id="rId258" Type="http://schemas.openxmlformats.org/officeDocument/2006/relationships/hyperlink" Target="http://dalseo.dge.ms.kr/" TargetMode="External"/><Relationship Id="rId259" Type="http://schemas.openxmlformats.org/officeDocument/2006/relationships/hyperlink" Target="http://hyeonpung.dge.ms.kr/" TargetMode="External"/><Relationship Id="rId260" Type="http://schemas.openxmlformats.org/officeDocument/2006/relationships/hyperlink" Target="http://dongshin.dge.es.kr/" TargetMode="External"/><Relationship Id="rId261" Type="http://schemas.openxmlformats.org/officeDocument/2006/relationships/hyperlink" Target="http://www.palgong.es.kr/" TargetMode="External"/><Relationship Id="rId262" Type="http://schemas.openxmlformats.org/officeDocument/2006/relationships/hyperlink" Target="http://dongchon.dge.ms.kr/" TargetMode="External"/><Relationship Id="rId263" Type="http://schemas.openxmlformats.org/officeDocument/2006/relationships/hyperlink" Target="http://gyeongdong.dge.es.kr/" TargetMode="External"/><Relationship Id="rId264" Type="http://schemas.openxmlformats.org/officeDocument/2006/relationships/hyperlink" Target="http://deulangil.dge.es.kr/" TargetMode="External"/><Relationship Id="rId265" Type="http://schemas.openxmlformats.org/officeDocument/2006/relationships/hyperlink" Target="http://www.daeryun.dge.ms.kr/" TargetMode="External"/><Relationship Id="rId266" Type="http://schemas.openxmlformats.org/officeDocument/2006/relationships/hyperlink" Target="http://dukwon.dge.ms.kr/" TargetMode="External"/><Relationship Id="rId267" Type="http://schemas.openxmlformats.org/officeDocument/2006/relationships/hyperlink" Target="http://dukhwa.dge.ms.kr/" TargetMode="External"/><Relationship Id="rId268" Type="http://schemas.openxmlformats.org/officeDocument/2006/relationships/hyperlink" Target="http://www.shinmyung.dge.ms.kr/" TargetMode="External"/><Relationship Id="rId269" Type="http://schemas.openxmlformats.org/officeDocument/2006/relationships/hyperlink" Target="http://dgjeil.dge.ms.kr/" TargetMode="External"/><Relationship Id="rId270" Type="http://schemas.openxmlformats.org/officeDocument/2006/relationships/hyperlink" Target="http://gangbuk.dge.es.kr/" TargetMode="External"/><Relationship Id="rId271" Type="http://schemas.openxmlformats.org/officeDocument/2006/relationships/hyperlink" Target="http://daesan.dge.es.kr/" TargetMode="External"/><Relationship Id="rId272" Type="http://schemas.openxmlformats.org/officeDocument/2006/relationships/hyperlink" Target="http://hakjung.dge.es.kr/" TargetMode="External"/><Relationship Id="rId273" Type="http://schemas.openxmlformats.org/officeDocument/2006/relationships/hyperlink" Target="http://kmschool.dge.ms.kr/" TargetMode="External"/><Relationship Id="rId274" Type="http://schemas.openxmlformats.org/officeDocument/2006/relationships/hyperlink" Target="http://gwaneum.dge.ms.kr/" TargetMode="External"/><Relationship Id="rId275" Type="http://schemas.openxmlformats.org/officeDocument/2006/relationships/hyperlink" Target="http://dong-pyeong.dge.ms.kr/" TargetMode="External"/><Relationship Id="rId276" Type="http://schemas.openxmlformats.org/officeDocument/2006/relationships/hyperlink" Target="http://maecheon.dge.ms.kr/" TargetMode="External"/><Relationship Id="rId277" Type="http://schemas.openxmlformats.org/officeDocument/2006/relationships/hyperlink" Target="http://www.bokhyun.dge.ms.kr/" TargetMode="External"/><Relationship Id="rId278" Type="http://schemas.openxmlformats.org/officeDocument/2006/relationships/hyperlink" Target="http://www.sasu.dge.ms.kr/" TargetMode="External"/><Relationship Id="rId279" Type="http://schemas.openxmlformats.org/officeDocument/2006/relationships/hyperlink" Target="http://seonggwang.dge.ms.kr/" TargetMode="External"/><Relationship Id="rId280" Type="http://schemas.openxmlformats.org/officeDocument/2006/relationships/hyperlink" Target="http://woonam.dge.ms.kr/" TargetMode="External"/><Relationship Id="rId281" Type="http://schemas.openxmlformats.org/officeDocument/2006/relationships/hyperlink" Target="http://chimsan.dge.ms.kr/" TargetMode="External"/><Relationship Id="rId282" Type="http://schemas.openxmlformats.org/officeDocument/2006/relationships/hyperlink" Target="http://beesan.dge.es.kr/" TargetMode="External"/><Relationship Id="rId283" Type="http://schemas.openxmlformats.org/officeDocument/2006/relationships/hyperlink" Target="http://seopyeong.dge.es.kr/" TargetMode="External"/><Relationship Id="rId284" Type="http://schemas.openxmlformats.org/officeDocument/2006/relationships/hyperlink" Target="http://sdg.dge.es.kr/" TargetMode="External"/><Relationship Id="rId285" Type="http://schemas.openxmlformats.org/officeDocument/2006/relationships/hyperlink" Target="http://gyungun.dge.ms.kr/" TargetMode="External"/><Relationship Id="rId286" Type="http://schemas.openxmlformats.org/officeDocument/2006/relationships/hyperlink" Target="http://cn.dge.ms.kr/" TargetMode="External"/><Relationship Id="rId287" Type="http://schemas.openxmlformats.org/officeDocument/2006/relationships/hyperlink" Target="http://gabryong.icees.kr/" TargetMode="External"/><Relationship Id="rId288" Type="http://schemas.openxmlformats.org/officeDocument/2006/relationships/hyperlink" Target="http://ganghwa.icees.kr/" TargetMode="External"/><Relationship Id="rId289" Type="http://schemas.openxmlformats.org/officeDocument/2006/relationships/hyperlink" Target="http://habil.icees.kr/" TargetMode="External"/><Relationship Id="rId290" Type="http://schemas.openxmlformats.org/officeDocument/2006/relationships/hyperlink" Target="http://seungyoung.icems.kr/" TargetMode="External"/><Relationship Id="rId291" Type="http://schemas.openxmlformats.org/officeDocument/2006/relationships/hyperlink" Target="http://ganghwahs.icehs.kr/" TargetMode="External"/><Relationship Id="rId292" Type="http://schemas.openxmlformats.org/officeDocument/2006/relationships/hyperlink" Target="http://geomdan.icehs.kr/" TargetMode="External"/><Relationship Id="rId293" Type="http://schemas.openxmlformats.org/officeDocument/2006/relationships/hyperlink" Target="http://ieum.icehs.kr/" TargetMode="External"/><Relationship Id="rId294" Type="http://schemas.openxmlformats.org/officeDocument/2006/relationships/hyperlink" Target="http://in-hyoseong.icehs.kr/" TargetMode="External"/><Relationship Id="rId295" Type="http://schemas.openxmlformats.org/officeDocument/2006/relationships/hyperlink" Target="http://jakj.icehs.kr/" TargetMode="External"/><Relationship Id="rId296" Type="http://schemas.openxmlformats.org/officeDocument/2006/relationships/hyperlink" Target="http://gojan.icehs.kr/" TargetMode="External"/><Relationship Id="rId297" Type="http://schemas.openxmlformats.org/officeDocument/2006/relationships/hyperlink" Target="http://inam.icehs.kr/" TargetMode="External"/><Relationship Id="rId298" Type="http://schemas.openxmlformats.org/officeDocument/2006/relationships/hyperlink" Target="http://namdong.icehs.kr/" TargetMode="External"/><Relationship Id="rId299" Type="http://schemas.openxmlformats.org/officeDocument/2006/relationships/hyperlink" Target="http://ims.icehs.kr/" TargetMode="External"/><Relationship Id="rId300" Type="http://schemas.openxmlformats.org/officeDocument/2006/relationships/hyperlink" Target="http://songcheon.icehs.kr/" TargetMode="External"/><Relationship Id="rId301" Type="http://schemas.openxmlformats.org/officeDocument/2006/relationships/hyperlink" Target="http://hakik.icehs.kr/" TargetMode="External"/><Relationship Id="rId302" Type="http://schemas.openxmlformats.org/officeDocument/2006/relationships/hyperlink" Target="http://hakikgh.icehs.kr/" TargetMode="External"/><Relationship Id="rId303" Type="http://schemas.openxmlformats.org/officeDocument/2006/relationships/hyperlink" Target="http://msrose.icehs.kr/" TargetMode="External"/><Relationship Id="rId304" Type="http://schemas.openxmlformats.org/officeDocument/2006/relationships/hyperlink" Target="http://bgg.icehs.kr/" TargetMode="External"/><Relationship Id="rId305" Type="http://schemas.openxmlformats.org/officeDocument/2006/relationships/hyperlink" Target="http://bupyeong.icehs.kr/" TargetMode="External"/><Relationship Id="rId306" Type="http://schemas.openxmlformats.org/officeDocument/2006/relationships/hyperlink" Target="http://samsan.icehs.kr/" TargetMode="External"/><Relationship Id="rId307" Type="http://schemas.openxmlformats.org/officeDocument/2006/relationships/hyperlink" Target="http://buheung.icehs.kr/" TargetMode="External"/><Relationship Id="rId308" Type="http://schemas.openxmlformats.org/officeDocument/2006/relationships/hyperlink" Target="http://incheonsangjeong.icehs.kr/" TargetMode="External"/><Relationship Id="rId309" Type="http://schemas.openxmlformats.org/officeDocument/2006/relationships/hyperlink" Target="http://ijss.icehs.kr/" TargetMode="External"/><Relationship Id="rId310" Type="http://schemas.openxmlformats.org/officeDocument/2006/relationships/hyperlink" Target="http://garim.icehs.kr/" TargetMode="External"/><Relationship Id="rId311" Type="http://schemas.openxmlformats.org/officeDocument/2006/relationships/hyperlink" Target="http://gajwa.icehs.kr/" TargetMode="External"/><Relationship Id="rId312" Type="http://schemas.openxmlformats.org/officeDocument/2006/relationships/hyperlink" Target="http://sic.icehs.kr/" TargetMode="External"/><Relationship Id="rId313" Type="http://schemas.openxmlformats.org/officeDocument/2006/relationships/hyperlink" Target="http://ish.icehs.kr/main.do" TargetMode="External"/><Relationship Id="rId314" Type="http://schemas.openxmlformats.org/officeDocument/2006/relationships/hyperlink" Target="http://cheongra.icehs.kr/" TargetMode="External"/><Relationship Id="rId315" Type="http://schemas.openxmlformats.org/officeDocument/2006/relationships/hyperlink" Target="http://choeun.icehs.kr/" TargetMode="External"/><Relationship Id="rId316" Type="http://schemas.openxmlformats.org/officeDocument/2006/relationships/hyperlink" Target="http://songdo.icehs.kr/" TargetMode="External"/><Relationship Id="rId317" Type="http://schemas.openxmlformats.org/officeDocument/2006/relationships/hyperlink" Target="http://incheon-gh.icehs.kr/" TargetMode="External"/><Relationship Id="rId318" Type="http://schemas.openxmlformats.org/officeDocument/2006/relationships/hyperlink" Target="http://iys.icehs.kr/" TargetMode="External"/><Relationship Id="rId319" Type="http://schemas.openxmlformats.org/officeDocument/2006/relationships/hyperlink" Target="http://iasa.icehs.kr/" TargetMode="External"/><Relationship Id="rId320" Type="http://schemas.openxmlformats.org/officeDocument/2006/relationships/hyperlink" Target="http://gonghang-h.icehs.kr/" TargetMode="External"/><Relationship Id="rId321" Type="http://schemas.openxmlformats.org/officeDocument/2006/relationships/hyperlink" Target="http://yeongjong.icehs.kr/" TargetMode="External"/><Relationship Id="rId322" Type="http://schemas.openxmlformats.org/officeDocument/2006/relationships/hyperlink" Target="http://jungsan.icehs.kr/" TargetMode="External"/><Relationship Id="rId323" Type="http://schemas.openxmlformats.org/officeDocument/2006/relationships/hyperlink" Target="http://inil.icehs.kr/" TargetMode="External"/><Relationship Id="rId324" Type="http://schemas.openxmlformats.org/officeDocument/2006/relationships/hyperlink" Target="http://jego.icehs.kr/" TargetMode="External"/><Relationship Id="rId325" Type="http://schemas.openxmlformats.org/officeDocument/2006/relationships/hyperlink" Target="http://igwon.icees.kr/" TargetMode="External"/><Relationship Id="rId326" Type="http://schemas.openxmlformats.org/officeDocument/2006/relationships/hyperlink" Target="http://idohwaes.icees.kr/main.do" TargetMode="External"/><Relationship Id="rId327" Type="http://schemas.openxmlformats.org/officeDocument/2006/relationships/hyperlink" Target="http://yh.icees.kr/" TargetMode="External"/><Relationship Id="rId328" Type="http://schemas.openxmlformats.org/officeDocument/2006/relationships/hyperlink" Target="http://yhn.icees.kr/" TargetMode="External"/><Relationship Id="rId329" Type="http://schemas.openxmlformats.org/officeDocument/2006/relationships/hyperlink" Target="http://iyh.icees.kr/main.do" TargetMode="External"/><Relationship Id="rId330" Type="http://schemas.openxmlformats.org/officeDocument/2006/relationships/hyperlink" Target="http://yong.icems.kr/" TargetMode="External"/><Relationship Id="rId331" Type="http://schemas.openxmlformats.org/officeDocument/2006/relationships/hyperlink" Target="http://inha.icems.kr/" TargetMode="External"/><Relationship Id="rId332" Type="http://schemas.openxmlformats.org/officeDocument/2006/relationships/hyperlink" Target="http://unseo.icees.kr/" TargetMode="External"/><Relationship Id="rId333" Type="http://schemas.openxmlformats.org/officeDocument/2006/relationships/hyperlink" Target="http://sky.icees.kr/" TargetMode="External"/><Relationship Id="rId334" Type="http://schemas.openxmlformats.org/officeDocument/2006/relationships/hyperlink" Target="http://youngjong.icems.kr/" TargetMode="External"/><Relationship Id="rId335" Type="http://schemas.openxmlformats.org/officeDocument/2006/relationships/hyperlink" Target="http://gonghang.icems.kr/" TargetMode="External"/><Relationship Id="rId336" Type="http://schemas.openxmlformats.org/officeDocument/2006/relationships/hyperlink" Target="http://jungsan.icems.kr/" TargetMode="External"/><Relationship Id="rId337" Type="http://schemas.openxmlformats.org/officeDocument/2006/relationships/hyperlink" Target="http://brmh.icehs.kr/" TargetMode="External"/><Relationship Id="rId338" Type="http://schemas.openxmlformats.org/officeDocument/2006/relationships/hyperlink" Target="http://dongmyeong.icees.kr/" TargetMode="External"/><Relationship Id="rId339" Type="http://schemas.openxmlformats.org/officeDocument/2006/relationships/hyperlink" Target="http://iks.icems.kr/" TargetMode="External"/><Relationship Id="rId340" Type="http://schemas.openxmlformats.org/officeDocument/2006/relationships/hyperlink" Target="http://songdo.icems.kr/main.do" TargetMode="External"/><Relationship Id="rId341" Type="http://schemas.openxmlformats.org/officeDocument/2006/relationships/hyperlink" Target="http://shinheung.icems.kr/" TargetMode="External"/><Relationship Id="rId342" Type="http://schemas.openxmlformats.org/officeDocument/2006/relationships/hyperlink" Target="http://sh.icems.kr/" TargetMode="External"/><Relationship Id="rId343" Type="http://schemas.openxmlformats.org/officeDocument/2006/relationships/hyperlink" Target="http://inamchon.icees.kr/" TargetMode="External"/><Relationship Id="rId344" Type="http://schemas.openxmlformats.org/officeDocument/2006/relationships/hyperlink" Target="http://dongbu-ice.icees.kr/main.do" TargetMode="External"/><Relationship Id="rId345" Type="http://schemas.openxmlformats.org/officeDocument/2006/relationships/hyperlink" Target="http://sce.icees.kr/" TargetMode="External"/><Relationship Id="rId346" Type="http://schemas.openxmlformats.org/officeDocument/2006/relationships/hyperlink" Target="http://juwon.icees.kr/" TargetMode="External"/><Relationship Id="rId347" Type="http://schemas.openxmlformats.org/officeDocument/2006/relationships/hyperlink" Target="http://namdong.icems.kr/" TargetMode="External"/><Relationship Id="rId348" Type="http://schemas.openxmlformats.org/officeDocument/2006/relationships/hyperlink" Target="http://nongok.icems.kr/" TargetMode="External"/><Relationship Id="rId349" Type="http://schemas.openxmlformats.org/officeDocument/2006/relationships/hyperlink" Target="http://sic.icems.kr/" TargetMode="External"/><Relationship Id="rId350" Type="http://schemas.openxmlformats.org/officeDocument/2006/relationships/hyperlink" Target="http://idc.icees.kr/main.do" TargetMode="External"/><Relationship Id="rId351" Type="http://schemas.openxmlformats.org/officeDocument/2006/relationships/hyperlink" Target="http://mwg.icees.kr/" TargetMode="External"/><Relationship Id="rId352" Type="http://schemas.openxmlformats.org/officeDocument/2006/relationships/hyperlink" Target="http://misong.icees.kr/" TargetMode="External"/><Relationship Id="rId353" Type="http://schemas.openxmlformats.org/officeDocument/2006/relationships/hyperlink" Target="http://shinjeong.icees.kr/" TargetMode="External"/><Relationship Id="rId354" Type="http://schemas.openxmlformats.org/officeDocument/2006/relationships/hyperlink" Target="http://yeonsong.icees.kr/" TargetMode="External"/><Relationship Id="rId355" Type="http://schemas.openxmlformats.org/officeDocument/2006/relationships/hyperlink" Target="http://bakmun.icems.kr/" TargetMode="External"/><Relationship Id="rId356" Type="http://schemas.openxmlformats.org/officeDocument/2006/relationships/hyperlink" Target="http://yhm.icems.kr/" TargetMode="External"/><Relationship Id="rId357" Type="http://schemas.openxmlformats.org/officeDocument/2006/relationships/hyperlink" Target="http://okryun.icems.kr/" TargetMode="External"/><Relationship Id="rId358" Type="http://schemas.openxmlformats.org/officeDocument/2006/relationships/hyperlink" Target="http://hyeonsong.icems.kr/" TargetMode="External"/><Relationship Id="rId359" Type="http://schemas.openxmlformats.org/officeDocument/2006/relationships/hyperlink" Target="http://gilju.icees.kr/" TargetMode="External"/><Relationship Id="rId360" Type="http://schemas.openxmlformats.org/officeDocument/2006/relationships/hyperlink" Target="http://gyeyang.icems.kr/" TargetMode="External"/><Relationship Id="rId361" Type="http://schemas.openxmlformats.org/officeDocument/2006/relationships/hyperlink" Target="http://mh.icems.kr/" TargetMode="External"/><Relationship Id="rId362" Type="http://schemas.openxmlformats.org/officeDocument/2006/relationships/hyperlink" Target="http://bichg.icems.kr/" TargetMode="External"/><Relationship Id="rId363" Type="http://schemas.openxmlformats.org/officeDocument/2006/relationships/hyperlink" Target="http://bugin.icems.kr/" TargetMode="External"/><Relationship Id="rId364" Type="http://schemas.openxmlformats.org/officeDocument/2006/relationships/hyperlink" Target="http://galwol.icees.kr/" TargetMode="External"/><Relationship Id="rId365" Type="http://schemas.openxmlformats.org/officeDocument/2006/relationships/hyperlink" Target="http://igusan.icees.kr/" TargetMode="External"/><Relationship Id="rId366" Type="http://schemas.openxmlformats.org/officeDocument/2006/relationships/hyperlink" Target="http://misan.icees.kr/" TargetMode="External"/><Relationship Id="rId367" Type="http://schemas.openxmlformats.org/officeDocument/2006/relationships/hyperlink" Target="http://sgb.icees.kr/" TargetMode="External"/><Relationship Id="rId368" Type="http://schemas.openxmlformats.org/officeDocument/2006/relationships/hyperlink" Target="http://sangok.icees.kr/" TargetMode="External"/><Relationship Id="rId369" Type="http://schemas.openxmlformats.org/officeDocument/2006/relationships/hyperlink" Target="http://icce.icees.kr/" TargetMode="External"/><Relationship Id="rId370" Type="http://schemas.openxmlformats.org/officeDocument/2006/relationships/hyperlink" Target="http://bupyeongdong.icems.kr/" TargetMode="External"/><Relationship Id="rId371" Type="http://schemas.openxmlformats.org/officeDocument/2006/relationships/hyperlink" Target="http://bpgs.icems.kr/" TargetMode="External"/><Relationship Id="rId372" Type="http://schemas.openxmlformats.org/officeDocument/2006/relationships/hyperlink" Target="http://bp.icems.kr/" TargetMode="External"/><Relationship Id="rId373" Type="http://schemas.openxmlformats.org/officeDocument/2006/relationships/hyperlink" Target="http://i-buheung.icems.kr/" TargetMode="External"/><Relationship Id="rId374" Type="http://schemas.openxmlformats.org/officeDocument/2006/relationships/hyperlink" Target="http://sangok-girls.icems.kr/" TargetMode="External"/><Relationship Id="rId375" Type="http://schemas.openxmlformats.org/officeDocument/2006/relationships/hyperlink" Target="http://isamsan.icems.kr/main.do" TargetMode="External"/><Relationship Id="rId376" Type="http://schemas.openxmlformats.org/officeDocument/2006/relationships/hyperlink" Target="http://jinsan.icems.kr/" TargetMode="External"/><Relationship Id="rId377" Type="http://schemas.openxmlformats.org/officeDocument/2006/relationships/hyperlink" Target="http://dangha.icees.kr/main.do" TargetMode="External"/><Relationship Id="rId378" Type="http://schemas.openxmlformats.org/officeDocument/2006/relationships/hyperlink" Target="http://ara.icees.kr/" TargetMode="External"/><Relationship Id="rId379" Type="http://schemas.openxmlformats.org/officeDocument/2006/relationships/hyperlink" Target="http://iwd.icees.kr/" TargetMode="External"/><Relationship Id="rId380" Type="http://schemas.openxmlformats.org/officeDocument/2006/relationships/hyperlink" Target="http://ieum.icees.kr/" TargetMode="External"/><Relationship Id="rId381" Type="http://schemas.openxmlformats.org/officeDocument/2006/relationships/hyperlink" Target="http://bullo.icems.kr/" TargetMode="External"/><Relationship Id="rId382" Type="http://schemas.openxmlformats.org/officeDocument/2006/relationships/hyperlink" Target="http://dangha.icems.kr/" TargetMode="External"/><Relationship Id="rId383" Type="http://schemas.openxmlformats.org/officeDocument/2006/relationships/hyperlink" Target="http://bongsoo.icees.kr/main.do" TargetMode="External"/><Relationship Id="rId384" Type="http://schemas.openxmlformats.org/officeDocument/2006/relationships/hyperlink" Target="http://isns.icees.kr/" TargetMode="External"/><Relationship Id="rId385" Type="http://schemas.openxmlformats.org/officeDocument/2006/relationships/hyperlink" Target="http://cheongna.icees.kr/" TargetMode="External"/><Relationship Id="rId386" Type="http://schemas.openxmlformats.org/officeDocument/2006/relationships/hyperlink" Target="http://cheongram.icees.kr/" TargetMode="External"/><Relationship Id="rId387" Type="http://schemas.openxmlformats.org/officeDocument/2006/relationships/hyperlink" Target="http://cheongil.icees.kr/" TargetMode="External"/><Relationship Id="rId388" Type="http://schemas.openxmlformats.org/officeDocument/2006/relationships/hyperlink" Target="http://gajeong.icems.kr/" TargetMode="External"/><Relationship Id="rId389" Type="http://schemas.openxmlformats.org/officeDocument/2006/relationships/hyperlink" Target="http://kajwa.icems.kr/" TargetMode="External"/><Relationship Id="rId390" Type="http://schemas.openxmlformats.org/officeDocument/2006/relationships/hyperlink" Target="http://dicg.icems.kr/" TargetMode="External"/><Relationship Id="rId391" Type="http://schemas.openxmlformats.org/officeDocument/2006/relationships/hyperlink" Target="http://shinhyun.icems.kr/" TargetMode="External"/><Relationship Id="rId392" Type="http://schemas.openxmlformats.org/officeDocument/2006/relationships/hyperlink" Target="http://igy.icems.kr/" TargetMode="External"/><Relationship Id="rId393" Type="http://schemas.openxmlformats.org/officeDocument/2006/relationships/hyperlink" Target="http://choeun.icems.kr/" TargetMode="External"/><Relationship Id="rId394" Type="http://schemas.openxmlformats.org/officeDocument/2006/relationships/hyperlink" Target="http://gyelim.gen.es.kr/" TargetMode="External"/><Relationship Id="rId395" Type="http://schemas.openxmlformats.org/officeDocument/2006/relationships/hyperlink" Target="http://chosun.gen.ms.kr/" TargetMode="External"/><Relationship Id="rId396" Type="http://schemas.openxmlformats.org/officeDocument/2006/relationships/hyperlink" Target="http://soochang.gen.es.kr/" TargetMode="External"/><Relationship Id="rId397" Type="http://schemas.openxmlformats.org/officeDocument/2006/relationships/hyperlink" Target="http://ghd.gen.es.kr/" TargetMode="External"/><Relationship Id="rId398" Type="http://schemas.openxmlformats.org/officeDocument/2006/relationships/hyperlink" Target="http://gj-yangji.gen.es.kr/" TargetMode="External"/><Relationship Id="rId399" Type="http://schemas.openxmlformats.org/officeDocument/2006/relationships/hyperlink" Target="http://gshin.gen.ms.kr/" TargetMode="External"/><Relationship Id="rId400" Type="http://schemas.openxmlformats.org/officeDocument/2006/relationships/hyperlink" Target="http://salesio.gen.ms.kr/" TargetMode="External"/><Relationship Id="rId401" Type="http://schemas.openxmlformats.org/officeDocument/2006/relationships/hyperlink" Target="http://shingwang.gen.ms.kr/" TargetMode="External"/><Relationship Id="rId402" Type="http://schemas.openxmlformats.org/officeDocument/2006/relationships/hyperlink" Target="http://yangsan.gen.ms.kr/" TargetMode="External"/><Relationship Id="rId403" Type="http://schemas.openxmlformats.org/officeDocument/2006/relationships/hyperlink" Target="http://sanwol.gen.es.kr/" TargetMode="External"/><Relationship Id="rId404" Type="http://schemas.openxmlformats.org/officeDocument/2006/relationships/hyperlink" Target="http://samdo.gen.es.kr/" TargetMode="External"/><Relationship Id="rId405" Type="http://schemas.openxmlformats.org/officeDocument/2006/relationships/hyperlink" Target="http://k-songjeong.gen.es.kr/" TargetMode="External"/><Relationship Id="rId406" Type="http://schemas.openxmlformats.org/officeDocument/2006/relationships/hyperlink" Target="http://hnja.gen.es.kr/" TargetMode="External"/><Relationship Id="rId407" Type="http://schemas.openxmlformats.org/officeDocument/2006/relationships/hyperlink" Target="http://seonun.gen.ms.kr/" TargetMode="External"/><Relationship Id="rId408" Type="http://schemas.openxmlformats.org/officeDocument/2006/relationships/hyperlink" Target="http://daechon-j.gen.es.kr/" TargetMode="External"/><Relationship Id="rId409" Type="http://schemas.openxmlformats.org/officeDocument/2006/relationships/hyperlink" Target="http://moohak.gen.es.kr/" TargetMode="External"/><Relationship Id="rId410" Type="http://schemas.openxmlformats.org/officeDocument/2006/relationships/hyperlink" Target="http://jobong.gen.es.kr/" TargetMode="External"/><Relationship Id="rId411" Type="http://schemas.openxmlformats.org/officeDocument/2006/relationships/hyperlink" Target="http://dongsung.gen.ms.kr/" TargetMode="External"/><Relationship Id="rId412" Type="http://schemas.openxmlformats.org/officeDocument/2006/relationships/hyperlink" Target="http://k-yangdong.gen.es.kr/" TargetMode="External"/><Relationship Id="rId413" Type="http://schemas.openxmlformats.org/officeDocument/2006/relationships/hyperlink" Target="http://hwajungnam.gen.es.kr/" TargetMode="External"/><Relationship Id="rId414" Type="http://schemas.openxmlformats.org/officeDocument/2006/relationships/hyperlink" Target="http://seolwol.gen.hs.kr/" TargetMode="External"/><Relationship Id="rId415" Type="http://schemas.openxmlformats.org/officeDocument/2006/relationships/hyperlink" Target="http://gwangju.gen.hs.kr/" TargetMode="External"/><Relationship Id="rId416" Type="http://schemas.openxmlformats.org/officeDocument/2006/relationships/hyperlink" Target="http://salesio-g.gen.hs.kr/" TargetMode="External"/><Relationship Id="rId417" Type="http://schemas.openxmlformats.org/officeDocument/2006/relationships/hyperlink" Target="http://chosun.gen.hs.kr/" TargetMode="External"/><Relationship Id="rId418" Type="http://schemas.openxmlformats.org/officeDocument/2006/relationships/hyperlink" Target="http://gshin.gen.hs.kr/" TargetMode="External"/><Relationship Id="rId419" Type="http://schemas.openxmlformats.org/officeDocument/2006/relationships/hyperlink" Target="http://kds.gen.hs.kr/" TargetMode="External"/><Relationship Id="rId420" Type="http://schemas.openxmlformats.org/officeDocument/2006/relationships/hyperlink" Target="http://kdsg.gen.hs.kr/" TargetMode="External"/><Relationship Id="rId421" Type="http://schemas.openxmlformats.org/officeDocument/2006/relationships/hyperlink" Target="http://gubonghs.djsch.kr/" TargetMode="External"/><Relationship Id="rId422" Type="http://schemas.openxmlformats.org/officeDocument/2006/relationships/hyperlink" Target="http://mannyonhs.djsch.kr/" TargetMode="External"/><Relationship Id="rId423" Type="http://schemas.openxmlformats.org/officeDocument/2006/relationships/hyperlink" Target="http://dbhs.djsch.kr/" TargetMode="External"/><Relationship Id="rId424" Type="http://schemas.openxmlformats.org/officeDocument/2006/relationships/hyperlink" Target="http://seoil-ghs.djsch.kr/" TargetMode="External"/><Relationship Id="rId425" Type="http://schemas.openxmlformats.org/officeDocument/2006/relationships/hyperlink" Target="http://doanhs.djsch.kr/" TargetMode="External"/><Relationship Id="rId426" Type="http://schemas.openxmlformats.org/officeDocument/2006/relationships/hyperlink" Target="http://ndjhs.djsch.kr/" TargetMode="External"/><Relationship Id="rId427" Type="http://schemas.openxmlformats.org/officeDocument/2006/relationships/hyperlink" Target="http://djdongsanhs.djsch.kr/" TargetMode="External"/><Relationship Id="rId428" Type="http://schemas.openxmlformats.org/officeDocument/2006/relationships/hyperlink" Target="http://djjahs.djsch.kr/" TargetMode="External"/><Relationship Id="rId429" Type="http://schemas.openxmlformats.org/officeDocument/2006/relationships/hyperlink" Target="http://cnghs.djsch.kr/" TargetMode="External"/><Relationship Id="rId430" Type="http://schemas.openxmlformats.org/officeDocument/2006/relationships/hyperlink" Target="http://stjms.djsch.kr/" TargetMode="External"/><Relationship Id="rId431" Type="http://schemas.openxmlformats.org/officeDocument/2006/relationships/hyperlink" Target="http://panames.djsch.kr/" TargetMode="External"/><Relationship Id="rId432" Type="http://schemas.openxmlformats.org/officeDocument/2006/relationships/hyperlink" Target="http://ddjes.djsch.kr/" TargetMode="External"/><Relationship Id="rId433" Type="http://schemas.openxmlformats.org/officeDocument/2006/relationships/hyperlink" Target="http://gkes.djsch.kr/" TargetMode="External"/><Relationship Id="rId434" Type="http://schemas.openxmlformats.org/officeDocument/2006/relationships/hyperlink" Target="http://shinilms.djsch.kr/" TargetMode="External"/><Relationship Id="rId435" Type="http://schemas.openxmlformats.org/officeDocument/2006/relationships/hyperlink" Target="http://dongmyungms.djsch.kr/" TargetMode="External"/><Relationship Id="rId436" Type="http://schemas.openxmlformats.org/officeDocument/2006/relationships/hyperlink" Target="http://holstonms.djsch.kr/" TargetMode="External"/><Relationship Id="rId437" Type="http://schemas.openxmlformats.org/officeDocument/2006/relationships/hyperlink" Target="http://samcheones.djsch.kr/" TargetMode="External"/><Relationship Id="rId438" Type="http://schemas.openxmlformats.org/officeDocument/2006/relationships/hyperlink" Target="http://gapcheonms.djsch.kr/" TargetMode="External"/><Relationship Id="rId439" Type="http://schemas.openxmlformats.org/officeDocument/2006/relationships/hyperlink" Target="http://djnrums.djsch.kr/" TargetMode="External"/><Relationship Id="rId440" Type="http://schemas.openxmlformats.org/officeDocument/2006/relationships/hyperlink" Target="http://dunsanms.djsch.kr/" TargetMode="External"/><Relationship Id="rId441" Type="http://schemas.openxmlformats.org/officeDocument/2006/relationships/hyperlink" Target="http://namsunes.djsch.kr/" TargetMode="External"/><Relationship Id="rId442" Type="http://schemas.openxmlformats.org/officeDocument/2006/relationships/hyperlink" Target="http://daedeokes.djsch.kr/" TargetMode="External"/><Relationship Id="rId443" Type="http://schemas.openxmlformats.org/officeDocument/2006/relationships/hyperlink" Target="http://school.use.go.kr/ds-e" TargetMode="External"/><Relationship Id="rId444" Type="http://schemas.openxmlformats.org/officeDocument/2006/relationships/hyperlink" Target="http://okdong.es.kr/" TargetMode="External"/><Relationship Id="rId445" Type="http://schemas.openxmlformats.org/officeDocument/2006/relationships/hyperlink" Target="http://school.use.go.kr/okseo-e" TargetMode="External"/><Relationship Id="rId446" Type="http://schemas.openxmlformats.org/officeDocument/2006/relationships/hyperlink" Target="http://www.sinjeong.ms.kr/" TargetMode="External"/><Relationship Id="rId447" Type="http://schemas.openxmlformats.org/officeDocument/2006/relationships/hyperlink" Target="http://www.ulsangangnam.ms.kr/" TargetMode="External"/><Relationship Id="rId448" Type="http://schemas.openxmlformats.org/officeDocument/2006/relationships/hyperlink" Target="http://usdongbu.es.kr/" TargetMode="External"/><Relationship Id="rId449" Type="http://schemas.openxmlformats.org/officeDocument/2006/relationships/hyperlink" Target="http://school.use.go.kr/bangeojin-e/M01" TargetMode="External"/><Relationship Id="rId450" Type="http://schemas.openxmlformats.org/officeDocument/2006/relationships/hyperlink" Target="http://school.use.go.kr/maesan-e" TargetMode="External"/><Relationship Id="rId451" Type="http://schemas.openxmlformats.org/officeDocument/2006/relationships/hyperlink" Target="http://myeongchon.es.kr/" TargetMode="External"/><Relationship Id="rId452" Type="http://schemas.openxmlformats.org/officeDocument/2006/relationships/hyperlink" Target="http://school.use.go.kr/goheon-m/M01" TargetMode="External"/><Relationship Id="rId453" Type="http://schemas.openxmlformats.org/officeDocument/2006/relationships/hyperlink" Target="http://www.ushogye.ms.kr/" TargetMode="External"/><Relationship Id="rId454" Type="http://schemas.openxmlformats.org/officeDocument/2006/relationships/hyperlink" Target="http://daehyun.hs.kr/" TargetMode="External"/><Relationship Id="rId455" Type="http://schemas.openxmlformats.org/officeDocument/2006/relationships/hyperlink" Target="http://sungkwang.hs.kr/" TargetMode="External"/><Relationship Id="rId456" Type="http://schemas.openxmlformats.org/officeDocument/2006/relationships/hyperlink" Target="http://www.hwabong.hs.kr/" TargetMode="External"/><Relationship Id="rId457" Type="http://schemas.openxmlformats.org/officeDocument/2006/relationships/hyperlink" Target="http://gyeongui.hs.kr/" TargetMode="External"/><Relationship Id="rId458" Type="http://schemas.openxmlformats.org/officeDocument/2006/relationships/hyperlink" Target="http://www.yaksa.hs.kr/" TargetMode="External"/><Relationship Id="rId459" Type="http://schemas.openxmlformats.org/officeDocument/2006/relationships/hyperlink" Target="http://gapyeong-e.goegp.kr/" TargetMode="External"/><Relationship Id="rId460" Type="http://schemas.openxmlformats.org/officeDocument/2006/relationships/hyperlink" Target="http://jojong-e.goegp.kr/" TargetMode="External"/><Relationship Id="rId461" Type="http://schemas.openxmlformats.org/officeDocument/2006/relationships/hyperlink" Target="http://gapyeong-m.goegp.kr/" TargetMode="External"/><Relationship Id="rId462" Type="http://schemas.openxmlformats.org/officeDocument/2006/relationships/hyperlink" Target="http://gangseon-e.goegy.kr/" TargetMode="External"/><Relationship Id="rId463" Type="http://schemas.openxmlformats.org/officeDocument/2006/relationships/hyperlink" Target="http://gyjh-e.goegy.kr/" TargetMode="External"/><Relationship Id="rId464" Type="http://schemas.openxmlformats.org/officeDocument/2006/relationships/hyperlink" Target="http://wd-e.goegy.kr/" TargetMode="External"/><Relationship Id="rId465" Type="http://schemas.openxmlformats.org/officeDocument/2006/relationships/hyperlink" Target="http://jido-e-e.goegy.kr/" TargetMode="External"/><Relationship Id="rId466" Type="http://schemas.openxmlformats.org/officeDocument/2006/relationships/hyperlink" Target="http://ky-hansan-e.goegy.kr/" TargetMode="External"/><Relationship Id="rId467" Type="http://schemas.openxmlformats.org/officeDocument/2006/relationships/hyperlink" Target="http://hwajoong-e.goegy.kr/hwajoong-e/main.do" TargetMode="External"/><Relationship Id="rId468" Type="http://schemas.openxmlformats.org/officeDocument/2006/relationships/hyperlink" Target="http://ilsan-m.goegy.kr/ilsan-m/main.do" TargetMode="External"/><Relationship Id="rId469" Type="http://schemas.openxmlformats.org/officeDocument/2006/relationships/hyperlink" Target="http://kwangsung-e.goegm.kr/kwangsung-e/main.do" TargetMode="External"/><Relationship Id="rId470" Type="http://schemas.openxmlformats.org/officeDocument/2006/relationships/hyperlink" Target="http://garim-m.goegm.kr/" TargetMode="External"/><Relationship Id="rId471" Type="http://schemas.openxmlformats.org/officeDocument/2006/relationships/hyperlink" Target="http://ch-m.goegm.kr/" TargetMode="External"/><Relationship Id="rId472" Type="http://schemas.openxmlformats.org/officeDocument/2006/relationships/hyperlink" Target="http://gssky-e.goegh.kr/gssky-e/main.do" TargetMode="External"/><Relationship Id="rId473" Type="http://schemas.openxmlformats.org/officeDocument/2006/relationships/hyperlink" Target="http://gonjiam-e.goegh.kr/gonjiam-e/main.do" TargetMode="External"/><Relationship Id="rId474" Type="http://schemas.openxmlformats.org/officeDocument/2006/relationships/hyperlink" Target="http://ssangdong-e.goegh.kr/" TargetMode="External"/><Relationship Id="rId475" Type="http://schemas.openxmlformats.org/officeDocument/2006/relationships/hyperlink" Target="http://kyongan-m.goegh.kr/" TargetMode="External"/><Relationship Id="rId476" Type="http://schemas.openxmlformats.org/officeDocument/2006/relationships/hyperlink" Target="http://maeyang-m.goegh.kr/" TargetMode="External"/><Relationship Id="rId477" Type="http://schemas.openxmlformats.org/officeDocument/2006/relationships/hyperlink" Target="http://dansaem-e.goegh.kr/dansaem-e/main.do" TargetMode="External"/><Relationship Id="rId478" Type="http://schemas.openxmlformats.org/officeDocument/2006/relationships/hyperlink" Target="http://dongbu-e.goegh.kr/" TargetMode="External"/><Relationship Id="rId479" Type="http://schemas.openxmlformats.org/officeDocument/2006/relationships/hyperlink" Target="http://baekma-h.goegy.kr/" TargetMode="External"/><Relationship Id="rId480" Type="http://schemas.openxmlformats.org/officeDocument/2006/relationships/hyperlink" Target="http://paikyang-h.goegy.kr/" TargetMode="External"/><Relationship Id="rId481" Type="http://schemas.openxmlformats.org/officeDocument/2006/relationships/hyperlink" Target="http://sinwon-h.goegy.kr/" TargetMode="External"/><Relationship Id="rId482" Type="http://schemas.openxmlformats.org/officeDocument/2006/relationships/hyperlink" Target="http://angok-h.goegy.kr/" TargetMode="External"/><Relationship Id="rId483" Type="http://schemas.openxmlformats.org/officeDocument/2006/relationships/hyperlink" Target="http://isdj-h.goegy.kr/" TargetMode="External"/><Relationship Id="rId484" Type="http://schemas.openxmlformats.org/officeDocument/2006/relationships/hyperlink" Target="http://jeodong-h.goegy.kr/" TargetMode="External"/><Relationship Id="rId485" Type="http://schemas.openxmlformats.org/officeDocument/2006/relationships/hyperlink" Target="http://haengshin-h.goegy.kr/haengshin-h/main.do" TargetMode="External"/><Relationship Id="rId486" Type="http://schemas.openxmlformats.org/officeDocument/2006/relationships/hyperlink" Target="http://taejeon-h.goegh.kr/" TargetMode="External"/><Relationship Id="rId487" Type="http://schemas.openxmlformats.org/officeDocument/2006/relationships/hyperlink" Target="http://gurigirl-h.goegn.kr/" TargetMode="External"/><Relationship Id="rId488" Type="http://schemas.openxmlformats.org/officeDocument/2006/relationships/hyperlink" Target="http://topyeong-h.goegn.kr/" TargetMode="External"/><Relationship Id="rId489" Type="http://schemas.openxmlformats.org/officeDocument/2006/relationships/hyperlink" Target="http://gpjago.goegu.kr/" TargetMode="External"/><Relationship Id="rId490" Type="http://schemas.openxmlformats.org/officeDocument/2006/relationships/hyperlink" Target="http://gochon-h.gpoe.kr/" TargetMode="External"/><Relationship Id="rId491" Type="http://schemas.openxmlformats.org/officeDocument/2006/relationships/hyperlink" Target="http://gimpojeil-h.gpoe.kr/" TargetMode="External"/><Relationship Id="rId492" Type="http://schemas.openxmlformats.org/officeDocument/2006/relationships/hyperlink" Target="http://sawoo-h.gpoe.kr/" TargetMode="External"/><Relationship Id="rId493" Type="http://schemas.openxmlformats.org/officeDocument/2006/relationships/hyperlink" Target="http://yanggok-h.gpoe.kr/" TargetMode="External"/><Relationship Id="rId494" Type="http://schemas.openxmlformats.org/officeDocument/2006/relationships/hyperlink" Target="http://jingeon-h.goegn.kr/" TargetMode="External"/><Relationship Id="rId495" Type="http://schemas.openxmlformats.org/officeDocument/2006/relationships/hyperlink" Target="http://jinjeop-h.goegn.kr/" TargetMode="External"/><Relationship Id="rId496" Type="http://schemas.openxmlformats.org/officeDocument/2006/relationships/hyperlink" Target="http://www.goebc.kr/sn-h/main.do" TargetMode="External"/><Relationship Id="rId497" Type="http://schemas.openxmlformats.org/officeDocument/2006/relationships/hyperlink" Target="http://wonmihigh-h.goebc.kr/" TargetMode="External"/><Relationship Id="rId498" Type="http://schemas.openxmlformats.org/officeDocument/2006/relationships/hyperlink" Target="http://seohyun-h.goesn.kr/" TargetMode="External"/><Relationship Id="rId499" Type="http://schemas.openxmlformats.org/officeDocument/2006/relationships/hyperlink" Target="http://seongnamgs-h.goesn.kr/" TargetMode="External"/><Relationship Id="rId500" Type="http://schemas.openxmlformats.org/officeDocument/2006/relationships/hyperlink" Target="http://ssgh-h.goesn.kr/" TargetMode="External"/><Relationship Id="rId501" Type="http://schemas.openxmlformats.org/officeDocument/2006/relationships/hyperlink" Target="http://wiryehanbit-h.goesn.kr/" TargetMode="External"/><Relationship Id="rId502" Type="http://schemas.openxmlformats.org/officeDocument/2006/relationships/hyperlink" Target="http://imae-h.goesn.kr/" TargetMode="External"/><Relationship Id="rId503" Type="http://schemas.openxmlformats.org/officeDocument/2006/relationships/hyperlink" Target="http://gosaek-h.goesw.kr/" TargetMode="External"/><Relationship Id="rId504" Type="http://schemas.openxmlformats.org/officeDocument/2006/relationships/hyperlink" Target="http://daepyeong-h.goesw.kr/index.do" TargetMode="External"/><Relationship Id="rId505" Type="http://schemas.openxmlformats.org/officeDocument/2006/relationships/hyperlink" Target="http://maewon-h.goesw.kr/" TargetMode="External"/><Relationship Id="rId506" Type="http://schemas.openxmlformats.org/officeDocument/2006/relationships/hyperlink" Target="http://gg-ieumon.goesw.kr/" TargetMode="External"/><Relationship Id="rId507" Type="http://schemas.openxmlformats.org/officeDocument/2006/relationships/hyperlink" Target="http://jwg-h.goesh.kr/" TargetMode="External"/><Relationship Id="rId508" Type="http://schemas.openxmlformats.org/officeDocument/2006/relationships/hyperlink" Target="http://seongan-h.goeas.kr/" TargetMode="External"/><Relationship Id="rId509" Type="http://schemas.openxmlformats.org/officeDocument/2006/relationships/hyperlink" Target="http://gaon-h.goean.kr/" TargetMode="External"/><Relationship Id="rId510" Type="http://schemas.openxmlformats.org/officeDocument/2006/relationships/hyperlink" Target="http://gwanyang-h.goeay.kr/" TargetMode="External"/><Relationship Id="rId511" Type="http://schemas.openxmlformats.org/officeDocument/2006/relationships/hyperlink" Target="http://www.sungmoon.hs.kr/" TargetMode="External"/><Relationship Id="rId512" Type="http://schemas.openxmlformats.org/officeDocument/2006/relationships/hyperlink" Target="http://shinsung-h.goeay.kr/" TargetMode="External"/><Relationship Id="rId513" Type="http://schemas.openxmlformats.org/officeDocument/2006/relationships/hyperlink" Target="http://ymgh-h.goeay.kr/ymgh-h/main.do" TargetMode="External"/><Relationship Id="rId514" Type="http://schemas.openxmlformats.org/officeDocument/2006/relationships/hyperlink" Target="http://deokhyeon-h.goedy.kr/" TargetMode="External"/><Relationship Id="rId515" Type="http://schemas.openxmlformats.org/officeDocument/2006/relationships/hyperlink" Target="http://yangju-h.goedy.kr/yangju-h/main.do" TargetMode="External"/><Relationship Id="rId516" Type="http://schemas.openxmlformats.org/officeDocument/2006/relationships/hyperlink" Target="http://okbit-h.goedy.kr/" TargetMode="External"/><Relationship Id="rId517" Type="http://schemas.openxmlformats.org/officeDocument/2006/relationships/hyperlink" Target="http://jp-h.goeyp.kr/" TargetMode="External"/><Relationship Id="rId518" Type="http://schemas.openxmlformats.org/officeDocument/2006/relationships/hyperlink" Target="http://segyo-h.goehs.kr/" TargetMode="External"/><Relationship Id="rId519" Type="http://schemas.openxmlformats.org/officeDocument/2006/relationships/hyperlink" Target="http://seowon-h.goeyi.kr/" TargetMode="External"/><Relationship Id="rId520" Type="http://schemas.openxmlformats.org/officeDocument/2006/relationships/hyperlink" Target="http://www.hafs.hs.kr/" TargetMode="External"/><Relationship Id="rId521" Type="http://schemas.openxmlformats.org/officeDocument/2006/relationships/hyperlink" Target="http://buyong-h.goeujb.kr/" TargetMode="External"/><Relationship Id="rId522" Type="http://schemas.openxmlformats.org/officeDocument/2006/relationships/hyperlink" Target="http://songhyun-h.goeujb.kr/" TargetMode="External"/><Relationship Id="rId523" Type="http://schemas.openxmlformats.org/officeDocument/2006/relationships/hyperlink" Target="http://icheonhs.goeic.kr/" TargetMode="External"/><Relationship Id="rId524" Type="http://schemas.openxmlformats.org/officeDocument/2006/relationships/hyperlink" Target="http://gtan-h.goepj.kr/" TargetMode="External"/><Relationship Id="rId525" Type="http://schemas.openxmlformats.org/officeDocument/2006/relationships/hyperlink" Target="http://paju-coh-h.goepj.kr/" TargetMode="External"/><Relationship Id="rId526" Type="http://schemas.openxmlformats.org/officeDocument/2006/relationships/hyperlink" Target="http://hanbit-h.goepj.kr/" TargetMode="External"/><Relationship Id="rId527" Type="http://schemas.openxmlformats.org/officeDocument/2006/relationships/hyperlink" Target="http://jinwee-h.goept.kr/" TargetMode="External"/><Relationship Id="rId528" Type="http://schemas.openxmlformats.org/officeDocument/2006/relationships/hyperlink" Target="http://cheongbuk-h.goept.kr/" TargetMode="External"/><Relationship Id="rId529" Type="http://schemas.openxmlformats.org/officeDocument/2006/relationships/hyperlink" Target="http://pyeongtaek-gh-h.goept.kr/" TargetMode="External"/><Relationship Id="rId530" Type="http://schemas.openxmlformats.org/officeDocument/2006/relationships/hyperlink" Target="http://hyeonhwa-h.goept.kr/" TargetMode="External"/><Relationship Id="rId531" Type="http://schemas.openxmlformats.org/officeDocument/2006/relationships/hyperlink" Target="http://pocheon-h.goepc.kr/" TargetMode="External"/><Relationship Id="rId532" Type="http://schemas.openxmlformats.org/officeDocument/2006/relationships/hyperlink" Target="http://www.goegh.kr/gamil-h/main.do" TargetMode="External"/><Relationship Id="rId533" Type="http://schemas.openxmlformats.org/officeDocument/2006/relationships/hyperlink" Target="http://wawoo-h.goehs.kr/" TargetMode="External"/><Relationship Id="rId534" Type="http://schemas.openxmlformats.org/officeDocument/2006/relationships/hyperlink" Target="http://hwadam-h.goehs.kr/" TargetMode="External"/><Relationship Id="rId535" Type="http://schemas.openxmlformats.org/officeDocument/2006/relationships/hyperlink" Target="http://gagok-e.goegn.kr/" TargetMode="External"/><Relationship Id="rId536" Type="http://schemas.openxmlformats.org/officeDocument/2006/relationships/hyperlink" Target="http://nyjsaetbyeol-e.goegn.kr/" TargetMode="External"/><Relationship Id="rId537" Type="http://schemas.openxmlformats.org/officeDocument/2006/relationships/hyperlink" Target="http://byeolgaram-e.goegn.kr/" TargetMode="External"/><Relationship Id="rId538" Type="http://schemas.openxmlformats.org/officeDocument/2006/relationships/hyperlink" Target="http://www.nyjbp.es.kr/" TargetMode="External"/><Relationship Id="rId539" Type="http://schemas.openxmlformats.org/officeDocument/2006/relationships/hyperlink" Target="http://simseok-e.goegn.kr/simseok-e/main.do" TargetMode="External"/><Relationship Id="rId540" Type="http://schemas.openxmlformats.org/officeDocument/2006/relationships/hyperlink" Target="http://onam-e.goegn.kr/" TargetMode="External"/><Relationship Id="rId541" Type="http://schemas.openxmlformats.org/officeDocument/2006/relationships/hyperlink" Target="http://wabu-e.goegn.kr/wabu-e/main.do" TargetMode="External"/><Relationship Id="rId542" Type="http://schemas.openxmlformats.org/officeDocument/2006/relationships/hyperlink" Target="http://haemil-e.goegn.kr/" TargetMode="External"/><Relationship Id="rId543" Type="http://schemas.openxmlformats.org/officeDocument/2006/relationships/hyperlink" Target="http://pungyang-m.goegn.kr/" TargetMode="External"/><Relationship Id="rId544" Type="http://schemas.openxmlformats.org/officeDocument/2006/relationships/hyperlink" Target="http://gunpocho.goegu.kr/" TargetMode="External"/><Relationship Id="rId545" Type="http://schemas.openxmlformats.org/officeDocument/2006/relationships/hyperlink" Target="http://gungnaecho.goegu.kr/" TargetMode="External"/><Relationship Id="rId546" Type="http://schemas.openxmlformats.org/officeDocument/2006/relationships/hyperlink" Target="http://sanboncho.goegu.kr/index.do" TargetMode="External"/><Relationship Id="rId547" Type="http://schemas.openxmlformats.org/officeDocument/2006/relationships/hyperlink" Target="http://haneolcho.goegu.kr/" TargetMode="External"/><Relationship Id="rId548" Type="http://schemas.openxmlformats.org/officeDocument/2006/relationships/hyperlink" Target="http://dojangjung.goegu.kr/" TargetMode="External"/><Relationship Id="rId549" Type="http://schemas.openxmlformats.org/officeDocument/2006/relationships/hyperlink" Target="http://sawoo-e.gpoe.kr/" TargetMode="External"/><Relationship Id="rId550" Type="http://schemas.openxmlformats.org/officeDocument/2006/relationships/hyperlink" Target="http://singok-e.gpoe.kr/" TargetMode="External"/><Relationship Id="rId551" Type="http://schemas.openxmlformats.org/officeDocument/2006/relationships/hyperlink" Target="http://unyu-e.gpoe.kr/" TargetMode="External"/><Relationship Id="rId552" Type="http://schemas.openxmlformats.org/officeDocument/2006/relationships/hyperlink" Target="http://tongjin-m.gpoe.kr/" TargetMode="External"/><Relationship Id="rId553" Type="http://schemas.openxmlformats.org/officeDocument/2006/relationships/hyperlink" Target="http://www.sh.ms.kr/" TargetMode="External"/><Relationship Id="rId554" Type="http://schemas.openxmlformats.org/officeDocument/2006/relationships/hyperlink" Target="http://ganap-e.goedy.kr/ganap-e/main.do" TargetMode="External"/><Relationship Id="rId555" Type="http://schemas.openxmlformats.org/officeDocument/2006/relationships/hyperlink" Target="http://koam-e.goedy.kr/koam-e/main.do" TargetMode="External"/><Relationship Id="rId556" Type="http://schemas.openxmlformats.org/officeDocument/2006/relationships/hyperlink" Target="http://sangpae-e.goedy.kr/" TargetMode="External"/><Relationship Id="rId557" Type="http://schemas.openxmlformats.org/officeDocument/2006/relationships/hyperlink" Target="http://dowon-e.goebc.kr/" TargetMode="External"/><Relationship Id="rId558" Type="http://schemas.openxmlformats.org/officeDocument/2006/relationships/hyperlink" Target="http://angelschool-e.goebc.kr/" TargetMode="External"/><Relationship Id="rId559" Type="http://schemas.openxmlformats.org/officeDocument/2006/relationships/hyperlink" Target="http://sindoedu-e.goebc.kr/" TargetMode="External"/><Relationship Id="rId560" Type="http://schemas.openxmlformats.org/officeDocument/2006/relationships/hyperlink" Target="http://wmi-e.goebc.kr/" TargetMode="External"/><Relationship Id="rId561" Type="http://schemas.openxmlformats.org/officeDocument/2006/relationships/hyperlink" Target="http://jungheung-e.goebc.kr/" TargetMode="External"/><Relationship Id="rId562" Type="http://schemas.openxmlformats.org/officeDocument/2006/relationships/hyperlink" Target="http://beombak-m.goebc.kr/" TargetMode="External"/><Relationship Id="rId563" Type="http://schemas.openxmlformats.org/officeDocument/2006/relationships/hyperlink" Target="http://jh-m.goebc.kr/" TargetMode="External"/><Relationship Id="rId564" Type="http://schemas.openxmlformats.org/officeDocument/2006/relationships/hyperlink" Target="http://dangchon-e.goesn.kr/" TargetMode="External"/><Relationship Id="rId565" Type="http://schemas.openxmlformats.org/officeDocument/2006/relationships/hyperlink" Target="http://snsonghyeon-e.goesn.kr/" TargetMode="External"/><Relationship Id="rId566" Type="http://schemas.openxmlformats.org/officeDocument/2006/relationships/hyperlink" Target="http://snjangan-e.goesn.kr/" TargetMode="External"/><Relationship Id="rId567" Type="http://schemas.openxmlformats.org/officeDocument/2006/relationships/hyperlink" Target="http://wrjungang-e.goesn.kr/" TargetMode="External"/><Relationship Id="rId568" Type="http://schemas.openxmlformats.org/officeDocument/2006/relationships/hyperlink" Target="http://imae-e.goesn.kr/" TargetMode="External"/><Relationship Id="rId569" Type="http://schemas.openxmlformats.org/officeDocument/2006/relationships/hyperlink" Target="http://yangyoung-m.goesn.kr/" TargetMode="External"/><Relationship Id="rId570" Type="http://schemas.openxmlformats.org/officeDocument/2006/relationships/hyperlink" Target="http://gyujang-e.goesw.kr/" TargetMode="External"/><Relationship Id="rId571" Type="http://schemas.openxmlformats.org/officeDocument/2006/relationships/hyperlink" Target="http://sanui-e.goesw.kr/sanui-e/main.do" TargetMode="External"/><Relationship Id="rId572" Type="http://schemas.openxmlformats.org/officeDocument/2006/relationships/hyperlink" Target="http://swmaehwa-e.goesw.kr/index.do" TargetMode="External"/><Relationship Id="rId573" Type="http://schemas.openxmlformats.org/officeDocument/2006/relationships/hyperlink" Target="http://eui-e.goesw.kr/" TargetMode="External"/><Relationship Id="rId574" Type="http://schemas.openxmlformats.org/officeDocument/2006/relationships/hyperlink" Target="http://ipbuk-e.goesw.kr/" TargetMode="External"/><Relationship Id="rId575" Type="http://schemas.openxmlformats.org/officeDocument/2006/relationships/hyperlink" Target="http://jamwon-e.goesw.kr/" TargetMode="External"/><Relationship Id="rId576" Type="http://schemas.openxmlformats.org/officeDocument/2006/relationships/hyperlink" Target="http://jungchun-e.goesw.kr/jungchun-e/main.do" TargetMode="External"/><Relationship Id="rId577" Type="http://schemas.openxmlformats.org/officeDocument/2006/relationships/hyperlink" Target="http://namsuwon-m.goesw.kr/" TargetMode="External"/><Relationship Id="rId578" Type="http://schemas.openxmlformats.org/officeDocument/2006/relationships/hyperlink" Target="http://songwon-m.goesw.kr/" TargetMode="External"/><Relationship Id="rId579" Type="http://schemas.openxmlformats.org/officeDocument/2006/relationships/hyperlink" Target="http://sukji-m.goesw.kr/" TargetMode="External"/><Relationship Id="rId580" Type="http://schemas.openxmlformats.org/officeDocument/2006/relationships/hyperlink" Target="http://saenggeum-e.goesh.kr/" TargetMode="External"/><Relationship Id="rId581" Type="http://schemas.openxmlformats.org/officeDocument/2006/relationships/hyperlink" Target="http://sechon-e.goesh.kr/" TargetMode="External"/><Relationship Id="rId582" Type="http://schemas.openxmlformats.org/officeDocument/2006/relationships/hyperlink" Target="http://sihwa-e.goesh.kr/" TargetMode="External"/><Relationship Id="rId583" Type="http://schemas.openxmlformats.org/officeDocument/2006/relationships/hyperlink" Target="http://siheung-e.goesh.kr/" TargetMode="External"/><Relationship Id="rId584" Type="http://schemas.openxmlformats.org/officeDocument/2006/relationships/hyperlink" Target="http://seohae-m.goesh.kr/" TargetMode="External"/><Relationship Id="rId585" Type="http://schemas.openxmlformats.org/officeDocument/2006/relationships/hyperlink" Target="http://gaon21-m.goesh.kr/" TargetMode="External"/><Relationship Id="rId586" Type="http://schemas.openxmlformats.org/officeDocument/2006/relationships/hyperlink" Target="http://wolgot-m.goesh.kr/" TargetMode="External"/><Relationship Id="rId587" Type="http://schemas.openxmlformats.org/officeDocument/2006/relationships/hyperlink" Target="http://seonbu-e.goeas.kr/seonbu-e/main.do" TargetMode="External"/><Relationship Id="rId588" Type="http://schemas.openxmlformats.org/officeDocument/2006/relationships/hyperlink" Target="http://singil-e.goeas.kr/" TargetMode="External"/><Relationship Id="rId589" Type="http://schemas.openxmlformats.org/officeDocument/2006/relationships/hyperlink" Target="http://ansanseo-e.goeas.kr/ansanseo-e/main.do" TargetMode="External"/><Relationship Id="rId590" Type="http://schemas.openxmlformats.org/officeDocument/2006/relationships/hyperlink" Target="http://ansanhowon-e.goeas.kr/" TargetMode="External"/><Relationship Id="rId591" Type="http://schemas.openxmlformats.org/officeDocument/2006/relationships/hyperlink" Target="http://seongan-m.goeas.kr/" TargetMode="External"/><Relationship Id="rId592" Type="http://schemas.openxmlformats.org/officeDocument/2006/relationships/hyperlink" Target="http://manjeong-e.goean.kr/" TargetMode="External"/><Relationship Id="rId593" Type="http://schemas.openxmlformats.org/officeDocument/2006/relationships/hyperlink" Target="http://anseong-e.goean.kr/" TargetMode="External"/><Relationship Id="rId594" Type="http://schemas.openxmlformats.org/officeDocument/2006/relationships/hyperlink" Target="http://gongdo-m.goean.kr/gongdo-m/main.do" TargetMode="External"/><Relationship Id="rId595" Type="http://schemas.openxmlformats.org/officeDocument/2006/relationships/hyperlink" Target="http://yangjin-m.goean.kr/" TargetMode="External"/><Relationship Id="rId596" Type="http://schemas.openxmlformats.org/officeDocument/2006/relationships/hyperlink" Target="http://chonggye-e.goeay.kr/" TargetMode="External"/><Relationship Id="rId597" Type="http://schemas.openxmlformats.org/officeDocument/2006/relationships/hyperlink" Target="http://gcmunwon-m.goeay.kr/" TargetMode="External"/><Relationship Id="rId598" Type="http://schemas.openxmlformats.org/officeDocument/2006/relationships/hyperlink" Target="http://aydh-e.goeay.kr/aydh-e/main.do" TargetMode="External"/><Relationship Id="rId599" Type="http://schemas.openxmlformats.org/officeDocument/2006/relationships/hyperlink" Target="http://anyangseo-m.goeay.kr/" TargetMode="External"/><Relationship Id="rId600" Type="http://schemas.openxmlformats.org/officeDocument/2006/relationships/hyperlink" Target="http://gangha-m.goeyp.kr/" TargetMode="External"/><Relationship Id="rId601" Type="http://schemas.openxmlformats.org/officeDocument/2006/relationships/hyperlink" Target="http://ym-m.goeyp.kr/" TargetMode="External"/><Relationship Id="rId602" Type="http://schemas.openxmlformats.org/officeDocument/2006/relationships/hyperlink" Target="http://ohak-e.goeyj.kr/" TargetMode="External"/><Relationship Id="rId603" Type="http://schemas.openxmlformats.org/officeDocument/2006/relationships/hyperlink" Target="http://yjsejong-m.goeyj.kr/" TargetMode="External"/><Relationship Id="rId604" Type="http://schemas.openxmlformats.org/officeDocument/2006/relationships/hyperlink" Target="http://yeogang-m.goeyj.kr/" TargetMode="External"/><Relationship Id="rId605" Type="http://schemas.openxmlformats.org/officeDocument/2006/relationships/hyperlink" Target="http://heungcheon-m.goeyj.kr/heungcheon-m/main.do" TargetMode="External"/><Relationship Id="rId606" Type="http://schemas.openxmlformats.org/officeDocument/2006/relationships/hyperlink" Target="http://gunnam-em.goeyc.kr/gunnam-em/main.do" TargetMode="External"/><Relationship Id="rId607" Type="http://schemas.openxmlformats.org/officeDocument/2006/relationships/hyperlink" Target="http://yeoncheon-e.goeyc.kr/yeoncheon-e/main.do" TargetMode="External"/><Relationship Id="rId608" Type="http://schemas.openxmlformats.org/officeDocument/2006/relationships/hyperlink" Target="http://jeongok-e.goeyc.kr/jeongok-e/main.do" TargetMode="External"/><Relationship Id="rId609" Type="http://schemas.openxmlformats.org/officeDocument/2006/relationships/hyperlink" Target="http://gunnam-em.goeyc.kr/gunnam-em/main.do" TargetMode="External"/><Relationship Id="rId610" Type="http://schemas.openxmlformats.org/officeDocument/2006/relationships/hyperlink" Target="http://galgok-e.goeyi.kr/galgok-e/main.do" TargetMode="External"/><Relationship Id="rId611" Type="http://schemas.openxmlformats.org/officeDocument/2006/relationships/hyperlink" Target="http://www.goeyi.kr/yimb-e/main.do" TargetMode="External"/><Relationship Id="rId612" Type="http://schemas.openxmlformats.org/officeDocument/2006/relationships/hyperlink" Target="http://seowon-e.goeyi.kr/" TargetMode="External"/><Relationship Id="rId613" Type="http://schemas.openxmlformats.org/officeDocument/2006/relationships/hyperlink" Target="http://dunjeon-e.goeyi.kr/" TargetMode="External"/><Relationship Id="rId614" Type="http://schemas.openxmlformats.org/officeDocument/2006/relationships/hyperlink" Target="http://yong1000-e.goeyi.kr/" TargetMode="External"/><Relationship Id="rId615" Type="http://schemas.openxmlformats.org/officeDocument/2006/relationships/hyperlink" Target="http://yiseongji-m.goeyi.kr/" TargetMode="External"/><Relationship Id="rId616" Type="http://schemas.openxmlformats.org/officeDocument/2006/relationships/hyperlink" Target="http://eondong-m.goeyi.kr/" TargetMode="External"/><Relationship Id="rId617" Type="http://schemas.openxmlformats.org/officeDocument/2006/relationships/hyperlink" Target="http://yongindaedeok-m.goeyi.kr/" TargetMode="External"/><Relationship Id="rId618" Type="http://schemas.openxmlformats.org/officeDocument/2006/relationships/hyperlink" Target="http://yshinchon-m.goeyi.kr/" TargetMode="External"/><Relationship Id="rId619" Type="http://schemas.openxmlformats.org/officeDocument/2006/relationships/hyperlink" Target="http://www.goeyi.kr/e-hyun-m/main.do" TargetMode="External"/><Relationship Id="rId620" Type="http://schemas.openxmlformats.org/officeDocument/2006/relationships/hyperlink" Target="http://kosan-e.goeujb.kr/" TargetMode="External"/><Relationship Id="rId621" Type="http://schemas.openxmlformats.org/officeDocument/2006/relationships/hyperlink" Target="http://beodeulgae-e.goeujb.kr/" TargetMode="External"/><Relationship Id="rId622" Type="http://schemas.openxmlformats.org/officeDocument/2006/relationships/hyperlink" Target="http://sindong-e.goeujb.kr/" TargetMode="External"/><Relationship Id="rId623" Type="http://schemas.openxmlformats.org/officeDocument/2006/relationships/hyperlink" Target="http://ujbcheongryong-e.goeujb.kr/" TargetMode="External"/><Relationship Id="rId624" Type="http://schemas.openxmlformats.org/officeDocument/2006/relationships/hyperlink" Target="http://ujbg-m.goeujb.kr/" TargetMode="External"/><Relationship Id="rId625" Type="http://schemas.openxmlformats.org/officeDocument/2006/relationships/hyperlink" Target="http://doam.goeic.kr/" TargetMode="External"/><Relationship Id="rId626" Type="http://schemas.openxmlformats.org/officeDocument/2006/relationships/hyperlink" Target="http://majang.goeic.kr/" TargetMode="External"/><Relationship Id="rId627" Type="http://schemas.openxmlformats.org/officeDocument/2006/relationships/hyperlink" Target="http://icks.goeic.kr/" TargetMode="External"/><Relationship Id="rId628" Type="http://schemas.openxmlformats.org/officeDocument/2006/relationships/hyperlink" Target="http://daewolms.goeic.kr/" TargetMode="External"/><Relationship Id="rId629" Type="http://schemas.openxmlformats.org/officeDocument/2006/relationships/hyperlink" Target="http://bubal.ms.kr/" TargetMode="External"/><Relationship Id="rId630" Type="http://schemas.openxmlformats.org/officeDocument/2006/relationships/hyperlink" Target="http://dayul-e.goepj.kr/dayul-e/main.do" TargetMode="External"/><Relationship Id="rId631" Type="http://schemas.openxmlformats.org/officeDocument/2006/relationships/hyperlink" Target="http://saegeum-e.goepj.kr/saegeum-e/main.do" TargetMode="External"/><Relationship Id="rId632" Type="http://schemas.openxmlformats.org/officeDocument/2006/relationships/hyperlink" Target="http://jayu-e.goepj.kr/jayu-e/main.do" TargetMode="External"/><Relationship Id="rId633" Type="http://schemas.openxmlformats.org/officeDocument/2006/relationships/hyperlink" Target="http://www.goepj.kr/gumrung-m/main.do" TargetMode="External"/><Relationship Id="rId634" Type="http://schemas.openxmlformats.org/officeDocument/2006/relationships/hyperlink" Target="http://dongpae-m.goepj.kr/" TargetMode="External"/><Relationship Id="rId635" Type="http://schemas.openxmlformats.org/officeDocument/2006/relationships/hyperlink" Target="http://pjsn-m.goepj.kr/" TargetMode="External"/><Relationship Id="rId636" Type="http://schemas.openxmlformats.org/officeDocument/2006/relationships/hyperlink" Target="http://pt-kyesung-e.goept.kr/" TargetMode="External"/><Relationship Id="rId637" Type="http://schemas.openxmlformats.org/officeDocument/2006/relationships/hyperlink" Target="http://se-a-e.goept.kr/se-a-e/main.do" TargetMode="External"/><Relationship Id="rId638" Type="http://schemas.openxmlformats.org/officeDocument/2006/relationships/hyperlink" Target="http://anjoong-e.goept.kr/" TargetMode="External"/><Relationship Id="rId639" Type="http://schemas.openxmlformats.org/officeDocument/2006/relationships/hyperlink" Target="http://ptsonghwa-e.goept.kr/" TargetMode="External"/><Relationship Id="rId640" Type="http://schemas.openxmlformats.org/officeDocument/2006/relationships/hyperlink" Target="http://ptyoungshin-e.goept.kr/" TargetMode="External"/><Relationship Id="rId641" Type="http://schemas.openxmlformats.org/officeDocument/2006/relationships/hyperlink" Target="http://ptcheonga-e.goept.kr/" TargetMode="External"/><Relationship Id="rId642" Type="http://schemas.openxmlformats.org/officeDocument/2006/relationships/hyperlink" Target="http://jangdang-m.goept.kr/" TargetMode="External"/><Relationship Id="rId643" Type="http://schemas.openxmlformats.org/officeDocument/2006/relationships/hyperlink" Target="http://posongwoo-e.goepc.kr/posongwoo-e/main.do" TargetMode="External"/><Relationship Id="rId644" Type="http://schemas.openxmlformats.org/officeDocument/2006/relationships/hyperlink" Target="http://idong-e.goepc.kr/idong-e/main.do" TargetMode="External"/><Relationship Id="rId645" Type="http://schemas.openxmlformats.org/officeDocument/2006/relationships/hyperlink" Target="http://chukseok-e.goepc.kr/" TargetMode="External"/><Relationship Id="rId646" Type="http://schemas.openxmlformats.org/officeDocument/2006/relationships/hyperlink" Target="http://tb-e.goepc.kr/" TargetMode="External"/><Relationship Id="rId647" Type="http://schemas.openxmlformats.org/officeDocument/2006/relationships/hyperlink" Target="http://maehol-e.goehs.kr/maehol-e/main.do" TargetMode="External"/><Relationship Id="rId648" Type="http://schemas.openxmlformats.org/officeDocument/2006/relationships/hyperlink" Target="http://osan-m.goehs.kr/" TargetMode="External"/><Relationship Id="rId649" Type="http://schemas.openxmlformats.org/officeDocument/2006/relationships/hyperlink" Target="http://neulbom-e.goehs.kr/" TargetMode="External"/><Relationship Id="rId650" Type="http://schemas.openxmlformats.org/officeDocument/2006/relationships/hyperlink" Target="http://banggyo-e.goehs.kr/" TargetMode="External"/><Relationship Id="rId651" Type="http://schemas.openxmlformats.org/officeDocument/2006/relationships/hyperlink" Target="http://esol-e.goehs.kr/" TargetMode="External"/><Relationship Id="rId652" Type="http://schemas.openxmlformats.org/officeDocument/2006/relationships/hyperlink" Target="http://junglim-e.goehs.kr/" TargetMode="External"/><Relationship Id="rId653" Type="http://schemas.openxmlformats.org/officeDocument/2006/relationships/hyperlink" Target="http://taean-hs-e.goehs.kr/" TargetMode="External"/><Relationship Id="rId654" Type="http://schemas.openxmlformats.org/officeDocument/2006/relationships/hyperlink" Target="http://hj2008-e.goehs.kr/" TargetMode="External"/><Relationship Id="rId655" Type="http://schemas.openxmlformats.org/officeDocument/2006/relationships/hyperlink" Target="http://hshwawon-e.goehs.kr/" TargetMode="External"/><Relationship Id="rId656" Type="http://schemas.openxmlformats.org/officeDocument/2006/relationships/hyperlink" Target="http://kian-m.goehs.kr/" TargetMode="External"/><Relationship Id="rId657" Type="http://schemas.openxmlformats.org/officeDocument/2006/relationships/hyperlink" Target="http://neungdong-m.goehs.kr/" TargetMode="External"/><Relationship Id="rId658" Type="http://schemas.openxmlformats.org/officeDocument/2006/relationships/hyperlink" Target="http://banggyo-m.goehs.kr/" TargetMode="External"/><Relationship Id="rId659" Type="http://schemas.openxmlformats.org/officeDocument/2006/relationships/hyperlink" Target="http://school.cbe.go.kr/doan-e/M01" TargetMode="External"/><Relationship Id="rId660" Type="http://schemas.openxmlformats.org/officeDocument/2006/relationships/hyperlink" Target="http://school.cbe.go.kr/jukri-e/M01" TargetMode="External"/><Relationship Id="rId661" Type="http://schemas.openxmlformats.org/officeDocument/2006/relationships/hyperlink" Target="http://school.cbe.go.kr/eumseong-h/M01" TargetMode="External"/><Relationship Id="rId662" Type="http://schemas.openxmlformats.org/officeDocument/2006/relationships/hyperlink" Target="http://school.cbe.go.kr/jcg-h" TargetMode="External"/><Relationship Id="rId663" Type="http://schemas.openxmlformats.org/officeDocument/2006/relationships/hyperlink" Target="http://school.cbe.go.kr/kch-h" TargetMode="External"/><Relationship Id="rId664" Type="http://schemas.openxmlformats.org/officeDocument/2006/relationships/hyperlink" Target="http://school.cbe.go.kr/cbm-h/M01" TargetMode="External"/><Relationship Id="rId665" Type="http://schemas.openxmlformats.org/officeDocument/2006/relationships/hyperlink" Target="http://school.cbe.go.kr/sannam-h" TargetMode="External"/><Relationship Id="rId666" Type="http://schemas.openxmlformats.org/officeDocument/2006/relationships/hyperlink" Target="http://school.cbe.go.kr/os-h" TargetMode="External"/><Relationship Id="rId667" Type="http://schemas.openxmlformats.org/officeDocument/2006/relationships/hyperlink" Target="http://school.cbe.go.kr/unho-h" TargetMode="External"/><Relationship Id="rId668" Type="http://schemas.openxmlformats.org/officeDocument/2006/relationships/hyperlink" Target="http://school.cbe.go.kr/juseong-h" TargetMode="External"/><Relationship Id="rId669" Type="http://schemas.openxmlformats.org/officeDocument/2006/relationships/hyperlink" Target="http://shinheung.sc.kr/" TargetMode="External"/><Relationship Id="rId670" Type="http://schemas.openxmlformats.org/officeDocument/2006/relationships/hyperlink" Target="http://school.cbe.go.kr/hds-h" TargetMode="External"/><Relationship Id="rId671" Type="http://schemas.openxmlformats.org/officeDocument/2006/relationships/hyperlink" Target="http://www.joongsan.hs.kr/" TargetMode="External"/><Relationship Id="rId672" Type="http://schemas.openxmlformats.org/officeDocument/2006/relationships/hyperlink" Target="http://school.cbe.go.kr/sungsim-s" TargetMode="External"/><Relationship Id="rId673" Type="http://schemas.openxmlformats.org/officeDocument/2006/relationships/hyperlink" Target="http://school.cbe.go.kr/cjhs-s" TargetMode="External"/><Relationship Id="rId674" Type="http://schemas.openxmlformats.org/officeDocument/2006/relationships/hyperlink" Target="http://school.cbe.go.kr/sangjincho-e" TargetMode="External"/><Relationship Id="rId675" Type="http://schemas.openxmlformats.org/officeDocument/2006/relationships/hyperlink" Target="http://school.cbe.go.kr/sejung-e" TargetMode="External"/><Relationship Id="rId676" Type="http://schemas.openxmlformats.org/officeDocument/2006/relationships/hyperlink" Target="http://school.cbe.go.kr/hwanggan-e" TargetMode="External"/><Relationship Id="rId677" Type="http://schemas.openxmlformats.org/officeDocument/2006/relationships/hyperlink" Target="http://school.cbe.go.kr/wangmi-e/M01" TargetMode="External"/><Relationship Id="rId678" Type="http://schemas.openxmlformats.org/officeDocument/2006/relationships/hyperlink" Target="http://school.cbe.go.kr/daeje-m" TargetMode="External"/><Relationship Id="rId679" Type="http://schemas.openxmlformats.org/officeDocument/2006/relationships/hyperlink" Target="http://school.cbe.go.kr/kumgu-e" TargetMode="External"/><Relationship Id="rId680" Type="http://schemas.openxmlformats.org/officeDocument/2006/relationships/hyperlink" Target="http://school.cbe.go.kr/sungam-e" TargetMode="External"/><Relationship Id="rId681" Type="http://schemas.openxmlformats.org/officeDocument/2006/relationships/hyperlink" Target="http://school.cbe.go.kr/jcsangsin-e" TargetMode="External"/><Relationship Id="rId682" Type="http://schemas.openxmlformats.org/officeDocument/2006/relationships/hyperlink" Target="http://school.cbe.go.kr/chopyong-e" TargetMode="External"/><Relationship Id="rId683" Type="http://schemas.openxmlformats.org/officeDocument/2006/relationships/hyperlink" Target="http://school.cbe.go.kr/seojeon-m" TargetMode="External"/><Relationship Id="rId684" Type="http://schemas.openxmlformats.org/officeDocument/2006/relationships/hyperlink" Target="http://school.cbe.go.kr/kyongsan-e" TargetMode="External"/><Relationship Id="rId685" Type="http://schemas.openxmlformats.org/officeDocument/2006/relationships/hyperlink" Target="http://school.cbe.go.kr/gyodong-e/M01" TargetMode="External"/><Relationship Id="rId686" Type="http://schemas.openxmlformats.org/officeDocument/2006/relationships/hyperlink" Target="http://school.cbe.go.kr/deokseong-e" TargetMode="External"/><Relationship Id="rId687" Type="http://schemas.openxmlformats.org/officeDocument/2006/relationships/hyperlink" Target="http://school.cbe.go.kr/sajig-e" TargetMode="External"/><Relationship Id="rId688" Type="http://schemas.openxmlformats.org/officeDocument/2006/relationships/hyperlink" Target="http://school.cbe.go.kr/cbsachon-e" TargetMode="External"/><Relationship Id="rId689" Type="http://schemas.openxmlformats.org/officeDocument/2006/relationships/hyperlink" Target="http://school.cbe.go.kr/sn-e" TargetMode="External"/><Relationship Id="rId690" Type="http://schemas.openxmlformats.org/officeDocument/2006/relationships/hyperlink" Target="http://school.cbe.go.kr/osongsolmi-e" TargetMode="External"/><Relationship Id="rId691" Type="http://schemas.openxmlformats.org/officeDocument/2006/relationships/hyperlink" Target="http://school.cbe.go.kr/osong-e" TargetMode="External"/><Relationship Id="rId692" Type="http://schemas.openxmlformats.org/officeDocument/2006/relationships/hyperlink" Target="http://school.cbe.go.kr/cms-m" TargetMode="External"/><Relationship Id="rId693" Type="http://schemas.openxmlformats.org/officeDocument/2006/relationships/hyperlink" Target="http://school.cbe.go.kr/judeokhwagok-e/M01" TargetMode="External"/><Relationship Id="rId694" Type="http://schemas.openxmlformats.org/officeDocument/2006/relationships/hyperlink" Target="http://school.cbe.go.kr/cjnamsan-e" TargetMode="External"/><Relationship Id="rId695" Type="http://schemas.openxmlformats.org/officeDocument/2006/relationships/hyperlink" Target="http://school.cbe.go.kr/cjsungnam-e" TargetMode="External"/><Relationship Id="rId696" Type="http://schemas.openxmlformats.org/officeDocument/2006/relationships/hyperlink" Target="http://school.cbe.go.kr/cjyongsan-e" TargetMode="External"/><Relationship Id="rId697" Type="http://schemas.openxmlformats.org/officeDocument/2006/relationships/hyperlink" Target="http://shinmyong.ms.kr/" TargetMode="External"/><Relationship Id="rId698" Type="http://schemas.openxmlformats.org/officeDocument/2006/relationships/hyperlink" Target="http://school.cbe.go.kr/meeduck-m" TargetMode="External"/><Relationship Id="rId699" Type="http://schemas.openxmlformats.org/officeDocument/2006/relationships/hyperlink" Target="http://school.jbedu.kr/jb-gapyeong" TargetMode="External"/><Relationship Id="rId700" Type="http://schemas.openxmlformats.org/officeDocument/2006/relationships/hyperlink" Target="http://www.gosu.es.kr/" TargetMode="External"/><Relationship Id="rId701" Type="http://schemas.openxmlformats.org/officeDocument/2006/relationships/hyperlink" Target="http://www.jb-gochang.es.kr/" TargetMode="External"/><Relationship Id="rId702" Type="http://schemas.openxmlformats.org/officeDocument/2006/relationships/hyperlink" Target="http://www.gochangnam.ms.kr/" TargetMode="External"/><Relationship Id="rId703" Type="http://schemas.openxmlformats.org/officeDocument/2006/relationships/hyperlink" Target="http://www.ysite.ms.kr/" TargetMode="External"/><Relationship Id="rId704" Type="http://schemas.openxmlformats.org/officeDocument/2006/relationships/hyperlink" Target="http://school.jbedu.kr/jbaihs" TargetMode="External"/><Relationship Id="rId705" Type="http://schemas.openxmlformats.org/officeDocument/2006/relationships/hyperlink" Target="http://myounghwa.sc.kr/" TargetMode="External"/><Relationship Id="rId706" Type="http://schemas.openxmlformats.org/officeDocument/2006/relationships/hyperlink" Target="http://seojin.hs.kr/" TargetMode="External"/><Relationship Id="rId707" Type="http://schemas.openxmlformats.org/officeDocument/2006/relationships/hyperlink" Target="http://www.seongwon.hs.kr/" TargetMode="External"/><Relationship Id="rId708" Type="http://schemas.openxmlformats.org/officeDocument/2006/relationships/hyperlink" Target="http://school.jbedu.kr/game" TargetMode="External"/><Relationship Id="rId709" Type="http://schemas.openxmlformats.org/officeDocument/2006/relationships/hyperlink" Target="http://school.jbedu.kr/ejbs" TargetMode="External"/><Relationship Id="rId710" Type="http://schemas.openxmlformats.org/officeDocument/2006/relationships/hyperlink" Target="http://school.jbedu.kr/hygchs" TargetMode="External"/><Relationship Id="rId711" Type="http://schemas.openxmlformats.org/officeDocument/2006/relationships/hyperlink" Target="http://kijun.hs.kr/" TargetMode="External"/><Relationship Id="rId712" Type="http://schemas.openxmlformats.org/officeDocument/2006/relationships/hyperlink" Target="http://jsh.hs.kr/" TargetMode="External"/><Relationship Id="rId713" Type="http://schemas.openxmlformats.org/officeDocument/2006/relationships/hyperlink" Target="http://jungang.hs.kr/" TargetMode="External"/><Relationship Id="rId714" Type="http://schemas.openxmlformats.org/officeDocument/2006/relationships/hyperlink" Target="http://www.hanilgo.hs.kr/" TargetMode="External"/><Relationship Id="rId715" Type="http://schemas.openxmlformats.org/officeDocument/2006/relationships/hyperlink" Target="http://school.jbedu.kr/no1" TargetMode="External"/><Relationship Id="rId716" Type="http://schemas.openxmlformats.org/officeDocument/2006/relationships/hyperlink" Target="http://school.jbedu.kr/eunhwa" TargetMode="External"/><Relationship Id="rId717" Type="http://schemas.openxmlformats.org/officeDocument/2006/relationships/hyperlink" Target="http://www.baeyoung.hs.kr/" TargetMode="External"/><Relationship Id="rId718" Type="http://schemas.openxmlformats.org/officeDocument/2006/relationships/hyperlink" Target="http://www.honam.hs.kr/" TargetMode="External"/><Relationship Id="rId719" Type="http://schemas.openxmlformats.org/officeDocument/2006/relationships/hyperlink" Target="http://www.ksnam.es.kr/" TargetMode="External"/><Relationship Id="rId720" Type="http://schemas.openxmlformats.org/officeDocument/2006/relationships/hyperlink" Target="http://www.kswm.es.kr/" TargetMode="External"/><Relationship Id="rId721" Type="http://schemas.openxmlformats.org/officeDocument/2006/relationships/hyperlink" Target="http://www.dangbuk.es.kr/" TargetMode="External"/><Relationship Id="rId722" Type="http://schemas.openxmlformats.org/officeDocument/2006/relationships/hyperlink" Target="http://www.smg.es.kr/" TargetMode="External"/><Relationship Id="rId723" Type="http://schemas.openxmlformats.org/officeDocument/2006/relationships/hyperlink" Target="http://www.seosu.es.kr/" TargetMode="External"/><Relationship Id="rId724" Type="http://schemas.openxmlformats.org/officeDocument/2006/relationships/hyperlink" Target="http://www.obong.es.kr/" TargetMode="External"/><Relationship Id="rId725" Type="http://schemas.openxmlformats.org/officeDocument/2006/relationships/hyperlink" Target="http://www.ksimpy.es.kr/" TargetMode="External"/><Relationship Id="rId726" Type="http://schemas.openxmlformats.org/officeDocument/2006/relationships/hyperlink" Target="http://gd.ms.kr/" TargetMode="External"/><Relationship Id="rId727" Type="http://schemas.openxmlformats.org/officeDocument/2006/relationships/hyperlink" Target="http://geumgu.kr/" TargetMode="External"/><Relationship Id="rId728" Type="http://schemas.openxmlformats.org/officeDocument/2006/relationships/hyperlink" Target="http://www.geomsan.es.kr/" TargetMode="External"/><Relationship Id="rId729" Type="http://schemas.openxmlformats.org/officeDocument/2006/relationships/hyperlink" Target="http://choche0123.es.kr/" TargetMode="External"/><Relationship Id="rId730" Type="http://schemas.openxmlformats.org/officeDocument/2006/relationships/hyperlink" Target="http://school.jbedu.kr/mujuja" TargetMode="External"/><Relationship Id="rId731" Type="http://schemas.openxmlformats.org/officeDocument/2006/relationships/hyperlink" Target="http://ha.es.kr/" TargetMode="External"/><Relationship Id="rId732" Type="http://schemas.openxmlformats.org/officeDocument/2006/relationships/hyperlink" Target="http://kurim.kr/" TargetMode="External"/><Relationship Id="rId733" Type="http://schemas.openxmlformats.org/officeDocument/2006/relationships/hyperlink" Target="http://sunchang.es.kr/" TargetMode="External"/><Relationship Id="rId734" Type="http://schemas.openxmlformats.org/officeDocument/2006/relationships/hyperlink" Target="http://www.ganjung.es.kr/" TargetMode="External"/><Relationship Id="rId735" Type="http://schemas.openxmlformats.org/officeDocument/2006/relationships/hyperlink" Target="http://gui.es.kr/" TargetMode="External"/><Relationship Id="rId736" Type="http://schemas.openxmlformats.org/officeDocument/2006/relationships/hyperlink" Target="http://www.daedeok.es.kr/" TargetMode="External"/><Relationship Id="rId737" Type="http://schemas.openxmlformats.org/officeDocument/2006/relationships/hyperlink" Target="http://www.jb-samjung.es.kr/" TargetMode="External"/><Relationship Id="rId738" Type="http://schemas.openxmlformats.org/officeDocument/2006/relationships/hyperlink" Target="http://school.jbedu.kr/samrye" TargetMode="External"/><Relationship Id="rId739" Type="http://schemas.openxmlformats.org/officeDocument/2006/relationships/hyperlink" Target="http://www.jb-yongbong.es.kr/" TargetMode="External"/><Relationship Id="rId740" Type="http://schemas.openxmlformats.org/officeDocument/2006/relationships/hyperlink" Target="http://school.jbedu.kr/cheongwan" TargetMode="External"/><Relationship Id="rId741" Type="http://schemas.openxmlformats.org/officeDocument/2006/relationships/hyperlink" Target="http://jb-soyang.ms.kr/" TargetMode="External"/><Relationship Id="rId742" Type="http://schemas.openxmlformats.org/officeDocument/2006/relationships/hyperlink" Target="http://www.youngman.es.kr/" TargetMode="External"/><Relationship Id="rId743" Type="http://schemas.openxmlformats.org/officeDocument/2006/relationships/hyperlink" Target="http://www.yongsan4u.es.kr/" TargetMode="External"/><Relationship Id="rId744" Type="http://schemas.openxmlformats.org/officeDocument/2006/relationships/hyperlink" Target="http://www.irinam.es.kr/" TargetMode="External"/><Relationship Id="rId745" Type="http://schemas.openxmlformats.org/officeDocument/2006/relationships/hyperlink" Target="http://www.iryd.es.kr/" TargetMode="External"/><Relationship Id="rId746" Type="http://schemas.openxmlformats.org/officeDocument/2006/relationships/hyperlink" Target="http://isgaon.es.kr/" TargetMode="External"/><Relationship Id="rId747" Type="http://schemas.openxmlformats.org/officeDocument/2006/relationships/hyperlink" Target="http://school.jbedu.kr/chunpo" TargetMode="External"/><Relationship Id="rId748" Type="http://schemas.openxmlformats.org/officeDocument/2006/relationships/hyperlink" Target="http://www.hnam.es.kr/" TargetMode="External"/><Relationship Id="rId749" Type="http://schemas.openxmlformats.org/officeDocument/2006/relationships/hyperlink" Target="http://jb-namsung.ms.kr/" TargetMode="External"/><Relationship Id="rId750" Type="http://schemas.openxmlformats.org/officeDocument/2006/relationships/hyperlink" Target="http://www.i-il.ms.kr/" TargetMode="External"/><Relationship Id="rId751" Type="http://schemas.openxmlformats.org/officeDocument/2006/relationships/hyperlink" Target="http://www.imsildong.ms.kr/" TargetMode="External"/><Relationship Id="rId752" Type="http://schemas.openxmlformats.org/officeDocument/2006/relationships/hyperlink" Target="http://www.sunamcho.es.kr/" TargetMode="External"/><Relationship Id="rId753" Type="http://schemas.openxmlformats.org/officeDocument/2006/relationships/hyperlink" Target="http://school.jbedu.kr/jjdj" TargetMode="External"/><Relationship Id="rId754" Type="http://schemas.openxmlformats.org/officeDocument/2006/relationships/hyperlink" Target="http://school.jbedu.kr/songwon" TargetMode="External"/><Relationship Id="rId755" Type="http://schemas.openxmlformats.org/officeDocument/2006/relationships/hyperlink" Target="http://www.yeoul.es.kr/" TargetMode="External"/><Relationship Id="rId756" Type="http://schemas.openxmlformats.org/officeDocument/2006/relationships/hyperlink" Target="http://www.wss.es.kr/" TargetMode="External"/><Relationship Id="rId757" Type="http://schemas.openxmlformats.org/officeDocument/2006/relationships/hyperlink" Target="http://school.jbedu.kr/yongso-e" TargetMode="External"/><Relationship Id="rId758" Type="http://schemas.openxmlformats.org/officeDocument/2006/relationships/hyperlink" Target="http://www.yongwa.es.kr/" TargetMode="External"/><Relationship Id="rId759" Type="http://schemas.openxmlformats.org/officeDocument/2006/relationships/hyperlink" Target="http://school.jbedu.kr/jjwoolim" TargetMode="External"/><Relationship Id="rId760" Type="http://schemas.openxmlformats.org/officeDocument/2006/relationships/hyperlink" Target="http://school.jbedu.kr/wondong" TargetMode="External"/><Relationship Id="rId761" Type="http://schemas.openxmlformats.org/officeDocument/2006/relationships/hyperlink" Target="http://www.inbong.es.kr/" TargetMode="External"/><Relationship Id="rId762" Type="http://schemas.openxmlformats.org/officeDocument/2006/relationships/hyperlink" Target="http://school.jbedu.kr/jjjigok" TargetMode="External"/><Relationship Id="rId763" Type="http://schemas.openxmlformats.org/officeDocument/2006/relationships/hyperlink" Target="http://school.jbedu.kr/jb-jinbuk" TargetMode="External"/><Relationship Id="rId764" Type="http://schemas.openxmlformats.org/officeDocument/2006/relationships/hyperlink" Target="http://www.palbok.es.kr/" TargetMode="External"/><Relationship Id="rId765" Type="http://schemas.openxmlformats.org/officeDocument/2006/relationships/hyperlink" Target="http://school.jbedu.kr/pyeonghwa" TargetMode="External"/><Relationship Id="rId766" Type="http://schemas.openxmlformats.org/officeDocument/2006/relationships/hyperlink" Target="http://school.jbedu.kr/hongsan-e" TargetMode="External"/><Relationship Id="rId767" Type="http://schemas.openxmlformats.org/officeDocument/2006/relationships/hyperlink" Target="http://school.jbedu.kr/jhj" TargetMode="External"/><Relationship Id="rId768" Type="http://schemas.openxmlformats.org/officeDocument/2006/relationships/hyperlink" Target="http://school.jbedu.kr/jjhyorim" TargetMode="External"/><Relationship Id="rId769" Type="http://schemas.openxmlformats.org/officeDocument/2006/relationships/hyperlink" Target="http://www.wansan.ms.kr/" TargetMode="External"/><Relationship Id="rId770" Type="http://schemas.openxmlformats.org/officeDocument/2006/relationships/hyperlink" Target="http://jeonbuk.ms.kr/" TargetMode="External"/><Relationship Id="rId771" Type="http://schemas.openxmlformats.org/officeDocument/2006/relationships/hyperlink" Target="http://school.jbedu.kr/deokjin" TargetMode="External"/><Relationship Id="rId772" Type="http://schemas.openxmlformats.org/officeDocument/2006/relationships/hyperlink" Target="http://school.jbedu.kr/manseongms" TargetMode="External"/><Relationship Id="rId773" Type="http://schemas.openxmlformats.org/officeDocument/2006/relationships/hyperlink" Target="http://www.jb-shinheung.ms.kr/" TargetMode="External"/><Relationship Id="rId774" Type="http://schemas.openxmlformats.org/officeDocument/2006/relationships/hyperlink" Target="http://www.wooa.ms.kr/" TargetMode="External"/><Relationship Id="rId775" Type="http://schemas.openxmlformats.org/officeDocument/2006/relationships/hyperlink" Target="http://school.jbedu.kr/hyomoon-m" TargetMode="External"/><Relationship Id="rId776" Type="http://schemas.openxmlformats.org/officeDocument/2006/relationships/hyperlink" Target="http://school.jbedu.kr/ipyong" TargetMode="External"/><Relationship Id="rId777" Type="http://schemas.openxmlformats.org/officeDocument/2006/relationships/hyperlink" Target="http://www.buksori.es.kr/" TargetMode="External"/><Relationship Id="rId778" Type="http://schemas.openxmlformats.org/officeDocument/2006/relationships/hyperlink" Target="http://www.wangsin.ms.kr/" TargetMode="External"/><Relationship Id="rId779" Type="http://schemas.openxmlformats.org/officeDocument/2006/relationships/hyperlink" Target="http://www.jinan.es.kr/" TargetMode="External"/><Relationship Id="rId780" Type="http://schemas.openxmlformats.org/officeDocument/2006/relationships/hyperlink" Target="http://jungjin.jge.es.kr/" TargetMode="External"/><Relationship Id="rId781" Type="http://schemas.openxmlformats.org/officeDocument/2006/relationships/hyperlink" Target="http://gwangyangbaekun.jge.hs.kr/" TargetMode="External"/><Relationship Id="rId782" Type="http://schemas.openxmlformats.org/officeDocument/2006/relationships/hyperlink" Target="http://gurye.jge.hs.kr/" TargetMode="External"/><Relationship Id="rId783" Type="http://schemas.openxmlformats.org/officeDocument/2006/relationships/hyperlink" Target="http://maesung.jge.hs.kr/" TargetMode="External"/><Relationship Id="rId784" Type="http://schemas.openxmlformats.org/officeDocument/2006/relationships/hyperlink" Target="http://deogin.hs.jne.kr/" TargetMode="External"/><Relationship Id="rId785" Type="http://schemas.openxmlformats.org/officeDocument/2006/relationships/hyperlink" Target="http://hyein.jge.hs.kr/" TargetMode="External"/><Relationship Id="rId786" Type="http://schemas.openxmlformats.org/officeDocument/2006/relationships/hyperlink" Target="http://hongil.jge.hs.kr/" TargetMode="External"/><Relationship Id="rId787" Type="http://schemas.openxmlformats.org/officeDocument/2006/relationships/hyperlink" Target="http://moontae.jge.hs.kr/" TargetMode="External"/><Relationship Id="rId788" Type="http://schemas.openxmlformats.org/officeDocument/2006/relationships/hyperlink" Target="http://muan.hs.jne.kr/" TargetMode="External"/><Relationship Id="rId789" Type="http://schemas.openxmlformats.org/officeDocument/2006/relationships/hyperlink" Target="http://yedang.hs.jne.kr/" TargetMode="External"/><Relationship Id="rId790" Type="http://schemas.openxmlformats.org/officeDocument/2006/relationships/hyperlink" Target="http://geumdang.hs.jne.kr/" TargetMode="External"/><Relationship Id="rId791" Type="http://schemas.openxmlformats.org/officeDocument/2006/relationships/hyperlink" Target="http://maesan.hs.jne.kr/" TargetMode="External"/><Relationship Id="rId792" Type="http://schemas.openxmlformats.org/officeDocument/2006/relationships/hyperlink" Target="http://msgh.hs.jne.kr/" TargetMode="External"/><Relationship Id="rId793" Type="http://schemas.openxmlformats.org/officeDocument/2006/relationships/hyperlink" Target="http://bokseong.hs.jne.kr/" TargetMode="External"/><Relationship Id="rId794" Type="http://schemas.openxmlformats.org/officeDocument/2006/relationships/hyperlink" Target="http://yschungmu.hs.jne.kr/" TargetMode="External"/><Relationship Id="rId795" Type="http://schemas.openxmlformats.org/officeDocument/2006/relationships/hyperlink" Target="http://wando.hs.jne.kr/" TargetMode="External"/><Relationship Id="rId796" Type="http://schemas.openxmlformats.org/officeDocument/2006/relationships/hyperlink" Target="http://neungju.jge.hs.kr/" TargetMode="External"/><Relationship Id="rId797" Type="http://schemas.openxmlformats.org/officeDocument/2006/relationships/hyperlink" Target="http://najudasi.es.jne.kr/" TargetMode="External"/><Relationship Id="rId798" Type="http://schemas.openxmlformats.org/officeDocument/2006/relationships/hyperlink" Target="http://raon.jge.es.kr/" TargetMode="External"/><Relationship Id="rId799" Type="http://schemas.openxmlformats.org/officeDocument/2006/relationships/hyperlink" Target="http://najuyangsan.es.jne.kr/" TargetMode="External"/><Relationship Id="rId800" Type="http://schemas.openxmlformats.org/officeDocument/2006/relationships/hyperlink" Target="http://noan.jge.ms.kr/" TargetMode="External"/><Relationship Id="rId801" Type="http://schemas.openxmlformats.org/officeDocument/2006/relationships/hyperlink" Target="http://bitgaram.ms.jne.kr/" TargetMode="External"/><Relationship Id="rId802" Type="http://schemas.openxmlformats.org/officeDocument/2006/relationships/hyperlink" Target="http://mokpodeogin.ms.jne.kr/" TargetMode="External"/><Relationship Id="rId803" Type="http://schemas.openxmlformats.org/officeDocument/2006/relationships/hyperlink" Target="http://mokpoyounghwa.jge.ms.kr/" TargetMode="External"/><Relationship Id="rId804" Type="http://schemas.openxmlformats.org/officeDocument/2006/relationships/hyperlink" Target="http://jeongmyeong.ms.jne.kr/" TargetMode="External"/><Relationship Id="rId805" Type="http://schemas.openxmlformats.org/officeDocument/2006/relationships/hyperlink" Target="http://mokpohangdo.ms.jne.kr/" TargetMode="External"/><Relationship Id="rId806" Type="http://schemas.openxmlformats.org/officeDocument/2006/relationships/hyperlink" Target="http://mokpohyein.ms.jne.kr/" TargetMode="External"/><Relationship Id="rId807" Type="http://schemas.openxmlformats.org/officeDocument/2006/relationships/hyperlink" Target="http://mokpohongil.ms.jne.kr/" TargetMode="External"/><Relationship Id="rId808" Type="http://schemas.openxmlformats.org/officeDocument/2006/relationships/hyperlink" Target="http://moontae.ms.jne.kr/" TargetMode="External"/><Relationship Id="rId809" Type="http://schemas.openxmlformats.org/officeDocument/2006/relationships/hyperlink" Target="http://muansarang.es.jne.kr/" TargetMode="External"/><Relationship Id="rId810" Type="http://schemas.openxmlformats.org/officeDocument/2006/relationships/hyperlink" Target="http://oryong.jge.es.kr/" TargetMode="External"/><Relationship Id="rId811" Type="http://schemas.openxmlformats.org/officeDocument/2006/relationships/hyperlink" Target="http://muanhaengbok.ms.jne.kr/" TargetMode="External"/><Relationship Id="rId812" Type="http://schemas.openxmlformats.org/officeDocument/2006/relationships/hyperlink" Target="http://muanhuimang.jge.ms.kr/" TargetMode="External"/><Relationship Id="rId813" Type="http://schemas.openxmlformats.org/officeDocument/2006/relationships/hyperlink" Target="http://nakseong.es.jne.kr/" TargetMode="External"/><Relationship Id="rId814" Type="http://schemas.openxmlformats.org/officeDocument/2006/relationships/hyperlink" Target="http://boseongnam.es.jne.kr/" TargetMode="External"/><Relationship Id="rId815" Type="http://schemas.openxmlformats.org/officeDocument/2006/relationships/hyperlink" Target="http://boseong10.es.jne.kr/" TargetMode="External"/><Relationship Id="rId816" Type="http://schemas.openxmlformats.org/officeDocument/2006/relationships/hyperlink" Target="http://yedang.ms.jne.kr/" TargetMode="External"/><Relationship Id="rId817" Type="http://schemas.openxmlformats.org/officeDocument/2006/relationships/hyperlink" Target="http://dosa.es.jne.kr/" TargetMode="External"/><Relationship Id="rId818" Type="http://schemas.openxmlformats.org/officeDocument/2006/relationships/hyperlink" Target="http://wangji.es.jne.kr/" TargetMode="External"/><Relationship Id="rId819" Type="http://schemas.openxmlformats.org/officeDocument/2006/relationships/hyperlink" Target="http://shinui.ms.jne.kr/" TargetMode="External"/><Relationship Id="rId820" Type="http://schemas.openxmlformats.org/officeDocument/2006/relationships/hyperlink" Target="http://jinnam.es.jne.kr/" TargetMode="External"/><Relationship Id="rId821" Type="http://schemas.openxmlformats.org/officeDocument/2006/relationships/hyperlink" Target="http://hallyo.jge.es.kr/" TargetMode="External"/><Relationship Id="rId822" Type="http://schemas.openxmlformats.org/officeDocument/2006/relationships/hyperlink" Target="http://geomun.jge.ms.kr/" TargetMode="External"/><Relationship Id="rId823" Type="http://schemas.openxmlformats.org/officeDocument/2006/relationships/hyperlink" Target="http://jongjung.ms.jne.kr/" TargetMode="External"/><Relationship Id="rId824" Type="http://schemas.openxmlformats.org/officeDocument/2006/relationships/hyperlink" Target="http://yeosu.ms.jne.kr/" TargetMode="External"/><Relationship Id="rId825" Type="http://schemas.openxmlformats.org/officeDocument/2006/relationships/hyperlink" Target="http://myjungang.es.jne.kr/" TargetMode="External"/><Relationship Id="rId826" Type="http://schemas.openxmlformats.org/officeDocument/2006/relationships/hyperlink" Target="http://wdja.es.jne.kr/" TargetMode="External"/><Relationship Id="rId827" Type="http://schemas.openxmlformats.org/officeDocument/2006/relationships/hyperlink" Target="http://hwaheung.jge.es.kr/" TargetMode="External"/><Relationship Id="rId828" Type="http://schemas.openxmlformats.org/officeDocument/2006/relationships/hyperlink" Target="http://jsja.jge.es.kr/" TargetMode="External"/><Relationship Id="rId829" Type="http://schemas.openxmlformats.org/officeDocument/2006/relationships/hyperlink" Target="http://js-samgye.jge.ms.kr/" TargetMode="External"/><Relationship Id="rId830" Type="http://schemas.openxmlformats.org/officeDocument/2006/relationships/hyperlink" Target="http://jangheung.es.jne.kr/" TargetMode="External"/><Relationship Id="rId831" Type="http://schemas.openxmlformats.org/officeDocument/2006/relationships/hyperlink" Target="http://gisan.es.jne.kr/" TargetMode="External"/><Relationship Id="rId832" Type="http://schemas.openxmlformats.org/officeDocument/2006/relationships/hyperlink" Target="http://ns.es.jne.kr/" TargetMode="External"/><Relationship Id="rId833" Type="http://schemas.openxmlformats.org/officeDocument/2006/relationships/hyperlink" Target="http://ddhyanggyo.es.jne.kr/" TargetMode="External"/><Relationship Id="rId834" Type="http://schemas.openxmlformats.org/officeDocument/2006/relationships/hyperlink" Target="http://eomda.es.jne.kr/" TargetMode="External"/><Relationship Id="rId835" Type="http://schemas.openxmlformats.org/officeDocument/2006/relationships/hyperlink" Target="http://hn-dong.es.jne.kr/" TargetMode="External"/><Relationship Id="rId836" Type="http://schemas.openxmlformats.org/officeDocument/2006/relationships/hyperlink" Target="http://neungju.es.jne.kr/" TargetMode="External"/><Relationship Id="rId837" Type="http://schemas.openxmlformats.org/officeDocument/2006/relationships/hyperlink" Target="http://hs-dogok.jge.es.kr/" TargetMode="External"/><Relationship Id="rId838" Type="http://schemas.openxmlformats.org/officeDocument/2006/relationships/hyperlink" Target="http://asan.es.jne.kr/" TargetMode="External"/><Relationship Id="rId839" Type="http://schemas.openxmlformats.org/officeDocument/2006/relationships/hyperlink" Target="http://hsmy.es.jne.kr/" TargetMode="External"/><Relationship Id="rId840" Type="http://schemas.openxmlformats.org/officeDocument/2006/relationships/hyperlink" Target="http://hwasun.jge.es.kr/" TargetMode="External"/><Relationship Id="rId841" Type="http://schemas.openxmlformats.org/officeDocument/2006/relationships/hyperlink" Target="http://neungju.ms.jne.kr/" TargetMode="External"/><Relationship Id="rId842" Type="http://schemas.openxmlformats.org/officeDocument/2006/relationships/hyperlink" Target="http://school.gyo6.net/kyedang" TargetMode="External"/><Relationship Id="rId843" Type="http://schemas.openxmlformats.org/officeDocument/2006/relationships/hyperlink" Target="http://school.gyo6.net/n1000es" TargetMode="External"/><Relationship Id="rId844" Type="http://schemas.openxmlformats.org/officeDocument/2006/relationships/hyperlink" Target="http://school.gyo6.net/munmyeongms" TargetMode="External"/><Relationship Id="rId845" Type="http://schemas.openxmlformats.org/officeDocument/2006/relationships/hyperlink" Target="http://school.gyo6.net/samseonghyeon" TargetMode="External"/><Relationship Id="rId846" Type="http://schemas.openxmlformats.org/officeDocument/2006/relationships/hyperlink" Target="http://school.gyo6.net/gyeongjues" TargetMode="External"/><Relationship Id="rId847" Type="http://schemas.openxmlformats.org/officeDocument/2006/relationships/hyperlink" Target="http://school.gyo6.net/you" TargetMode="External"/><Relationship Id="rId848" Type="http://schemas.openxmlformats.org/officeDocument/2006/relationships/hyperlink" Target="http://school.gyo6.net/hn" TargetMode="External"/><Relationship Id="rId849" Type="http://schemas.openxmlformats.org/officeDocument/2006/relationships/hyperlink" Target="http://school.gyo6.net/moonhwams" TargetMode="External"/><Relationship Id="rId850" Type="http://schemas.openxmlformats.org/officeDocument/2006/relationships/hyperlink" Target="http://school.gyo6.net/sadonggo" TargetMode="External"/><Relationship Id="rId851" Type="http://schemas.openxmlformats.org/officeDocument/2006/relationships/hyperlink" Target="http://school.gyo6.net/gsjain" TargetMode="External"/><Relationship Id="rId852" Type="http://schemas.openxmlformats.org/officeDocument/2006/relationships/hyperlink" Target="http://school.gyo6.net/gyeongjuhs" TargetMode="External"/><Relationship Id="rId853" Type="http://schemas.openxmlformats.org/officeDocument/2006/relationships/hyperlink" Target="http://school.gyo6.net/geunhwahs" TargetMode="External"/><Relationship Id="rId854" Type="http://schemas.openxmlformats.org/officeDocument/2006/relationships/hyperlink" Target="http://school.gyo6.net/gumigo" TargetMode="External"/><Relationship Id="rId855" Type="http://schemas.openxmlformats.org/officeDocument/2006/relationships/hyperlink" Target="http://school.gyo6.net/geumohs" TargetMode="External"/><Relationship Id="rId856" Type="http://schemas.openxmlformats.org/officeDocument/2006/relationships/hyperlink" Target="http://school.gyo6.net/sagok" TargetMode="External"/><Relationship Id="rId857" Type="http://schemas.openxmlformats.org/officeDocument/2006/relationships/hyperlink" Target="http://school.gyo6.net/sangmohs" TargetMode="External"/><Relationship Id="rId858" Type="http://schemas.openxmlformats.org/officeDocument/2006/relationships/hyperlink" Target="http://school.gyo6.net/seonjuhs" TargetMode="External"/><Relationship Id="rId859" Type="http://schemas.openxmlformats.org/officeDocument/2006/relationships/hyperlink" Target="http://school.gyo6.net/osanghs" TargetMode="External"/><Relationship Id="rId860" Type="http://schemas.openxmlformats.org/officeDocument/2006/relationships/hyperlink" Target="http://school.gyo6.net/indonghs" TargetMode="External"/><Relationship Id="rId861" Type="http://schemas.openxmlformats.org/officeDocument/2006/relationships/hyperlink" Target="http://www.hyedang.sc.kr/" TargetMode="External"/><Relationship Id="rId862" Type="http://schemas.openxmlformats.org/officeDocument/2006/relationships/hyperlink" Target="http://school.gyo6.net/hamchanghs" TargetMode="External"/><Relationship Id="rId863" Type="http://schemas.openxmlformats.org/officeDocument/2006/relationships/hyperlink" Target="http://school.gyo6.net/ka" TargetMode="External"/><Relationship Id="rId864" Type="http://schemas.openxmlformats.org/officeDocument/2006/relationships/hyperlink" Target="http://school.gyo6.net/andonghs" TargetMode="External"/><Relationship Id="rId865" Type="http://schemas.openxmlformats.org/officeDocument/2006/relationships/hyperlink" Target="http://school.gyo6.net/adja" TargetMode="External"/><Relationship Id="rId866" Type="http://schemas.openxmlformats.org/officeDocument/2006/relationships/hyperlink" Target="http://school.gyo6.net/yeong-gwang" TargetMode="External"/><Relationship Id="rId867" Type="http://schemas.openxmlformats.org/officeDocument/2006/relationships/hyperlink" Target="http://school.gyo6.net/gyeongbuk" TargetMode="External"/><Relationship Id="rId868" Type="http://schemas.openxmlformats.org/officeDocument/2006/relationships/hyperlink" Target="http://school.gyo6.net/buksamhs" TargetMode="External"/><Relationship Id="rId869" Type="http://schemas.openxmlformats.org/officeDocument/2006/relationships/hyperlink" Target="http://school.gyo6.net/seokjeok" TargetMode="External"/><Relationship Id="rId870" Type="http://schemas.openxmlformats.org/officeDocument/2006/relationships/hyperlink" Target="http://school.gyo6.net/daedonghs" TargetMode="External"/><Relationship Id="rId871" Type="http://schemas.openxmlformats.org/officeDocument/2006/relationships/hyperlink" Target="http://school.gyo6.net/yihs" TargetMode="External"/><Relationship Id="rId872" Type="http://schemas.openxmlformats.org/officeDocument/2006/relationships/hyperlink" Target="http://www.ocheon.hs.kr/" TargetMode="External"/><Relationship Id="rId873" Type="http://schemas.openxmlformats.org/officeDocument/2006/relationships/hyperlink" Target="http://school.gyo6.net/pohanghs" TargetMode="External"/><Relationship Id="rId874" Type="http://schemas.openxmlformats.org/officeDocument/2006/relationships/hyperlink" Target="http://school.gyo6.net/pocheolhs" TargetMode="External"/><Relationship Id="rId875" Type="http://schemas.openxmlformats.org/officeDocument/2006/relationships/hyperlink" Target="http://school.gyo6.net/goa" TargetMode="External"/><Relationship Id="rId876" Type="http://schemas.openxmlformats.org/officeDocument/2006/relationships/hyperlink" Target="http://school.gyo6.net/gmsdes" TargetMode="External"/><Relationship Id="rId877" Type="http://schemas.openxmlformats.org/officeDocument/2006/relationships/hyperlink" Target="http://school.gyo6.net/gmws" TargetMode="External"/><Relationship Id="rId878" Type="http://schemas.openxmlformats.org/officeDocument/2006/relationships/hyperlink" Target="http://school.gyo6.net/gumiwondang" TargetMode="External"/><Relationship Id="rId879" Type="http://schemas.openxmlformats.org/officeDocument/2006/relationships/hyperlink" Target="http://school.gyo6.net/keumo" TargetMode="External"/><Relationship Id="rId880" Type="http://schemas.openxmlformats.org/officeDocument/2006/relationships/hyperlink" Target="http://school.gyo6.net/namgye" TargetMode="External"/><Relationship Id="rId881" Type="http://schemas.openxmlformats.org/officeDocument/2006/relationships/hyperlink" Target="http://school.gyo6.net/gumibisanes" TargetMode="External"/><Relationship Id="rId882" Type="http://schemas.openxmlformats.org/officeDocument/2006/relationships/hyperlink" Target="http://school.gyo6.net/sunsanes" TargetMode="External"/><Relationship Id="rId883" Type="http://schemas.openxmlformats.org/officeDocument/2006/relationships/hyperlink" Target="http://school.gyo6.net/okgyees" TargetMode="External"/><Relationship Id="rId884" Type="http://schemas.openxmlformats.org/officeDocument/2006/relationships/hyperlink" Target="http://school.gyo6.net/gp" TargetMode="External"/><Relationship Id="rId885" Type="http://schemas.openxmlformats.org/officeDocument/2006/relationships/hyperlink" Target="http://school.gyo6.net/Indeok" TargetMode="External"/><Relationship Id="rId886" Type="http://schemas.openxmlformats.org/officeDocument/2006/relationships/hyperlink" Target="http://school.gyo6.net/seonjums" TargetMode="External"/><Relationship Id="rId887" Type="http://schemas.openxmlformats.org/officeDocument/2006/relationships/hyperlink" Target="http://school.gyo6.net/dasu" TargetMode="External"/><Relationship Id="rId888" Type="http://schemas.openxmlformats.org/officeDocument/2006/relationships/hyperlink" Target="http://school.gyo6.net/acheon" TargetMode="External"/><Relationship Id="rId889" Type="http://schemas.openxmlformats.org/officeDocument/2006/relationships/hyperlink" Target="http://school.gyo6.net/gcungokes" TargetMode="External"/><Relationship Id="rId890" Type="http://schemas.openxmlformats.org/officeDocument/2006/relationships/hyperlink" Target="http://school.gyo6.net/yeongsun" TargetMode="External"/><Relationship Id="rId891" Type="http://schemas.openxmlformats.org/officeDocument/2006/relationships/hyperlink" Target="http://school.gyo6.net/hoseonames" TargetMode="External"/><Relationship Id="rId892" Type="http://schemas.openxmlformats.org/officeDocument/2006/relationships/hyperlink" Target="http://school.gyo6.net/bwbongseong" TargetMode="External"/><Relationship Id="rId893" Type="http://schemas.openxmlformats.org/officeDocument/2006/relationships/hyperlink" Target="http://www.sjnamsan.ms.kr/" TargetMode="External"/><Relationship Id="rId894" Type="http://schemas.openxmlformats.org/officeDocument/2006/relationships/hyperlink" Target="http://school.gyo6.net/sjcho" TargetMode="External"/><Relationship Id="rId895" Type="http://schemas.openxmlformats.org/officeDocument/2006/relationships/hyperlink" Target="http://school.gyo6.net/chojun" TargetMode="External"/><Relationship Id="rId896" Type="http://schemas.openxmlformats.org/officeDocument/2006/relationships/hyperlink" Target="http://school.gyo6.net/suryunms" TargetMode="External"/><Relationship Id="rId897" Type="http://schemas.openxmlformats.org/officeDocument/2006/relationships/hyperlink" Target="http://school.gyo6.net/sinsunges" TargetMode="External"/><Relationship Id="rId898" Type="http://schemas.openxmlformats.org/officeDocument/2006/relationships/hyperlink" Target="http://school.gyo6.net/andongsonghyun" TargetMode="External"/><Relationship Id="rId899" Type="http://schemas.openxmlformats.org/officeDocument/2006/relationships/hyperlink" Target="http://school.gyo6.net/adyhes" TargetMode="External"/><Relationship Id="rId900" Type="http://schemas.openxmlformats.org/officeDocument/2006/relationships/hyperlink" Target="http://school.gyo6.net/adys" TargetMode="External"/><Relationship Id="rId901" Type="http://schemas.openxmlformats.org/officeDocument/2006/relationships/hyperlink" Target="http://school.gyo6.net/pcps" TargetMode="External"/><Relationship Id="rId902" Type="http://schemas.openxmlformats.org/officeDocument/2006/relationships/hyperlink" Target="http://school.gyo6.net/andong" TargetMode="External"/><Relationship Id="rId903" Type="http://schemas.openxmlformats.org/officeDocument/2006/relationships/hyperlink" Target="http://school.gyo6.net/chipumes" TargetMode="External"/><Relationship Id="rId904" Type="http://schemas.openxmlformats.org/officeDocument/2006/relationships/hyperlink" Target="http://school.gyo6.net/seobues" TargetMode="External"/><Relationship Id="rId905" Type="http://schemas.openxmlformats.org/officeDocument/2006/relationships/hyperlink" Target="http://school.gyo6.net/yjjae" TargetMode="External"/><Relationship Id="rId906" Type="http://schemas.openxmlformats.org/officeDocument/2006/relationships/hyperlink" Target="http://school.gyo6.net/pgb" TargetMode="External"/><Relationship Id="rId907" Type="http://schemas.openxmlformats.org/officeDocument/2006/relationships/hyperlink" Target="http://school.gyo6.net/kogyung" TargetMode="External"/><Relationship Id="rId908" Type="http://schemas.openxmlformats.org/officeDocument/2006/relationships/hyperlink" Target="http://school.gyo6.net/ycsnms" TargetMode="External"/><Relationship Id="rId909" Type="http://schemas.openxmlformats.org/officeDocument/2006/relationships/hyperlink" Target="http://school.gyo6.net/uljeodonges" TargetMode="External"/><Relationship Id="rId910" Type="http://schemas.openxmlformats.org/officeDocument/2006/relationships/hyperlink" Target="http://school.gyo6.net/onjunges" TargetMode="External"/><Relationship Id="rId911" Type="http://schemas.openxmlformats.org/officeDocument/2006/relationships/hyperlink" Target="http://school.gyo6.net/an-gyees" TargetMode="External"/><Relationship Id="rId912" Type="http://schemas.openxmlformats.org/officeDocument/2006/relationships/hyperlink" Target="http://school.gyo6.net/daegyo" TargetMode="External"/><Relationship Id="rId913" Type="http://schemas.openxmlformats.org/officeDocument/2006/relationships/hyperlink" Target="http://school.gyo6.net/yakmokes" TargetMode="External"/><Relationship Id="rId914" Type="http://schemas.openxmlformats.org/officeDocument/2006/relationships/hyperlink" Target="http://school.gyo6.net/janggokes" TargetMode="External"/><Relationship Id="rId915" Type="http://schemas.openxmlformats.org/officeDocument/2006/relationships/hyperlink" Target="http://school.gyo6.net/waegwan" TargetMode="External"/><Relationship Id="rId916" Type="http://schemas.openxmlformats.org/officeDocument/2006/relationships/hyperlink" Target="http://school.gyo6.net/janggok" TargetMode="External"/><Relationship Id="rId917" Type="http://schemas.openxmlformats.org/officeDocument/2006/relationships/hyperlink" Target="http://school.gyo6.net/daei" TargetMode="External"/><Relationship Id="rId918" Type="http://schemas.openxmlformats.org/officeDocument/2006/relationships/hyperlink" Target="http://school.gyo6.net/chogok" TargetMode="External"/><Relationship Id="rId919" Type="http://schemas.openxmlformats.org/officeDocument/2006/relationships/hyperlink" Target="http://school.gyo6.net/phdh" TargetMode="External"/><Relationship Id="rId920" Type="http://schemas.openxmlformats.org/officeDocument/2006/relationships/hyperlink" Target="http://school.gyo6.net/posco" TargetMode="External"/><Relationship Id="rId921" Type="http://schemas.openxmlformats.org/officeDocument/2006/relationships/hyperlink" Target="http://school.gyo6.net/phja" TargetMode="External"/><Relationship Id="rId922" Type="http://schemas.openxmlformats.org/officeDocument/2006/relationships/hyperlink" Target="http://school.gyo6.net/phpentaes" TargetMode="External"/><Relationship Id="rId923" Type="http://schemas.openxmlformats.org/officeDocument/2006/relationships/hyperlink" Target="http://school.gyo6.net/ph-g" TargetMode="External"/><Relationship Id="rId924" Type="http://schemas.openxmlformats.org/officeDocument/2006/relationships/hyperlink" Target="http://school.gyo6.net/pocheolms" TargetMode="External"/><Relationship Id="rId925" Type="http://schemas.openxmlformats.org/officeDocument/2006/relationships/hyperlink" Target="http://school.gyo6.net/heunghaems" TargetMode="External"/><Relationship Id="rId926" Type="http://schemas.openxmlformats.org/officeDocument/2006/relationships/hyperlink" Target="http://gjyongso-p.gne.go.kr/gjyongso-p/main.do" TargetMode="External"/><Relationship Id="rId927" Type="http://schemas.openxmlformats.org/officeDocument/2006/relationships/hyperlink" Target="http://gyearyong-p.gne.go.kr/gyearyong-p/main.do" TargetMode="External"/><Relationship Id="rId928" Type="http://schemas.openxmlformats.org/officeDocument/2006/relationships/hyperlink" Target="http://suweol-p.gne.go.kr/" TargetMode="External"/><Relationship Id="rId929" Type="http://schemas.openxmlformats.org/officeDocument/2006/relationships/hyperlink" Target="http://goseong-p.gne.go.kr/" TargetMode="External"/><Relationship Id="rId930" Type="http://schemas.openxmlformats.org/officeDocument/2006/relationships/hyperlink" Target="http://kumbul-h.gne.go.kr/" TargetMode="External"/><Relationship Id="rId931" Type="http://schemas.openxmlformats.org/officeDocument/2006/relationships/hyperlink" Target="http://milseong-h.gne.go.kr/" TargetMode="External"/><Relationship Id="rId932" Type="http://schemas.openxmlformats.org/officeDocument/2006/relationships/hyperlink" Target="http://sacheon-h.gne.go.kr/" TargetMode="External"/><Relationship Id="rId933" Type="http://schemas.openxmlformats.org/officeDocument/2006/relationships/hyperlink" Target="http://ysai-h.gne.go.kr/" TargetMode="External"/><Relationship Id="rId934" Type="http://schemas.openxmlformats.org/officeDocument/2006/relationships/hyperlink" Target="http://jeungsan-h.gne.go.kr/" TargetMode="External"/><Relationship Id="rId935" Type="http://schemas.openxmlformats.org/officeDocument/2006/relationships/hyperlink" Target="http://gshs-h.gne.go.kr/" TargetMode="External"/><Relationship Id="rId936" Type="http://schemas.openxmlformats.org/officeDocument/2006/relationships/hyperlink" Target="http://masanjeil-h.gne.go.kr/" TargetMode="External"/><Relationship Id="rId937" Type="http://schemas.openxmlformats.org/officeDocument/2006/relationships/hyperlink" Target="http://msja-h.gne.go.kr/" TargetMode="External"/><Relationship Id="rId938" Type="http://schemas.openxmlformats.org/officeDocument/2006/relationships/hyperlink" Target="http://cwgyeongilg-h.gne.go.kr/" TargetMode="External"/><Relationship Id="rId939" Type="http://schemas.openxmlformats.org/officeDocument/2006/relationships/hyperlink" Target="http://changwon-h.gne.go.kr/" TargetMode="External"/><Relationship Id="rId940" Type="http://schemas.openxmlformats.org/officeDocument/2006/relationships/hyperlink" Target="http://cwnam-h.gne.go.kr/" TargetMode="External"/><Relationship Id="rId941" Type="http://schemas.openxmlformats.org/officeDocument/2006/relationships/hyperlink" Target="http://changwonbukmyeon-h.gne.go.kr/" TargetMode="External"/><Relationship Id="rId942" Type="http://schemas.openxmlformats.org/officeDocument/2006/relationships/hyperlink" Target="http://sungmin-h.gne.go.kr/" TargetMode="External"/><Relationship Id="rId943" Type="http://schemas.openxmlformats.org/officeDocument/2006/relationships/hyperlink" Target="http://towol-h.gne.go.kr/" TargetMode="External"/><Relationship Id="rId944" Type="http://schemas.openxmlformats.org/officeDocument/2006/relationships/hyperlink" Target="http://gunbuk-h.gne.go.kr/" TargetMode="External"/><Relationship Id="rId945" Type="http://schemas.openxmlformats.org/officeDocument/2006/relationships/hyperlink" Target="http://chirwon-h.gne.go.kr/" TargetMode="External"/><Relationship Id="rId946" Type="http://schemas.openxmlformats.org/officeDocument/2006/relationships/hyperlink" Target="http://gh-kwandong-p.gne.go.kr/" TargetMode="External"/><Relationship Id="rId947" Type="http://schemas.openxmlformats.org/officeDocument/2006/relationships/hyperlink" Target="http://samkae-p.gne.go.kr/samkae-p/main.do" TargetMode="External"/><Relationship Id="rId948" Type="http://schemas.openxmlformats.org/officeDocument/2006/relationships/hyperlink" Target="http://jillye-p.gne.go.kr/" TargetMode="External"/><Relationship Id="rId949" Type="http://schemas.openxmlformats.org/officeDocument/2006/relationships/hyperlink" Target="http://miribeol-p.gne.go.kr/miribeol-p/main.do" TargetMode="External"/><Relationship Id="rId950" Type="http://schemas.openxmlformats.org/officeDocument/2006/relationships/hyperlink" Target="http://mgs-m.gne.go.kr/" TargetMode="External"/><Relationship Id="rId951" Type="http://schemas.openxmlformats.org/officeDocument/2006/relationships/hyperlink" Target="http://sanam-p.gne.go.kr/" TargetMode="External"/><Relationship Id="rId952" Type="http://schemas.openxmlformats.org/officeDocument/2006/relationships/hyperlink" Target="http://sincheon-p.gne.go.kr/" TargetMode="External"/><Relationship Id="rId953" Type="http://schemas.openxmlformats.org/officeDocument/2006/relationships/hyperlink" Target="http://ganam-p.gne.go.kr/" TargetMode="External"/><Relationship Id="rId954" Type="http://schemas.openxmlformats.org/officeDocument/2006/relationships/hyperlink" Target="http://yssingi-p.gne.go.kr/" TargetMode="External"/><Relationship Id="rId955" Type="http://schemas.openxmlformats.org/officeDocument/2006/relationships/hyperlink" Target="http://jeungsan-p.gne.go.kr/" TargetMode="External"/><Relationship Id="rId956" Type="http://schemas.openxmlformats.org/officeDocument/2006/relationships/hyperlink" Target="http://namkang-p.gne.go.kr/" TargetMode="External"/><Relationship Id="rId957" Type="http://schemas.openxmlformats.org/officeDocument/2006/relationships/hyperlink" Target="http://jinseongcho-p.gne.go.kr/" TargetMode="External"/><Relationship Id="rId958" Type="http://schemas.openxmlformats.org/officeDocument/2006/relationships/hyperlink" Target="http://gaeyang-m.gne.go.kr/" TargetMode="External"/><Relationship Id="rId959" Type="http://schemas.openxmlformats.org/officeDocument/2006/relationships/hyperlink" Target="http://daehap-p.gne.go.kr/" TargetMode="External"/><Relationship Id="rId960" Type="http://schemas.openxmlformats.org/officeDocument/2006/relationships/hyperlink" Target="http://changnyeong-p.gne.go.kr/" TargetMode="External"/><Relationship Id="rId961" Type="http://schemas.openxmlformats.org/officeDocument/2006/relationships/hyperlink" Target="http://gamcheon-p.gne.go.kr/" TargetMode="External"/><Relationship Id="rId962" Type="http://schemas.openxmlformats.org/officeDocument/2006/relationships/hyperlink" Target="http://gusan-p.gne.go.kr/" TargetMode="External"/><Relationship Id="rId963" Type="http://schemas.openxmlformats.org/officeDocument/2006/relationships/hyperlink" Target="http://msgowoon-p.gne.go.kr/" TargetMode="External"/><Relationship Id="rId964" Type="http://schemas.openxmlformats.org/officeDocument/2006/relationships/hyperlink" Target="http://myeonggok-p.gne.go.kr/" TargetMode="External"/><Relationship Id="rId965" Type="http://schemas.openxmlformats.org/officeDocument/2006/relationships/hyperlink" Target="http://myungdo-p.gne.go.kr/myungdo-p/main.do" TargetMode="External"/><Relationship Id="rId966" Type="http://schemas.openxmlformats.org/officeDocument/2006/relationships/hyperlink" Target="http://sangil-p.gne.go.kr/" TargetMode="External"/><Relationship Id="rId967" Type="http://schemas.openxmlformats.org/officeDocument/2006/relationships/hyperlink" Target="http://cwwooam-p.gne.go.kr/cwwooam-p/main.do" TargetMode="External"/><Relationship Id="rId968" Type="http://schemas.openxmlformats.org/officeDocument/2006/relationships/hyperlink" Target="http://jindong-p.gne.go.kr/" TargetMode="External"/><Relationship Id="rId969" Type="http://schemas.openxmlformats.org/officeDocument/2006/relationships/hyperlink" Target="http://yangdeok-m.gne.go.kr/" TargetMode="External"/><Relationship Id="rId970" Type="http://schemas.openxmlformats.org/officeDocument/2006/relationships/hyperlink" Target="http://euishin-m.gne.go.kr/" TargetMode="External"/><Relationship Id="rId971" Type="http://schemas.openxmlformats.org/officeDocument/2006/relationships/hyperlink" Target="http://tydosan-p.gne.go.kr/" TargetMode="External"/><Relationship Id="rId972" Type="http://schemas.openxmlformats.org/officeDocument/2006/relationships/hyperlink" Target="http://yuyeong-p.gne.go.kr/" TargetMode="External"/><Relationship Id="rId973" Type="http://schemas.openxmlformats.org/officeDocument/2006/relationships/hyperlink" Target="http://juklim-p.gne.go.kr/" TargetMode="External"/><Relationship Id="rId974" Type="http://schemas.openxmlformats.org/officeDocument/2006/relationships/hyperlink" Target="http://hoam-p.gne.go.kr/" TargetMode="External"/><Relationship Id="rId975" Type="http://schemas.openxmlformats.org/officeDocument/2006/relationships/hyperlink" Target="http://seogwipo.jje.hs.kr/" TargetMode="External"/><Relationship Id="rId976" Type="http://schemas.openxmlformats.org/officeDocument/2006/relationships/hyperlink" Target="http://sgpo.jje.hs.kr/" TargetMode="External"/><Relationship Id="rId977" Type="http://schemas.openxmlformats.org/officeDocument/2006/relationships/hyperlink" Target="http://www.daykey.hs.kr/" TargetMode="External"/><Relationship Id="rId978" Type="http://schemas.openxmlformats.org/officeDocument/2006/relationships/hyperlink" Target="http://school.jje.go.kr/ohyun-h" TargetMode="External"/><Relationship Id="rId979" Type="http://schemas.openxmlformats.org/officeDocument/2006/relationships/hyperlink" Target="http://jeju-g.jje.hs.kr/" TargetMode="External"/><Relationship Id="rId980" Type="http://schemas.openxmlformats.org/officeDocument/2006/relationships/hyperlink" Target="http://jejugc.jje.hs.kr/" TargetMode="External"/><Relationship Id="rId981" Type="http://schemas.openxmlformats.org/officeDocument/2006/relationships/hyperlink" Target="http://jeil.jje.hs.kr/" TargetMode="External"/><Relationship Id="rId982" Type="http://schemas.openxmlformats.org/officeDocument/2006/relationships/hyperlink" Target="http://jungang.jje.hs.kr/" TargetMode="External"/><Relationship Id="rId983" Type="http://schemas.openxmlformats.org/officeDocument/2006/relationships/hyperlink" Target="http://seoho.jje.es.kr/" TargetMode="External"/><Relationship Id="rId984" Type="http://schemas.openxmlformats.org/officeDocument/2006/relationships/hyperlink" Target="http://bn.jje.es.kr/" TargetMode="External"/><Relationship Id="rId985" Type="http://schemas.openxmlformats.org/officeDocument/2006/relationships/hyperlink" Target="http://hallim.jje.es.kr/" TargetMode="External"/><Relationship Id="rId986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gaehyeon.sen.es.kr/" TargetMode="External"/><Relationship Id="rId2" Type="http://schemas.openxmlformats.org/officeDocument/2006/relationships/hyperlink" Target="http://seouldaegok.sen.es.kr/" TargetMode="External"/><Relationship Id="rId3" Type="http://schemas.openxmlformats.org/officeDocument/2006/relationships/hyperlink" Target="http://seouldoseong.sen.es.kr/" TargetMode="External"/><Relationship Id="rId4" Type="http://schemas.openxmlformats.org/officeDocument/2006/relationships/hyperlink" Target="http://eonbuk.sen.es.kr/" TargetMode="External"/><Relationship Id="rId5" Type="http://schemas.openxmlformats.org/officeDocument/2006/relationships/hyperlink" Target="http://yeoksam.sen.es.kr/" TargetMode="External"/><Relationship Id="rId6" Type="http://schemas.openxmlformats.org/officeDocument/2006/relationships/hyperlink" Target="http://hakdong.sen.es.kr/" TargetMode="External"/><Relationship Id="rId7" Type="http://schemas.openxmlformats.org/officeDocument/2006/relationships/hyperlink" Target="http://daemyeong.sen.ms.kr/" TargetMode="External"/><Relationship Id="rId8" Type="http://schemas.openxmlformats.org/officeDocument/2006/relationships/hyperlink" Target="http://daecheong.sen.ms.kr/" TargetMode="External"/><Relationship Id="rId9" Type="http://schemas.openxmlformats.org/officeDocument/2006/relationships/hyperlink" Target="http://segok.sen.ms.kr/" TargetMode="External"/><Relationship Id="rId10" Type="http://schemas.openxmlformats.org/officeDocument/2006/relationships/hyperlink" Target="http://banwon.sen.es.kr/" TargetMode="External"/><Relationship Id="rId11" Type="http://schemas.openxmlformats.org/officeDocument/2006/relationships/hyperlink" Target="http://wonmyong.sen.es.kr/" TargetMode="External"/><Relationship Id="rId12" Type="http://schemas.openxmlformats.org/officeDocument/2006/relationships/hyperlink" Target="http://gyeongwon.sen.ms.kr/" TargetMode="External"/><Relationship Id="rId13" Type="http://schemas.openxmlformats.org/officeDocument/2006/relationships/hyperlink" Target="http://dongduk.sen.ms.kr/" TargetMode="External"/><Relationship Id="rId14" Type="http://schemas.openxmlformats.org/officeDocument/2006/relationships/hyperlink" Target="http://bangbae.sen.ms.kr/" TargetMode="External"/><Relationship Id="rId15" Type="http://schemas.openxmlformats.org/officeDocument/2006/relationships/hyperlink" Target="http://shinbanpo.sen.ms.kr/" TargetMode="External"/><Relationship Id="rId16" Type="http://schemas.openxmlformats.org/officeDocument/2006/relationships/hyperlink" Target="http://wonchon.sen.ms.kr/" TargetMode="External"/><Relationship Id="rId17" Type="http://schemas.openxmlformats.org/officeDocument/2006/relationships/hyperlink" Target="http://isu.sen.ms.kr/" TargetMode="External"/><Relationship Id="rId18" Type="http://schemas.openxmlformats.org/officeDocument/2006/relationships/hyperlink" Target="http://gomyung.sen.es.kr/" TargetMode="External"/><Relationship Id="rId19" Type="http://schemas.openxmlformats.org/officeDocument/2006/relationships/hyperlink" Target="http://daemyeong.sen.es.kr/" TargetMode="External"/><Relationship Id="rId20" Type="http://schemas.openxmlformats.org/officeDocument/2006/relationships/hyperlink" Target="http://doonchon.sen.es.kr/" TargetMode="External"/><Relationship Id="rId21" Type="http://schemas.openxmlformats.org/officeDocument/2006/relationships/hyperlink" Target="http://myungduk.sen.es.kr/" TargetMode="External"/><Relationship Id="rId22" Type="http://schemas.openxmlformats.org/officeDocument/2006/relationships/hyperlink" Target="http://myongwon.sen.es.kr/" TargetMode="External"/><Relationship Id="rId23" Type="http://schemas.openxmlformats.org/officeDocument/2006/relationships/hyperlink" Target="http://myogok.sen.es.kr/" TargetMode="External"/><Relationship Id="rId24" Type="http://schemas.openxmlformats.org/officeDocument/2006/relationships/hyperlink" Target="http://hansan.sen.es.kr/" TargetMode="External"/><Relationship Id="rId25" Type="http://schemas.openxmlformats.org/officeDocument/2006/relationships/hyperlink" Target="http://dongshin.sen.ms.kr/" TargetMode="External"/><Relationship Id="rId26" Type="http://schemas.openxmlformats.org/officeDocument/2006/relationships/hyperlink" Target="http://sinmyung.sen.ms.kr/" TargetMode="External"/><Relationship Id="rId27" Type="http://schemas.openxmlformats.org/officeDocument/2006/relationships/hyperlink" Target="http://hanyoung.sen.ms.kr/" TargetMode="External"/><Relationship Id="rId28" Type="http://schemas.openxmlformats.org/officeDocument/2006/relationships/hyperlink" Target="http://gadong.sen.es.kr/" TargetMode="External"/><Relationship Id="rId29" Type="http://schemas.openxmlformats.org/officeDocument/2006/relationships/hyperlink" Target="http://guhwon.sen.es.kr/" TargetMode="External"/><Relationship Id="rId30" Type="http://schemas.openxmlformats.org/officeDocument/2006/relationships/hyperlink" Target="http://samjeon.sen.es.kr/" TargetMode="External"/><Relationship Id="rId31" Type="http://schemas.openxmlformats.org/officeDocument/2006/relationships/hyperlink" Target="http://seokchon.sen.es.kr/" TargetMode="External"/><Relationship Id="rId32" Type="http://schemas.openxmlformats.org/officeDocument/2006/relationships/hyperlink" Target="http://songrye.sen.ms.kr/" TargetMode="External"/><Relationship Id="rId33" Type="http://schemas.openxmlformats.org/officeDocument/2006/relationships/hyperlink" Target="http://scm.sen.ms.kr/" TargetMode="External"/><Relationship Id="rId34" Type="http://schemas.openxmlformats.org/officeDocument/2006/relationships/hyperlink" Target="http://youngpa.sen.ms.kr/" TargetMode="External"/><Relationship Id="rId35" Type="http://schemas.openxmlformats.org/officeDocument/2006/relationships/hyperlink" Target="http://oryun.sen.ms.kr/" TargetMode="External"/><Relationship Id="rId36" Type="http://schemas.openxmlformats.org/officeDocument/2006/relationships/hyperlink" Target="http://jamsil.sen.ms.kr/" TargetMode="External"/><Relationship Id="rId37" Type="http://schemas.openxmlformats.org/officeDocument/2006/relationships/hyperlink" Target="http://dma.sen.es.kr/" TargetMode="External"/><Relationship Id="rId38" Type="http://schemas.openxmlformats.org/officeDocument/2006/relationships/hyperlink" Target="http://deunghyun.sen.es.kr/" TargetMode="External"/><Relationship Id="rId39" Type="http://schemas.openxmlformats.org/officeDocument/2006/relationships/hyperlink" Target="http://balsan.sen.es.kr/" TargetMode="External"/><Relationship Id="rId40" Type="http://schemas.openxmlformats.org/officeDocument/2006/relationships/hyperlink" Target="http://bsbs.sen.es.kr/" TargetMode="External"/><Relationship Id="rId41" Type="http://schemas.openxmlformats.org/officeDocument/2006/relationships/hyperlink" Target="http://sjes.sen.es.kr/" TargetMode="External"/><Relationship Id="rId42" Type="http://schemas.openxmlformats.org/officeDocument/2006/relationships/hyperlink" Target="http://sg.sen.es.kr/" TargetMode="External"/><Relationship Id="rId43" Type="http://schemas.openxmlformats.org/officeDocument/2006/relationships/hyperlink" Target="http://ssinwol.sen.es.kr/" TargetMode="External"/><Relationship Id="rId44" Type="http://schemas.openxmlformats.org/officeDocument/2006/relationships/hyperlink" Target="http://ujang.sen.es.kr/" TargetMode="External"/><Relationship Id="rId45" Type="http://schemas.openxmlformats.org/officeDocument/2006/relationships/hyperlink" Target="http://deungwon.sen.ms.kr/" TargetMode="External"/><Relationship Id="rId46" Type="http://schemas.openxmlformats.org/officeDocument/2006/relationships/hyperlink" Target="http://sumyeong.sen.ms.kr/" TargetMode="External"/><Relationship Id="rId47" Type="http://schemas.openxmlformats.org/officeDocument/2006/relationships/hyperlink" Target="http://yumchang.sen.ms.kr/" TargetMode="External"/><Relationship Id="rId48" Type="http://schemas.openxmlformats.org/officeDocument/2006/relationships/hyperlink" Target="http://kyongin.sen.es.kr/" TargetMode="External"/><Relationship Id="rId49" Type="http://schemas.openxmlformats.org/officeDocument/2006/relationships/hyperlink" Target="http://sinmoc.sen.es.kr/" TargetMode="External"/><Relationship Id="rId50" Type="http://schemas.openxmlformats.org/officeDocument/2006/relationships/hyperlink" Target="http://yangmyung.sen.es.kr/" TargetMode="External"/><Relationship Id="rId51" Type="http://schemas.openxmlformats.org/officeDocument/2006/relationships/hyperlink" Target="http://yanghwa.sen.es.kr/" TargetMode="External"/><Relationship Id="rId52" Type="http://schemas.openxmlformats.org/officeDocument/2006/relationships/hyperlink" Target="http://shinmok.sen.ms.kr/" TargetMode="External"/><Relationship Id="rId53" Type="http://schemas.openxmlformats.org/officeDocument/2006/relationships/hyperlink" Target="http://yangkang.sen.ms.kr/" TargetMode="External"/><Relationship Id="rId54" Type="http://schemas.openxmlformats.org/officeDocument/2006/relationships/hyperlink" Target="http://sangil.sen.hs.kr/" TargetMode="External"/><Relationship Id="rId55" Type="http://schemas.openxmlformats.org/officeDocument/2006/relationships/hyperlink" Target="http://younggong.sen.hs.kr/" TargetMode="External"/><Relationship Id="rId56" Type="http://schemas.openxmlformats.org/officeDocument/2006/relationships/hyperlink" Target="http://ksmedia.sen.hs.kr/" TargetMode="External"/><Relationship Id="rId57" Type="http://schemas.openxmlformats.org/officeDocument/2006/relationships/hyperlink" Target="http://www.e-mirim.hs.kr/" TargetMode="External"/><Relationship Id="rId58" Type="http://schemas.openxmlformats.org/officeDocument/2006/relationships/hyperlink" Target="http://seoul-tour.sen.hs.kr/" TargetMode="External"/><Relationship Id="rId59" Type="http://schemas.openxmlformats.org/officeDocument/2006/relationships/hyperlink" Target="http://youngnak-c.sen.hs.kr/" TargetMode="External"/><Relationship Id="rId60" Type="http://schemas.openxmlformats.org/officeDocument/2006/relationships/hyperlink" Target="http://konkuk.sen.hs.kr/" TargetMode="External"/><Relationship Id="rId61" Type="http://schemas.openxmlformats.org/officeDocument/2006/relationships/hyperlink" Target="http://daewon.sen.hs.kr/" TargetMode="External"/><Relationship Id="rId62" Type="http://schemas.openxmlformats.org/officeDocument/2006/relationships/hyperlink" Target="http://ssls.sen.hs.kr/" TargetMode="External"/><Relationship Id="rId63" Type="http://schemas.openxmlformats.org/officeDocument/2006/relationships/hyperlink" Target="http://yerim.sen.hs.kr/" TargetMode="External"/><Relationship Id="rId64" Type="http://schemas.openxmlformats.org/officeDocument/2006/relationships/hyperlink" Target="http://wooshin.sen.hs.kr/" TargetMode="External"/><Relationship Id="rId65" Type="http://schemas.openxmlformats.org/officeDocument/2006/relationships/hyperlink" Target="http://geumcheon.sen.hs.kr/" TargetMode="External"/><Relationship Id="rId66" Type="http://schemas.openxmlformats.org/officeDocument/2006/relationships/hyperlink" Target="http://seoulmagnet.sen.hs.kr/" TargetMode="External"/><Relationship Id="rId67" Type="http://schemas.openxmlformats.org/officeDocument/2006/relationships/hyperlink" Target="http://kwangwoon.sen.hs.kr/" TargetMode="External"/><Relationship Id="rId68" Type="http://schemas.openxmlformats.org/officeDocument/2006/relationships/hyperlink" Target="http://daejin.sen.hs.kr/" TargetMode="External"/><Relationship Id="rId69" Type="http://schemas.openxmlformats.org/officeDocument/2006/relationships/hyperlink" Target="http://seoulit.sen.hs.kr/" TargetMode="External"/><Relationship Id="rId70" Type="http://schemas.openxmlformats.org/officeDocument/2006/relationships/hyperlink" Target="http://yumkwang.sen.hs.kr/" TargetMode="External"/><Relationship Id="rId71" Type="http://schemas.openxmlformats.org/officeDocument/2006/relationships/hyperlink" Target="http://jaehyun.sen.hs.kr/" TargetMode="External"/><Relationship Id="rId72" Type="http://schemas.openxmlformats.org/officeDocument/2006/relationships/hyperlink" Target="http://cheongwon.sen.hs.kr/" TargetMode="External"/><Relationship Id="rId73" Type="http://schemas.openxmlformats.org/officeDocument/2006/relationships/hyperlink" Target="http://sahmyook.sen.hs.kr/" TargetMode="External"/><Relationship Id="rId74" Type="http://schemas.openxmlformats.org/officeDocument/2006/relationships/hyperlink" Target="http://www.dgh.hs.kr/" TargetMode="External"/><Relationship Id="rId75" Type="http://schemas.openxmlformats.org/officeDocument/2006/relationships/hyperlink" Target="http://haesung.sen.hs.kr/" TargetMode="External"/><Relationship Id="rId76" Type="http://schemas.openxmlformats.org/officeDocument/2006/relationships/hyperlink" Target="http://gyeongseong.sen.hs.kr/" TargetMode="External"/><Relationship Id="rId77" Type="http://schemas.openxmlformats.org/officeDocument/2006/relationships/hyperlink" Target="http://hansungsh.sen.hs.kr/" TargetMode="External"/><Relationship Id="rId78" Type="http://schemas.openxmlformats.org/officeDocument/2006/relationships/hyperlink" Target="http://seocho.sen.hs.kr/" TargetMode="External"/><Relationship Id="rId79" Type="http://schemas.openxmlformats.org/officeDocument/2006/relationships/hyperlink" Target="http://yangjae.sen.hs.kr/" TargetMode="External"/><Relationship Id="rId80" Type="http://schemas.openxmlformats.org/officeDocument/2006/relationships/hyperlink" Target="http://komyung.sen.hs.kr/" TargetMode="External"/><Relationship Id="rId81" Type="http://schemas.openxmlformats.org/officeDocument/2006/relationships/hyperlink" Target="http://sungshin.sen.hs.kr/" TargetMode="External"/><Relationship Id="rId82" Type="http://schemas.openxmlformats.org/officeDocument/2006/relationships/hyperlink" Target="http://hansung-g.sen.hs.kr/" TargetMode="External"/><Relationship Id="rId83" Type="http://schemas.openxmlformats.org/officeDocument/2006/relationships/hyperlink" Target="http://seoulai.sen.hs.kr/" TargetMode="External"/><Relationship Id="rId84" Type="http://schemas.openxmlformats.org/officeDocument/2006/relationships/hyperlink" Target="http://chungshin.sen.hs.kr/" TargetMode="External"/><Relationship Id="rId85" Type="http://schemas.openxmlformats.org/officeDocument/2006/relationships/hyperlink" Target="http://seoulfc.sen.hs.kr/" TargetMode="External"/><Relationship Id="rId86" Type="http://schemas.openxmlformats.org/officeDocument/2006/relationships/hyperlink" Target="http://jm.sen.hs.kr/" TargetMode="External"/><Relationship Id="rId87" Type="http://schemas.openxmlformats.org/officeDocument/2006/relationships/hyperlink" Target="http://sunrint.sen.hs.kr/" TargetMode="External"/><Relationship Id="rId88" Type="http://schemas.openxmlformats.org/officeDocument/2006/relationships/hyperlink" Target="http://sacredheart.sen.hs.kr/" TargetMode="External"/><Relationship Id="rId89" Type="http://schemas.openxmlformats.org/officeDocument/2006/relationships/hyperlink" Target="http://jungkyung.sen.hs.kr/" TargetMode="External"/><Relationship Id="rId90" Type="http://schemas.openxmlformats.org/officeDocument/2006/relationships/hyperlink" Target="http://bigdata.sen.hs.kr/" TargetMode="External"/><Relationship Id="rId91" Type="http://schemas.openxmlformats.org/officeDocument/2006/relationships/hyperlink" Target="http://soongsil.sen.hs.kr/" TargetMode="External"/><Relationship Id="rId92" Type="http://schemas.openxmlformats.org/officeDocument/2006/relationships/hyperlink" Target="http://sindo.sen.hs.kr/" TargetMode="External"/><Relationship Id="rId93" Type="http://schemas.openxmlformats.org/officeDocument/2006/relationships/hyperlink" Target="http://sdglobal.sen.hs.kr/" TargetMode="External"/><Relationship Id="rId94" Type="http://schemas.openxmlformats.org/officeDocument/2006/relationships/hyperlink" Target="http://jangchung.sen.hs.kr/" TargetMode="External"/><Relationship Id="rId95" Type="http://schemas.openxmlformats.org/officeDocument/2006/relationships/hyperlink" Target="http://jung-hwa.sen.hs.kr/" TargetMode="External"/><Relationship Id="rId96" Type="http://schemas.openxmlformats.org/officeDocument/2006/relationships/hyperlink" Target="http://snueps.sen.es.kr/" TargetMode="External"/><Relationship Id="rId97" Type="http://schemas.openxmlformats.org/officeDocument/2006/relationships/hyperlink" Target="http://gaebong.sen.es.kr/" TargetMode="External"/><Relationship Id="rId98" Type="http://schemas.openxmlformats.org/officeDocument/2006/relationships/hyperlink" Target="http://guro.sen.es.kr/" TargetMode="External"/><Relationship Id="rId99" Type="http://schemas.openxmlformats.org/officeDocument/2006/relationships/hyperlink" Target="http://dukeui.sen.es.kr/" TargetMode="External"/><Relationship Id="rId100" Type="http://schemas.openxmlformats.org/officeDocument/2006/relationships/hyperlink" Target="http://dongguro.sen.es.kr/" TargetMode="External"/><Relationship Id="rId101" Type="http://schemas.openxmlformats.org/officeDocument/2006/relationships/hyperlink" Target="http://yeongseo.sen.ms.kr/" TargetMode="External"/><Relationship Id="rId102" Type="http://schemas.openxmlformats.org/officeDocument/2006/relationships/hyperlink" Target="http://oryu.sen.ms.kr/" TargetMode="External"/><Relationship Id="rId103" Type="http://schemas.openxmlformats.org/officeDocument/2006/relationships/hyperlink" Target="http://donggwang.sen.es.kr/" TargetMode="External"/><Relationship Id="rId104" Type="http://schemas.openxmlformats.org/officeDocument/2006/relationships/hyperlink" Target="http://gasan.sen.es.kr/" TargetMode="External"/><Relationship Id="rId105" Type="http://schemas.openxmlformats.org/officeDocument/2006/relationships/hyperlink" Target="http://ancheon.sen.es.kr/" TargetMode="External"/><Relationship Id="rId106" Type="http://schemas.openxmlformats.org/officeDocument/2006/relationships/hyperlink" Target="http://yunjung.sen.es.kr/" TargetMode="External"/><Relationship Id="rId107" Type="http://schemas.openxmlformats.org/officeDocument/2006/relationships/hyperlink" Target="http://dapsimni.sen.es.kr/" TargetMode="External"/><Relationship Id="rId108" Type="http://schemas.openxmlformats.org/officeDocument/2006/relationships/hyperlink" Target="http://shindap.sen.es.kr/" TargetMode="External"/><Relationship Id="rId109" Type="http://schemas.openxmlformats.org/officeDocument/2006/relationships/hyperlink" Target="http://anpyeong.sen.es.kr/" TargetMode="External"/><Relationship Id="rId110" Type="http://schemas.openxmlformats.org/officeDocument/2006/relationships/hyperlink" Target="http://chongryang.sen.es.kr/" TargetMode="External"/><Relationship Id="rId111" Type="http://schemas.openxmlformats.org/officeDocument/2006/relationships/hyperlink" Target="http://kyungheegls.sen.ms.kr/" TargetMode="External"/><Relationship Id="rId112" Type="http://schemas.openxmlformats.org/officeDocument/2006/relationships/hyperlink" Target="http://dongguk.sen.ms.kr/" TargetMode="External"/><Relationship Id="rId113" Type="http://schemas.openxmlformats.org/officeDocument/2006/relationships/hyperlink" Target="http://hwikyung.sen.ms.kr/" TargetMode="External"/><Relationship Id="rId114" Type="http://schemas.openxmlformats.org/officeDocument/2006/relationships/hyperlink" Target="http://youngran.sen.ms.kr/" TargetMode="External"/><Relationship Id="rId115" Type="http://schemas.openxmlformats.org/officeDocument/2006/relationships/hyperlink" Target="http://wonmook.sen.ms.kr/" TargetMode="External"/><Relationship Id="rId116" Type="http://schemas.openxmlformats.org/officeDocument/2006/relationships/hyperlink" Target="http://seoulguam.sen.es.kr/" TargetMode="External"/><Relationship Id="rId117" Type="http://schemas.openxmlformats.org/officeDocument/2006/relationships/hyperlink" Target="http://bonghyun.sen.es.kr/" TargetMode="External"/><Relationship Id="rId118" Type="http://schemas.openxmlformats.org/officeDocument/2006/relationships/hyperlink" Target="http://guahm.sen.ms.kr/" TargetMode="External"/><Relationship Id="rId119" Type="http://schemas.openxmlformats.org/officeDocument/2006/relationships/hyperlink" Target="http://bongwon.sen.ms.kr/" TargetMode="External"/><Relationship Id="rId120" Type="http://schemas.openxmlformats.org/officeDocument/2006/relationships/hyperlink" Target="http://seouldaelim.sen.es.kr/" TargetMode="External"/><Relationship Id="rId121" Type="http://schemas.openxmlformats.org/officeDocument/2006/relationships/hyperlink" Target="http://samil.sen.es.kr/" TargetMode="External"/><Relationship Id="rId122" Type="http://schemas.openxmlformats.org/officeDocument/2006/relationships/hyperlink" Target="http://shinsangdo.sen.es.kr/" TargetMode="External"/><Relationship Id="rId123" Type="http://schemas.openxmlformats.org/officeDocument/2006/relationships/hyperlink" Target="http://yeongbon.sen.es.kr/" TargetMode="External"/><Relationship Id="rId124" Type="http://schemas.openxmlformats.org/officeDocument/2006/relationships/hyperlink" Target="http://younghwa.sen.es.kr/" TargetMode="External"/><Relationship Id="rId125" Type="http://schemas.openxmlformats.org/officeDocument/2006/relationships/hyperlink" Target="http://cau.sen.es.kr/" TargetMode="External"/><Relationship Id="rId126" Type="http://schemas.openxmlformats.org/officeDocument/2006/relationships/hyperlink" Target="http://sungnam.sen.ms.kr/" TargetMode="External"/><Relationship Id="rId127" Type="http://schemas.openxmlformats.org/officeDocument/2006/relationships/hyperlink" Target="http://sangmyeong.net/" TargetMode="External"/><Relationship Id="rId128" Type="http://schemas.openxmlformats.org/officeDocument/2006/relationships/hyperlink" Target="http://gongyeon.sen.es.kr/" TargetMode="External"/><Relationship Id="rId129" Type="http://schemas.openxmlformats.org/officeDocument/2006/relationships/hyperlink" Target="http://danghyeon.sen.es.kr/" TargetMode="External"/><Relationship Id="rId130" Type="http://schemas.openxmlformats.org/officeDocument/2006/relationships/hyperlink" Target="http://deokam.sen.es.kr/" TargetMode="External"/><Relationship Id="rId131" Type="http://schemas.openxmlformats.org/officeDocument/2006/relationships/hyperlink" Target="http://dongil.sen.es.kr/" TargetMode="External"/><Relationship Id="rId132" Type="http://schemas.openxmlformats.org/officeDocument/2006/relationships/hyperlink" Target="http://singye.sen.es.kr/" TargetMode="External"/><Relationship Id="rId133" Type="http://schemas.openxmlformats.org/officeDocument/2006/relationships/hyperlink" Target="http://wonkwang.sen.es.kr/" TargetMode="External"/><Relationship Id="rId134" Type="http://schemas.openxmlformats.org/officeDocument/2006/relationships/hyperlink" Target="http://sangwon.sen.ms.kr/" TargetMode="External"/><Relationship Id="rId135" Type="http://schemas.openxmlformats.org/officeDocument/2006/relationships/hyperlink" Target="http://yumkwang.sen.ms.kr/" TargetMode="External"/><Relationship Id="rId136" Type="http://schemas.openxmlformats.org/officeDocument/2006/relationships/hyperlink" Target="http://joongwon.sen.ms.kr/" TargetMode="External"/><Relationship Id="rId137" Type="http://schemas.openxmlformats.org/officeDocument/2006/relationships/hyperlink" Target="http://dongbuk.sen.es.kr/" TargetMode="External"/><Relationship Id="rId138" Type="http://schemas.openxmlformats.org/officeDocument/2006/relationships/hyperlink" Target="http://s-baegun.sen.es.kr/" TargetMode="External"/><Relationship Id="rId139" Type="http://schemas.openxmlformats.org/officeDocument/2006/relationships/hyperlink" Target="http://sungmi.sen.es.kr/" TargetMode="External"/><Relationship Id="rId140" Type="http://schemas.openxmlformats.org/officeDocument/2006/relationships/hyperlink" Target="http://changil.sen.es.kr/" TargetMode="External"/><Relationship Id="rId141" Type="http://schemas.openxmlformats.org/officeDocument/2006/relationships/hyperlink" Target="http://chodang.sen.es.kr/" TargetMode="External"/><Relationship Id="rId142" Type="http://schemas.openxmlformats.org/officeDocument/2006/relationships/hyperlink" Target="http://changil.sen.ms.kr/" TargetMode="External"/><Relationship Id="rId143" Type="http://schemas.openxmlformats.org/officeDocument/2006/relationships/hyperlink" Target="http://seogang.sen.es.kr/" TargetMode="External"/><Relationship Id="rId144" Type="http://schemas.openxmlformats.org/officeDocument/2006/relationships/hyperlink" Target="http://sky.sen.es.kr/" TargetMode="External"/><Relationship Id="rId145" Type="http://schemas.openxmlformats.org/officeDocument/2006/relationships/hyperlink" Target="http://hongje.sen.es.kr/" TargetMode="External"/><Relationship Id="rId146" Type="http://schemas.openxmlformats.org/officeDocument/2006/relationships/hyperlink" Target="http://ewha.sen.es.kr/" TargetMode="External"/><Relationship Id="rId147" Type="http://schemas.openxmlformats.org/officeDocument/2006/relationships/hyperlink" Target="http://myongji.sen.ms.kr/" TargetMode="External"/><Relationship Id="rId148" Type="http://schemas.openxmlformats.org/officeDocument/2006/relationships/hyperlink" Target="http://yonhi.sen.ms.kr/" TargetMode="External"/><Relationship Id="rId149" Type="http://schemas.openxmlformats.org/officeDocument/2006/relationships/hyperlink" Target="http://nokbun.sen.es.kr/" TargetMode="External"/><Relationship Id="rId150" Type="http://schemas.openxmlformats.org/officeDocument/2006/relationships/hyperlink" Target="http://daejo.sen.es.kr/" TargetMode="External"/><Relationship Id="rId151" Type="http://schemas.openxmlformats.org/officeDocument/2006/relationships/hyperlink" Target="http://susaek.sen.es.kr/" TargetMode="External"/><Relationship Id="rId152" Type="http://schemas.openxmlformats.org/officeDocument/2006/relationships/hyperlink" Target="http://em.sen.es.kr/" TargetMode="External"/><Relationship Id="rId153" Type="http://schemas.openxmlformats.org/officeDocument/2006/relationships/hyperlink" Target="http://sunil.sen.es.kr/" TargetMode="External"/><Relationship Id="rId154" Type="http://schemas.openxmlformats.org/officeDocument/2006/relationships/hyperlink" Target="http://dsms.sen.ms.kr/" TargetMode="External"/><Relationship Id="rId155" Type="http://schemas.openxmlformats.org/officeDocument/2006/relationships/hyperlink" Target="http://duksan.sen.ms.kr/" TargetMode="External"/><Relationship Id="rId156" Type="http://schemas.openxmlformats.org/officeDocument/2006/relationships/hyperlink" Target="http://sunjung.sen.ms.kr/" TargetMode="External"/><Relationship Id="rId157" Type="http://schemas.openxmlformats.org/officeDocument/2006/relationships/hyperlink" Target="http://jeungsan.sen.ms.kr/" TargetMode="External"/><Relationship Id="rId158" Type="http://schemas.openxmlformats.org/officeDocument/2006/relationships/hyperlink" Target="http://kwangjang.sen.es.kr/" TargetMode="External"/><Relationship Id="rId159" Type="http://schemas.openxmlformats.org/officeDocument/2006/relationships/hyperlink" Target="http://gunam.sen.es.kr/" TargetMode="External"/><Relationship Id="rId160" Type="http://schemas.openxmlformats.org/officeDocument/2006/relationships/hyperlink" Target="http://s-yangnam.sen.es.kr/" TargetMode="External"/><Relationship Id="rId161" Type="http://schemas.openxmlformats.org/officeDocument/2006/relationships/hyperlink" Target="http://sungdong.sen.es.kr/" TargetMode="External"/><Relationship Id="rId162" Type="http://schemas.openxmlformats.org/officeDocument/2006/relationships/hyperlink" Target="http://konkuk.sen.ms.kr/" TargetMode="External"/><Relationship Id="rId163" Type="http://schemas.openxmlformats.org/officeDocument/2006/relationships/hyperlink" Target="http://daewon.ms.kr/" TargetMode="External"/><Relationship Id="rId164" Type="http://schemas.openxmlformats.org/officeDocument/2006/relationships/hyperlink" Target="http://garam.sen.ms.kr/" TargetMode="External"/><Relationship Id="rId165" Type="http://schemas.openxmlformats.org/officeDocument/2006/relationships/hyperlink" Target="http://jayang.sen.ms.kr/" TargetMode="External"/><Relationship Id="rId166" Type="http://schemas.openxmlformats.org/officeDocument/2006/relationships/hyperlink" Target="http://eb.sen.es.kr/" TargetMode="External"/><Relationship Id="rId167" Type="http://schemas.openxmlformats.org/officeDocument/2006/relationships/hyperlink" Target="http://hd.sen.es.kr/" TargetMode="External"/><Relationship Id="rId168" Type="http://schemas.openxmlformats.org/officeDocument/2006/relationships/hyperlink" Target="http://hyu.sen.ms.kr/" TargetMode="External"/><Relationship Id="rId169" Type="http://schemas.openxmlformats.org/officeDocument/2006/relationships/hyperlink" Target="http://mi-yang.sen.es.kr/" TargetMode="External"/><Relationship Id="rId170" Type="http://schemas.openxmlformats.org/officeDocument/2006/relationships/hyperlink" Target="http://song-cheon.sen.es.kr/" TargetMode="External"/><Relationship Id="rId171" Type="http://schemas.openxmlformats.org/officeDocument/2006/relationships/hyperlink" Target="http://samgaksan.sen.ms.kr/" TargetMode="External"/><Relationship Id="rId172" Type="http://schemas.openxmlformats.org/officeDocument/2006/relationships/hyperlink" Target="http://hwagye.sen.ms.kr/" TargetMode="External"/><Relationship Id="rId173" Type="http://schemas.openxmlformats.org/officeDocument/2006/relationships/hyperlink" Target="http://gaewoon.sen.es.kr/" TargetMode="External"/><Relationship Id="rId174" Type="http://schemas.openxmlformats.org/officeDocument/2006/relationships/hyperlink" Target="http://soonggok.sen.es.kr/" TargetMode="External"/><Relationship Id="rId175" Type="http://schemas.openxmlformats.org/officeDocument/2006/relationships/hyperlink" Target="http://soongduck.sen.es.kr/" TargetMode="External"/><Relationship Id="rId176" Type="http://schemas.openxmlformats.org/officeDocument/2006/relationships/hyperlink" Target="http://jangwicho.sen.es.kr/" TargetMode="External"/><Relationship Id="rId177" Type="http://schemas.openxmlformats.org/officeDocument/2006/relationships/hyperlink" Target="http://jeongdeok.sen.es.kr/" TargetMode="External"/><Relationship Id="rId178" Type="http://schemas.openxmlformats.org/officeDocument/2006/relationships/hyperlink" Target="http://uchon.sen.es.kr/" TargetMode="External"/><Relationship Id="rId179" Type="http://schemas.openxmlformats.org/officeDocument/2006/relationships/hyperlink" Target="http://wolgok.sen.ms.kr/" TargetMode="External"/><Relationship Id="rId180" Type="http://schemas.openxmlformats.org/officeDocument/2006/relationships/hyperlink" Target="http://jongam.sen.ms.kr/" TargetMode="External"/><Relationship Id="rId181" Type="http://schemas.openxmlformats.org/officeDocument/2006/relationships/hyperlink" Target="http://hongik.sen.ms.kr/" TargetMode="External"/><Relationship Id="rId182" Type="http://schemas.openxmlformats.org/officeDocument/2006/relationships/hyperlink" Target="http://yongam.sen.es.kr/" TargetMode="External"/><Relationship Id="rId183" Type="http://schemas.openxmlformats.org/officeDocument/2006/relationships/hyperlink" Target="http://hangang.sen.es.kr/" TargetMode="External"/><Relationship Id="rId184" Type="http://schemas.openxmlformats.org/officeDocument/2006/relationships/hyperlink" Target="http://yonggang.sen.ms.kr/" TargetMode="External"/><Relationship Id="rId185" Type="http://schemas.openxmlformats.org/officeDocument/2006/relationships/hyperlink" Target="http://hangang.sen.ms.kr/" TargetMode="External"/><Relationship Id="rId186" Type="http://schemas.openxmlformats.org/officeDocument/2006/relationships/hyperlink" Target="http://unhyun.sen.es.kr/" TargetMode="External"/><Relationship Id="rId187" Type="http://schemas.openxmlformats.org/officeDocument/2006/relationships/hyperlink" Target="http://duksung.sen.ms.kr/" TargetMode="External"/><Relationship Id="rId188" Type="http://schemas.openxmlformats.org/officeDocument/2006/relationships/hyperlink" Target="http://cheonggu.sen.es.kr/" TargetMode="External"/><Relationship Id="rId189" Type="http://schemas.openxmlformats.org/officeDocument/2006/relationships/hyperlink" Target="http://geumho.sen.ms.kr/" TargetMode="External"/><Relationship Id="rId190" Type="http://schemas.openxmlformats.org/officeDocument/2006/relationships/hyperlink" Target="http://www.pdj.hs.kr/" TargetMode="External"/><Relationship Id="rId191" Type="http://schemas.openxmlformats.org/officeDocument/2006/relationships/hyperlink" Target="http://www.pusan-ith.hs.kr/" TargetMode="External"/><Relationship Id="rId192" Type="http://schemas.openxmlformats.org/officeDocument/2006/relationships/hyperlink" Target="http://school.busanedu.net/" TargetMode="External"/><Relationship Id="rId193" Type="http://schemas.openxmlformats.org/officeDocument/2006/relationships/hyperlink" Target="http://sungwoo.sc.kr/" TargetMode="External"/><Relationship Id="rId194" Type="http://schemas.openxmlformats.org/officeDocument/2006/relationships/hyperlink" Target="http://haemaru.sc.kr/" TargetMode="External"/><Relationship Id="rId195" Type="http://schemas.openxmlformats.org/officeDocument/2006/relationships/hyperlink" Target="http://tm.hs.kr/" TargetMode="External"/><Relationship Id="rId196" Type="http://schemas.openxmlformats.org/officeDocument/2006/relationships/hyperlink" Target="http://mr.hs.kr/" TargetMode="External"/><Relationship Id="rId197" Type="http://schemas.openxmlformats.org/officeDocument/2006/relationships/hyperlink" Target="http://seyeon.hs.kr/" TargetMode="External"/><Relationship Id="rId198" Type="http://schemas.openxmlformats.org/officeDocument/2006/relationships/hyperlink" Target="http://www.pcs.hs.kr/" TargetMode="External"/><Relationship Id="rId199" Type="http://schemas.openxmlformats.org/officeDocument/2006/relationships/hyperlink" Target="http://psyongin.hs.kr/" TargetMode="External"/><Relationship Id="rId200" Type="http://schemas.openxmlformats.org/officeDocument/2006/relationships/hyperlink" Target="http://school.busanedu.net/psdongsung-h" TargetMode="External"/><Relationship Id="rId201" Type="http://schemas.openxmlformats.org/officeDocument/2006/relationships/hyperlink" Target="http://www.marketing.hs.kr/" TargetMode="External"/><Relationship Id="rId202" Type="http://schemas.openxmlformats.org/officeDocument/2006/relationships/hyperlink" Target="http://www.sejeong.hs.kr/" TargetMode="External"/><Relationship Id="rId203" Type="http://schemas.openxmlformats.org/officeDocument/2006/relationships/hyperlink" Target="http://daeduk.hs.kr/" TargetMode="External"/><Relationship Id="rId204" Type="http://schemas.openxmlformats.org/officeDocument/2006/relationships/hyperlink" Target="http://www.daegwang.hs.kr/" TargetMode="External"/><Relationship Id="rId205" Type="http://schemas.openxmlformats.org/officeDocument/2006/relationships/hyperlink" Target="http://www.ddhs.hs.kr/" TargetMode="External"/><Relationship Id="rId206" Type="http://schemas.openxmlformats.org/officeDocument/2006/relationships/hyperlink" Target="http://dong-a.hs.kr/" TargetMode="External"/><Relationship Id="rId207" Type="http://schemas.openxmlformats.org/officeDocument/2006/relationships/hyperlink" Target="http://www.kse.hs.kr/" TargetMode="External"/><Relationship Id="rId208" Type="http://schemas.openxmlformats.org/officeDocument/2006/relationships/hyperlink" Target="http://www.dukmoon.hs.kr/" TargetMode="External"/><Relationship Id="rId209" Type="http://schemas.openxmlformats.org/officeDocument/2006/relationships/hyperlink" Target="http://school.busanedu.net/gyeseong-gc-h" TargetMode="External"/><Relationship Id="rId210" Type="http://schemas.openxmlformats.org/officeDocument/2006/relationships/hyperlink" Target="http://www.isabelle.hs.kr/" TargetMode="External"/><Relationship Id="rId211" Type="http://schemas.openxmlformats.org/officeDocument/2006/relationships/hyperlink" Target="http://busanhc.com/" TargetMode="External"/><Relationship Id="rId212" Type="http://schemas.openxmlformats.org/officeDocument/2006/relationships/hyperlink" Target="http://visual.hs.kr/" TargetMode="External"/><Relationship Id="rId213" Type="http://schemas.openxmlformats.org/officeDocument/2006/relationships/hyperlink" Target="http://bs-moonhwa.hs.kr/" TargetMode="External"/><Relationship Id="rId214" Type="http://schemas.openxmlformats.org/officeDocument/2006/relationships/hyperlink" Target="http://school.busanedu.net/busan-cg-h/main.do" TargetMode="External"/><Relationship Id="rId215" Type="http://schemas.openxmlformats.org/officeDocument/2006/relationships/hyperlink" Target="http://ysh.hs.kr/" TargetMode="External"/><Relationship Id="rId216" Type="http://schemas.openxmlformats.org/officeDocument/2006/relationships/hyperlink" Target="http://www.h-tour.hs.kr/" TargetMode="External"/><Relationship Id="rId217" Type="http://schemas.openxmlformats.org/officeDocument/2006/relationships/hyperlink" Target="http://school.busanedu.net/moonhyun-e" TargetMode="External"/><Relationship Id="rId218" Type="http://schemas.openxmlformats.org/officeDocument/2006/relationships/hyperlink" Target="http://www.daecheon.ms.kr/" TargetMode="External"/><Relationship Id="rId219" Type="http://schemas.openxmlformats.org/officeDocument/2006/relationships/hyperlink" Target="http://www.haeyeon.ms.kr/" TargetMode="External"/><Relationship Id="rId220" Type="http://schemas.openxmlformats.org/officeDocument/2006/relationships/hyperlink" Target="http://seonhwa-gm.ms.kr/" TargetMode="External"/><Relationship Id="rId221" Type="http://schemas.openxmlformats.org/officeDocument/2006/relationships/hyperlink" Target="http://www.hangdo.ms.kr/" TargetMode="External"/><Relationship Id="rId222" Type="http://schemas.openxmlformats.org/officeDocument/2006/relationships/hyperlink" Target="http://www.dongrae.es.kr/" TargetMode="External"/><Relationship Id="rId223" Type="http://schemas.openxmlformats.org/officeDocument/2006/relationships/hyperlink" Target="http://www.jangseo.es.kr/" TargetMode="External"/><Relationship Id="rId224" Type="http://schemas.openxmlformats.org/officeDocument/2006/relationships/hyperlink" Target="http://school.busanedu.net/pusanarts-m" TargetMode="External"/><Relationship Id="rId225" Type="http://schemas.openxmlformats.org/officeDocument/2006/relationships/hyperlink" Target="http://www.naesung.es.kr/" TargetMode="External"/><Relationship Id="rId226" Type="http://schemas.openxmlformats.org/officeDocument/2006/relationships/hyperlink" Target="http://www.myongseo.es.kr/" TargetMode="External"/><Relationship Id="rId227" Type="http://schemas.openxmlformats.org/officeDocument/2006/relationships/hyperlink" Target="http://www.sajik.es.kr/" TargetMode="External"/><Relationship Id="rId228" Type="http://schemas.openxmlformats.org/officeDocument/2006/relationships/hyperlink" Target="http://www.onsaem.es.kr/" TargetMode="External"/><Relationship Id="rId229" Type="http://schemas.openxmlformats.org/officeDocument/2006/relationships/hyperlink" Target="http://www.onchun.es.kr/" TargetMode="External"/><Relationship Id="rId230" Type="http://schemas.openxmlformats.org/officeDocument/2006/relationships/hyperlink" Target="http://yondong.es.kr/" TargetMode="External"/><Relationship Id="rId231" Type="http://schemas.openxmlformats.org/officeDocument/2006/relationships/hyperlink" Target="http://www.yonsan.es.kr/" TargetMode="External"/><Relationship Id="rId232" Type="http://schemas.openxmlformats.org/officeDocument/2006/relationships/hyperlink" Target="http://school.busanedu.net/yeonseo-e/main.do" TargetMode="External"/><Relationship Id="rId233" Type="http://schemas.openxmlformats.org/officeDocument/2006/relationships/hyperlink" Target="http://school.busanedu.net/isabelle-m" TargetMode="External"/><Relationship Id="rId234" Type="http://schemas.openxmlformats.org/officeDocument/2006/relationships/hyperlink" Target="http://gangseoe.es.kr/" TargetMode="External"/><Relationship Id="rId235" Type="http://schemas.openxmlformats.org/officeDocument/2006/relationships/hyperlink" Target="http://noksan.es.kr/" TargetMode="External"/><Relationship Id="rId236" Type="http://schemas.openxmlformats.org/officeDocument/2006/relationships/hyperlink" Target="http://dj-ja.es.kr/" TargetMode="External"/><Relationship Id="rId237" Type="http://schemas.openxmlformats.org/officeDocument/2006/relationships/hyperlink" Target="http://myeongmun.es.kr/" TargetMode="External"/><Relationship Id="rId238" Type="http://schemas.openxmlformats.org/officeDocument/2006/relationships/hyperlink" Target="http://bssm.es.kr/" TargetMode="External"/><Relationship Id="rId239" Type="http://schemas.openxmlformats.org/officeDocument/2006/relationships/hyperlink" Target="http://ocean.ms.kr/" TargetMode="External"/><Relationship Id="rId240" Type="http://schemas.openxmlformats.org/officeDocument/2006/relationships/hyperlink" Target="http://myd.es.kr/" TargetMode="External"/><Relationship Id="rId241" Type="http://schemas.openxmlformats.org/officeDocument/2006/relationships/hyperlink" Target="http://myungjin.es.kr/" TargetMode="External"/><Relationship Id="rId242" Type="http://schemas.openxmlformats.org/officeDocument/2006/relationships/hyperlink" Target="http://school.busanedu.net/haksa-e" TargetMode="External"/><Relationship Id="rId243" Type="http://schemas.openxmlformats.org/officeDocument/2006/relationships/hyperlink" Target="http://www.bshj.es.kr/" TargetMode="External"/><Relationship Id="rId244" Type="http://schemas.openxmlformats.org/officeDocument/2006/relationships/hyperlink" Target="http://www.guhag.es.kr/" TargetMode="External"/><Relationship Id="rId245" Type="http://schemas.openxmlformats.org/officeDocument/2006/relationships/hyperlink" Target="http://school.busanedu.net/modeok-e" TargetMode="External"/><Relationship Id="rId246" Type="http://schemas.openxmlformats.org/officeDocument/2006/relationships/hyperlink" Target="http://www.omgung.es.kr/" TargetMode="External"/><Relationship Id="rId247" Type="http://schemas.openxmlformats.org/officeDocument/2006/relationships/hyperlink" Target="http://www.jugam.es.kr/" TargetMode="External"/><Relationship Id="rId248" Type="http://schemas.openxmlformats.org/officeDocument/2006/relationships/hyperlink" Target="http://okchun.es.kr/" TargetMode="External"/><Relationship Id="rId249" Type="http://schemas.openxmlformats.org/officeDocument/2006/relationships/hyperlink" Target="http://hyorim.es.kr/" TargetMode="External"/><Relationship Id="rId250" Type="http://schemas.openxmlformats.org/officeDocument/2006/relationships/hyperlink" Target="http://saha.ms.kr/" TargetMode="External"/><Relationship Id="rId251" Type="http://schemas.openxmlformats.org/officeDocument/2006/relationships/hyperlink" Target="http://www.bumin.es.kr/" TargetMode="External"/><Relationship Id="rId252" Type="http://schemas.openxmlformats.org/officeDocument/2006/relationships/hyperlink" Target="http://toseong.es.kr/" TargetMode="External"/><Relationship Id="rId253" Type="http://schemas.openxmlformats.org/officeDocument/2006/relationships/hyperlink" Target="http://namhang.es.kr/" TargetMode="External"/><Relationship Id="rId254" Type="http://schemas.openxmlformats.org/officeDocument/2006/relationships/hyperlink" Target="http://ses.es.kr/" TargetMode="External"/><Relationship Id="rId255" Type="http://schemas.openxmlformats.org/officeDocument/2006/relationships/hyperlink" Target="http://www.nisb.kr/" TargetMode="External"/><Relationship Id="rId256" Type="http://schemas.openxmlformats.org/officeDocument/2006/relationships/hyperlink" Target="http://www.deogweon.ms.kr/" TargetMode="External"/><Relationship Id="rId257" Type="http://schemas.openxmlformats.org/officeDocument/2006/relationships/hyperlink" Target="http://bsdalsan.es.kr/" TargetMode="External"/><Relationship Id="rId258" Type="http://schemas.openxmlformats.org/officeDocument/2006/relationships/hyperlink" Target="http://www.daechung.es.kr/" TargetMode="External"/><Relationship Id="rId259" Type="http://schemas.openxmlformats.org/officeDocument/2006/relationships/hyperlink" Target="http://sinjeong.kr/" TargetMode="External"/><Relationship Id="rId260" Type="http://schemas.openxmlformats.org/officeDocument/2006/relationships/hyperlink" Target="http://haebit.es.kr/" TargetMode="External"/><Relationship Id="rId261" Type="http://schemas.openxmlformats.org/officeDocument/2006/relationships/hyperlink" Target="http://www.kwangan.es.kr/" TargetMode="External"/><Relationship Id="rId262" Type="http://schemas.openxmlformats.org/officeDocument/2006/relationships/hyperlink" Target="http://hanbada.ms.kr/" TargetMode="External"/><Relationship Id="rId263" Type="http://schemas.openxmlformats.org/officeDocument/2006/relationships/hyperlink" Target="http://www.bansan.es.kr/" TargetMode="External"/><Relationship Id="rId264" Type="http://schemas.openxmlformats.org/officeDocument/2006/relationships/hyperlink" Target="http://sameo.es.kr/" TargetMode="External"/><Relationship Id="rId265" Type="http://schemas.openxmlformats.org/officeDocument/2006/relationships/hyperlink" Target="http://songun.es.kr/" TargetMode="External"/><Relationship Id="rId266" Type="http://schemas.openxmlformats.org/officeDocument/2006/relationships/hyperlink" Target="http://school.busanedu.net/yangun-m/main.do" TargetMode="External"/><Relationship Id="rId267" Type="http://schemas.openxmlformats.org/officeDocument/2006/relationships/hyperlink" Target="http://g-il.dge.hs.kr/" TargetMode="External"/><Relationship Id="rId268" Type="http://schemas.openxmlformats.org/officeDocument/2006/relationships/hyperlink" Target="http://hyupsung.dge.hs.kr/" TargetMode="External"/><Relationship Id="rId269" Type="http://schemas.openxmlformats.org/officeDocument/2006/relationships/hyperlink" Target="http://www.kwh.dge.hs.kr/" TargetMode="External"/><Relationship Id="rId270" Type="http://schemas.openxmlformats.org/officeDocument/2006/relationships/hyperlink" Target="http://kyonghwa.dge.hs.kr/" TargetMode="External"/><Relationship Id="rId271" Type="http://schemas.openxmlformats.org/officeDocument/2006/relationships/hyperlink" Target="http://daegun.dge.hs.kr/" TargetMode="External"/><Relationship Id="rId272" Type="http://schemas.openxmlformats.org/officeDocument/2006/relationships/hyperlink" Target="http://daegok.dge.hs.kr/" TargetMode="External"/><Relationship Id="rId273" Type="http://schemas.openxmlformats.org/officeDocument/2006/relationships/hyperlink" Target="http://dg-health.dge.hs.kr/" TargetMode="External"/><Relationship Id="rId274" Type="http://schemas.openxmlformats.org/officeDocument/2006/relationships/hyperlink" Target="http://www.dj.dge.hs.kr/" TargetMode="External"/><Relationship Id="rId275" Type="http://schemas.openxmlformats.org/officeDocument/2006/relationships/hyperlink" Target="http://dowon.dge.hs.kr/" TargetMode="External"/><Relationship Id="rId276" Type="http://schemas.openxmlformats.org/officeDocument/2006/relationships/hyperlink" Target="http://sangsuh.dge.hs.kr/" TargetMode="External"/><Relationship Id="rId277" Type="http://schemas.openxmlformats.org/officeDocument/2006/relationships/hyperlink" Target="http://songhyun.dge.hs.kr/" TargetMode="External"/><Relationship Id="rId278" Type="http://schemas.openxmlformats.org/officeDocument/2006/relationships/hyperlink" Target="http://hyo-sung.dge.hs.kr/" TargetMode="External"/><Relationship Id="rId279" Type="http://schemas.openxmlformats.org/officeDocument/2006/relationships/hyperlink" Target="http://dalseo.dge.hs.kr/" TargetMode="External"/><Relationship Id="rId280" Type="http://schemas.openxmlformats.org/officeDocument/2006/relationships/hyperlink" Target="http://www.dgsw.hs.kr/" TargetMode="External"/><Relationship Id="rId281" Type="http://schemas.openxmlformats.org/officeDocument/2006/relationships/hyperlink" Target="http://daewon.dge.hs.kr/" TargetMode="External"/><Relationship Id="rId282" Type="http://schemas.openxmlformats.org/officeDocument/2006/relationships/hyperlink" Target="http://simin.dge.hs.kr/" TargetMode="External"/><Relationship Id="rId283" Type="http://schemas.openxmlformats.org/officeDocument/2006/relationships/hyperlink" Target="http://hyunpung.dge.hs.kr/" TargetMode="External"/><Relationship Id="rId284" Type="http://schemas.openxmlformats.org/officeDocument/2006/relationships/hyperlink" Target="http://choil.dge.hs.kr/" TargetMode="External"/><Relationship Id="rId285" Type="http://schemas.openxmlformats.org/officeDocument/2006/relationships/hyperlink" Target="http://gyeongsang.dge.hs.kr/" TargetMode="External"/><Relationship Id="rId286" Type="http://schemas.openxmlformats.org/officeDocument/2006/relationships/hyperlink" Target="http://guam.dge.hs.kr/" TargetMode="External"/><Relationship Id="rId287" Type="http://schemas.openxmlformats.org/officeDocument/2006/relationships/hyperlink" Target="http://seonggwang.dge.hs.kr/" TargetMode="External"/><Relationship Id="rId288" Type="http://schemas.openxmlformats.org/officeDocument/2006/relationships/hyperlink" Target="http://youngsong.dge.hs.kr/" TargetMode="External"/><Relationship Id="rId289" Type="http://schemas.openxmlformats.org/officeDocument/2006/relationships/hyperlink" Target="http://yeungjin.dge.hs.kr/" TargetMode="External"/><Relationship Id="rId290" Type="http://schemas.openxmlformats.org/officeDocument/2006/relationships/hyperlink" Target="http://chilseong.dge.hs.kr/" TargetMode="External"/><Relationship Id="rId291" Type="http://schemas.openxmlformats.org/officeDocument/2006/relationships/hyperlink" Target="http://haknam.dge.hs.kr/" TargetMode="External"/><Relationship Id="rId292" Type="http://schemas.openxmlformats.org/officeDocument/2006/relationships/hyperlink" Target="http://www.hamji.dge.hs.kr/" TargetMode="External"/><Relationship Id="rId293" Type="http://schemas.openxmlformats.org/officeDocument/2006/relationships/hyperlink" Target="http://dgjeil.dge.hs.kr/" TargetMode="External"/><Relationship Id="rId294" Type="http://schemas.openxmlformats.org/officeDocument/2006/relationships/hyperlink" Target="http://gyeongsin.dge.hs.kr/" TargetMode="External"/><Relationship Id="rId295" Type="http://schemas.openxmlformats.org/officeDocument/2006/relationships/hyperlink" Target="http://neungin.dge.hs.kr/" TargetMode="External"/><Relationship Id="rId296" Type="http://schemas.openxmlformats.org/officeDocument/2006/relationships/hyperlink" Target="http://daeryun.dge.hs.kr/" TargetMode="External"/><Relationship Id="rId297" Type="http://schemas.openxmlformats.org/officeDocument/2006/relationships/hyperlink" Target="http://ynth.dge.hs.kr/" TargetMode="External"/><Relationship Id="rId298" Type="http://schemas.openxmlformats.org/officeDocument/2006/relationships/hyperlink" Target="http://osung.dge.hs.kr/" TargetMode="External"/><Relationship Id="rId299" Type="http://schemas.openxmlformats.org/officeDocument/2006/relationships/hyperlink" Target="http://www.junghwa.dge.hs.kr/" TargetMode="External"/><Relationship Id="rId300" Type="http://schemas.openxmlformats.org/officeDocument/2006/relationships/hyperlink" Target="http://sm.dge.hs.kr/" TargetMode="External"/><Relationship Id="rId301" Type="http://schemas.openxmlformats.org/officeDocument/2006/relationships/hyperlink" Target="http://gunwi.dge.es.kr/" TargetMode="External"/><Relationship Id="rId302" Type="http://schemas.openxmlformats.org/officeDocument/2006/relationships/hyperlink" Target="http://www.ndg.dge.es.kr/" TargetMode="External"/><Relationship Id="rId303" Type="http://schemas.openxmlformats.org/officeDocument/2006/relationships/hyperlink" Target="http://youngsun.dge.es.kr/" TargetMode="External"/><Relationship Id="rId304" Type="http://schemas.openxmlformats.org/officeDocument/2006/relationships/hyperlink" Target="http://gi.dge.ms.kr/" TargetMode="External"/><Relationship Id="rId305" Type="http://schemas.openxmlformats.org/officeDocument/2006/relationships/hyperlink" Target="http://daenam.dge.es.kr/" TargetMode="External"/><Relationship Id="rId306" Type="http://schemas.openxmlformats.org/officeDocument/2006/relationships/hyperlink" Target="http://seongdang.dge.es.kr/" TargetMode="External"/><Relationship Id="rId307" Type="http://schemas.openxmlformats.org/officeDocument/2006/relationships/hyperlink" Target="http://sungsan.dge.es.kr/" TargetMode="External"/><Relationship Id="rId308" Type="http://schemas.openxmlformats.org/officeDocument/2006/relationships/hyperlink" Target="http://shinseo.dge.es.kr/" TargetMode="External"/><Relationship Id="rId309" Type="http://schemas.openxmlformats.org/officeDocument/2006/relationships/hyperlink" Target="http://sinwol.dge.es.kr/" TargetMode="External"/><Relationship Id="rId310" Type="http://schemas.openxmlformats.org/officeDocument/2006/relationships/hyperlink" Target="http://wolbae.dge.es.kr/" TargetMode="External"/><Relationship Id="rId311" Type="http://schemas.openxmlformats.org/officeDocument/2006/relationships/hyperlink" Target="http://yucheon.dge.es.kr/" TargetMode="External"/><Relationship Id="rId312" Type="http://schemas.openxmlformats.org/officeDocument/2006/relationships/hyperlink" Target="http://jinwol.dge.es.kr/" TargetMode="External"/><Relationship Id="rId313" Type="http://schemas.openxmlformats.org/officeDocument/2006/relationships/hyperlink" Target="http://hansil.dge.es.kr/" TargetMode="External"/><Relationship Id="rId314" Type="http://schemas.openxmlformats.org/officeDocument/2006/relationships/hyperlink" Target="http://hosan.dge.es.kr/" TargetMode="External"/><Relationship Id="rId315" Type="http://schemas.openxmlformats.org/officeDocument/2006/relationships/hyperlink" Target="http://hyoseong.dge.es.kr/" TargetMode="External"/><Relationship Id="rId316" Type="http://schemas.openxmlformats.org/officeDocument/2006/relationships/hyperlink" Target="http://ka.dge.ms.kr/" TargetMode="External"/><Relationship Id="rId317" Type="http://schemas.openxmlformats.org/officeDocument/2006/relationships/hyperlink" Target="http://dowon.dge.ms.kr/" TargetMode="External"/><Relationship Id="rId318" Type="http://schemas.openxmlformats.org/officeDocument/2006/relationships/hyperlink" Target="http://sangsuh.dge.ms.kr/" TargetMode="External"/><Relationship Id="rId319" Type="http://schemas.openxmlformats.org/officeDocument/2006/relationships/hyperlink" Target="http://songhyun.dge.ms.kr/" TargetMode="External"/><Relationship Id="rId320" Type="http://schemas.openxmlformats.org/officeDocument/2006/relationships/hyperlink" Target="http://yn.dge.ms.kr/" TargetMode="External"/><Relationship Id="rId321" Type="http://schemas.openxmlformats.org/officeDocument/2006/relationships/hyperlink" Target="http://wonhwa.dge.ms.kr/" TargetMode="External"/><Relationship Id="rId322" Type="http://schemas.openxmlformats.org/officeDocument/2006/relationships/hyperlink" Target="http://hyosung.dge.ms.kr/" TargetMode="External"/><Relationship Id="rId323" Type="http://schemas.openxmlformats.org/officeDocument/2006/relationships/hyperlink" Target="http://guji.dge.es.kr/" TargetMode="External"/><Relationship Id="rId324" Type="http://schemas.openxmlformats.org/officeDocument/2006/relationships/hyperlink" Target="http://kumpo.dge.es.kr/" TargetMode="External"/><Relationship Id="rId325" Type="http://schemas.openxmlformats.org/officeDocument/2006/relationships/hyperlink" Target="http://namdong.dge.es.kr/" TargetMode="External"/><Relationship Id="rId326" Type="http://schemas.openxmlformats.org/officeDocument/2006/relationships/hyperlink" Target="http://www.daesil.dge.es.kr/" TargetMode="External"/><Relationship Id="rId327" Type="http://schemas.openxmlformats.org/officeDocument/2006/relationships/hyperlink" Target="http://dorim.dge.es.kr/" TargetMode="External"/><Relationship Id="rId328" Type="http://schemas.openxmlformats.org/officeDocument/2006/relationships/hyperlink" Target="http://donggok.dge.es.kr/" TargetMode="External"/><Relationship Id="rId329" Type="http://schemas.openxmlformats.org/officeDocument/2006/relationships/hyperlink" Target="http://maegok.dge.es.kr/" TargetMode="External"/><Relationship Id="rId330" Type="http://schemas.openxmlformats.org/officeDocument/2006/relationships/hyperlink" Target="http://bansong.dge.es.kr/" TargetMode="External"/><Relationship Id="rId331" Type="http://schemas.openxmlformats.org/officeDocument/2006/relationships/hyperlink" Target="http://biseul.dge.es.kr/" TargetMode="External"/><Relationship Id="rId332" Type="http://schemas.openxmlformats.org/officeDocument/2006/relationships/hyperlink" Target="http://seodong.dge.es.kr/" TargetMode="External"/><Relationship Id="rId333" Type="http://schemas.openxmlformats.org/officeDocument/2006/relationships/hyperlink" Target="http://secheon.dge.es.kr/" TargetMode="External"/><Relationship Id="rId334" Type="http://schemas.openxmlformats.org/officeDocument/2006/relationships/hyperlink" Target="http://okpo.dge.es.kr/" TargetMode="External"/><Relationship Id="rId335" Type="http://schemas.openxmlformats.org/officeDocument/2006/relationships/hyperlink" Target="http://wangseon.dge.es.kr/" TargetMode="External"/><Relationship Id="rId336" Type="http://schemas.openxmlformats.org/officeDocument/2006/relationships/hyperlink" Target="http://yonggye.dge.es.kr/" TargetMode="External"/><Relationship Id="rId337" Type="http://schemas.openxmlformats.org/officeDocument/2006/relationships/hyperlink" Target="http://techno.dge.es.kr/" TargetMode="External"/><Relationship Id="rId338" Type="http://schemas.openxmlformats.org/officeDocument/2006/relationships/hyperlink" Target="http://gachang.dge.ms.kr/" TargetMode="External"/><Relationship Id="rId339" Type="http://schemas.openxmlformats.org/officeDocument/2006/relationships/hyperlink" Target="http://guji.dge.ms.kr/" TargetMode="External"/><Relationship Id="rId340" Type="http://schemas.openxmlformats.org/officeDocument/2006/relationships/hyperlink" Target="http://dalseo.dge.ms.kr/" TargetMode="External"/><Relationship Id="rId341" Type="http://schemas.openxmlformats.org/officeDocument/2006/relationships/hyperlink" Target="http://seodong.dge.ms.kr/" TargetMode="External"/><Relationship Id="rId342" Type="http://schemas.openxmlformats.org/officeDocument/2006/relationships/hyperlink" Target="http://simin.dge.ms.kr/" TargetMode="External"/><Relationship Id="rId343" Type="http://schemas.openxmlformats.org/officeDocument/2006/relationships/hyperlink" Target="http://dongshin.dge.es.kr/" TargetMode="External"/><Relationship Id="rId344" Type="http://schemas.openxmlformats.org/officeDocument/2006/relationships/hyperlink" Target="http://songjung.dge.es.kr/" TargetMode="External"/><Relationship Id="rId345" Type="http://schemas.openxmlformats.org/officeDocument/2006/relationships/hyperlink" Target="http://sukcheon.dge.es.kr/" TargetMode="External"/><Relationship Id="rId346" Type="http://schemas.openxmlformats.org/officeDocument/2006/relationships/hyperlink" Target="http://tg-yongho.dge.es.kr/" TargetMode="External"/><Relationship Id="rId347" Type="http://schemas.openxmlformats.org/officeDocument/2006/relationships/hyperlink" Target="http://www.palgong.es.kr/" TargetMode="External"/><Relationship Id="rId348" Type="http://schemas.openxmlformats.org/officeDocument/2006/relationships/hyperlink" Target="http://hyomok.dge.es.kr/" TargetMode="External"/><Relationship Id="rId349" Type="http://schemas.openxmlformats.org/officeDocument/2006/relationships/hyperlink" Target="http://youngshin.dge.es.kr/" TargetMode="External"/><Relationship Id="rId350" Type="http://schemas.openxmlformats.org/officeDocument/2006/relationships/hyperlink" Target="http://saeron.dge.ms.kr/" TargetMode="External"/><Relationship Id="rId351" Type="http://schemas.openxmlformats.org/officeDocument/2006/relationships/hyperlink" Target="http://gyeongdong.dge.es.kr/" TargetMode="External"/><Relationship Id="rId352" Type="http://schemas.openxmlformats.org/officeDocument/2006/relationships/hyperlink" Target="http://gsn.dge.es.kr/" TargetMode="External"/><Relationship Id="rId353" Type="http://schemas.openxmlformats.org/officeDocument/2006/relationships/hyperlink" Target="http://dongdo.dge.es.kr/" TargetMode="External"/><Relationship Id="rId354" Type="http://schemas.openxmlformats.org/officeDocument/2006/relationships/hyperlink" Target="http://www.dongsan.dge.es.kr/" TargetMode="External"/><Relationship Id="rId355" Type="http://schemas.openxmlformats.org/officeDocument/2006/relationships/hyperlink" Target="http://dongwon.dge.es.kr/" TargetMode="External"/><Relationship Id="rId356" Type="http://schemas.openxmlformats.org/officeDocument/2006/relationships/hyperlink" Target="http://mcn.dge.es.kr/" TargetMode="External"/><Relationship Id="rId357" Type="http://schemas.openxmlformats.org/officeDocument/2006/relationships/hyperlink" Target="http://maedong.dge.es.kr/" TargetMode="External"/><Relationship Id="rId358" Type="http://schemas.openxmlformats.org/officeDocument/2006/relationships/hyperlink" Target="http://ugsu.dge.es.kr/" TargetMode="External"/><Relationship Id="rId359" Type="http://schemas.openxmlformats.org/officeDocument/2006/relationships/hyperlink" Target="http://hwanggum.dge.es.kr/" TargetMode="External"/><Relationship Id="rId360" Type="http://schemas.openxmlformats.org/officeDocument/2006/relationships/hyperlink" Target="http://www.neungin.dge.ms.kr/" TargetMode="External"/><Relationship Id="rId361" Type="http://schemas.openxmlformats.org/officeDocument/2006/relationships/hyperlink" Target="http://www.daeryun.dge.ms.kr/" TargetMode="External"/><Relationship Id="rId362" Type="http://schemas.openxmlformats.org/officeDocument/2006/relationships/hyperlink" Target="http://dukwon.dge.ms.kr/" TargetMode="External"/><Relationship Id="rId363" Type="http://schemas.openxmlformats.org/officeDocument/2006/relationships/hyperlink" Target="http://dukhwa.dge.ms.kr/" TargetMode="External"/><Relationship Id="rId364" Type="http://schemas.openxmlformats.org/officeDocument/2006/relationships/hyperlink" Target="http://soseon.dge.ms.kr/" TargetMode="External"/><Relationship Id="rId365" Type="http://schemas.openxmlformats.org/officeDocument/2006/relationships/hyperlink" Target="http://suseong.dge.ms.kr/" TargetMode="External"/><Relationship Id="rId366" Type="http://schemas.openxmlformats.org/officeDocument/2006/relationships/hyperlink" Target="http://osung.dge.ms.kr/" TargetMode="External"/><Relationship Id="rId367" Type="http://schemas.openxmlformats.org/officeDocument/2006/relationships/hyperlink" Target="http://jeonghwa.dge.ms.kr/" TargetMode="External"/><Relationship Id="rId368" Type="http://schemas.openxmlformats.org/officeDocument/2006/relationships/hyperlink" Target="http://keisung.dge.es.kr/" TargetMode="External"/><Relationship Id="rId369" Type="http://schemas.openxmlformats.org/officeDocument/2006/relationships/hyperlink" Target="http://dongduk.dge.es.kr/" TargetMode="External"/><Relationship Id="rId370" Type="http://schemas.openxmlformats.org/officeDocument/2006/relationships/hyperlink" Target="http://samdeok.dge.es.kr/" TargetMode="External"/><Relationship Id="rId371" Type="http://schemas.openxmlformats.org/officeDocument/2006/relationships/hyperlink" Target="http://suchang.dge.es.kr/" TargetMode="External"/><Relationship Id="rId372" Type="http://schemas.openxmlformats.org/officeDocument/2006/relationships/hyperlink" Target="http://dongbyun.dge.es.kr/" TargetMode="External"/><Relationship Id="rId373" Type="http://schemas.openxmlformats.org/officeDocument/2006/relationships/hyperlink" Target="http://dongpyung.dge.es.kr/" TargetMode="External"/><Relationship Id="rId374" Type="http://schemas.openxmlformats.org/officeDocument/2006/relationships/hyperlink" Target="http://munsung.dge.es.kr/" TargetMode="External"/><Relationship Id="rId375" Type="http://schemas.openxmlformats.org/officeDocument/2006/relationships/hyperlink" Target="http://samyoung.dge.es.kr/" TargetMode="External"/><Relationship Id="rId376" Type="http://schemas.openxmlformats.org/officeDocument/2006/relationships/hyperlink" Target="http://seobyun.dge.es.kr/" TargetMode="External"/><Relationship Id="rId377" Type="http://schemas.openxmlformats.org/officeDocument/2006/relationships/hyperlink" Target="http://chimsan.dge.es.kr/" TargetMode="External"/><Relationship Id="rId378" Type="http://schemas.openxmlformats.org/officeDocument/2006/relationships/hyperlink" Target="http://www.hagnam.dge.es.kr/" TargetMode="External"/><Relationship Id="rId379" Type="http://schemas.openxmlformats.org/officeDocument/2006/relationships/hyperlink" Target="http://gangbuk.dge.ms.kr/" TargetMode="External"/><Relationship Id="rId380" Type="http://schemas.openxmlformats.org/officeDocument/2006/relationships/hyperlink" Target="http://www.tgil.ms.kr/" TargetMode="External"/><Relationship Id="rId381" Type="http://schemas.openxmlformats.org/officeDocument/2006/relationships/hyperlink" Target="http://www.sasu.dge.ms.kr/" TargetMode="External"/><Relationship Id="rId382" Type="http://schemas.openxmlformats.org/officeDocument/2006/relationships/hyperlink" Target="http://seonggwang.dge.ms.kr/" TargetMode="External"/><Relationship Id="rId383" Type="http://schemas.openxmlformats.org/officeDocument/2006/relationships/hyperlink" Target="http://sunghwa.dge.ms.kr/" TargetMode="External"/><Relationship Id="rId384" Type="http://schemas.openxmlformats.org/officeDocument/2006/relationships/hyperlink" Target="http://woonam.dge.ms.kr/" TargetMode="External"/><Relationship Id="rId385" Type="http://schemas.openxmlformats.org/officeDocument/2006/relationships/hyperlink" Target="http://paldal.dge.ms.kr/" TargetMode="External"/><Relationship Id="rId386" Type="http://schemas.openxmlformats.org/officeDocument/2006/relationships/hyperlink" Target="http://naeseo.dge.es.kr/" TargetMode="External"/><Relationship Id="rId387" Type="http://schemas.openxmlformats.org/officeDocument/2006/relationships/hyperlink" Target="http://dalseong.dge.es.kr/" TargetMode="External"/><Relationship Id="rId388" Type="http://schemas.openxmlformats.org/officeDocument/2006/relationships/hyperlink" Target="http://www.e-kyungil.dge.ms.kr/" TargetMode="External"/><Relationship Id="rId389" Type="http://schemas.openxmlformats.org/officeDocument/2006/relationships/hyperlink" Target="http://cn.dge.ms.kr/" TargetMode="External"/><Relationship Id="rId390" Type="http://schemas.openxmlformats.org/officeDocument/2006/relationships/hyperlink" Target="http://seodaegu.dge.ms.kr/" TargetMode="External"/><Relationship Id="rId391" Type="http://schemas.openxmlformats.org/officeDocument/2006/relationships/hyperlink" Target="http://pyeongri.dge.ms.kr/" TargetMode="External"/><Relationship Id="rId392" Type="http://schemas.openxmlformats.org/officeDocument/2006/relationships/hyperlink" Target="http://ghg.icems.kr/" TargetMode="External"/><Relationship Id="rId393" Type="http://schemas.openxmlformats.org/officeDocument/2006/relationships/hyperlink" Target="http://i-baekseok.icehs.kr/" TargetMode="External"/><Relationship Id="rId394" Type="http://schemas.openxmlformats.org/officeDocument/2006/relationships/hyperlink" Target="http://ara.icehs.kr/" TargetMode="External"/><Relationship Id="rId395" Type="http://schemas.openxmlformats.org/officeDocument/2006/relationships/hyperlink" Target="http://seowoon.icehs.kr/" TargetMode="External"/><Relationship Id="rId396" Type="http://schemas.openxmlformats.org/officeDocument/2006/relationships/hyperlink" Target="http://inje.icehs.kr/" TargetMode="External"/><Relationship Id="rId397" Type="http://schemas.openxmlformats.org/officeDocument/2006/relationships/hyperlink" Target="http://nh.icehs.kr/" TargetMode="External"/><Relationship Id="rId398" Type="http://schemas.openxmlformats.org/officeDocument/2006/relationships/hyperlink" Target="http://ics.icesc.kr/" TargetMode="External"/><Relationship Id="rId399" Type="http://schemas.openxmlformats.org/officeDocument/2006/relationships/hyperlink" Target="http://ibg.icehs.kr/" TargetMode="External"/><Relationship Id="rId400" Type="http://schemas.openxmlformats.org/officeDocument/2006/relationships/hyperlink" Target="http://inha.icehs.kr/" TargetMode="External"/><Relationship Id="rId401" Type="http://schemas.openxmlformats.org/officeDocument/2006/relationships/hyperlink" Target="http://inhwa.icehs.kr/" TargetMode="External"/><Relationship Id="rId402" Type="http://schemas.openxmlformats.org/officeDocument/2006/relationships/hyperlink" Target="http://bg.icehs.kr/" TargetMode="External"/><Relationship Id="rId403" Type="http://schemas.openxmlformats.org/officeDocument/2006/relationships/hyperlink" Target="http://incheonsangjeong.icehs.kr/" TargetMode="External"/><Relationship Id="rId404" Type="http://schemas.openxmlformats.org/officeDocument/2006/relationships/hyperlink" Target="http://daein.icehs.kr/" TargetMode="External"/><Relationship Id="rId405" Type="http://schemas.openxmlformats.org/officeDocument/2006/relationships/hyperlink" Target="http://indigo.icehs.kr/" TargetMode="External"/><Relationship Id="rId406" Type="http://schemas.openxmlformats.org/officeDocument/2006/relationships/hyperlink" Target="http://shinsong-h.icehs.kr/" TargetMode="External"/><Relationship Id="rId407" Type="http://schemas.openxmlformats.org/officeDocument/2006/relationships/hyperlink" Target="http://yeonsug.icehs.kr/" TargetMode="External"/><Relationship Id="rId408" Type="http://schemas.openxmlformats.org/officeDocument/2006/relationships/hyperlink" Target="http://ongnyeon-gh.icehs.kr/" TargetMode="External"/><Relationship Id="rId409" Type="http://schemas.openxmlformats.org/officeDocument/2006/relationships/hyperlink" Target="http://idg.icehs.kr/" TargetMode="External"/><Relationship Id="rId410" Type="http://schemas.openxmlformats.org/officeDocument/2006/relationships/hyperlink" Target="http://bio.icehs.kr/" TargetMode="External"/><Relationship Id="rId411" Type="http://schemas.openxmlformats.org/officeDocument/2006/relationships/hyperlink" Target="http://ibas.icehs.kr/" TargetMode="External"/><Relationship Id="rId412" Type="http://schemas.openxmlformats.org/officeDocument/2006/relationships/hyperlink" Target="http://ihs.icehs.kr/" TargetMode="External"/><Relationship Id="rId413" Type="http://schemas.openxmlformats.org/officeDocument/2006/relationships/hyperlink" Target="http://yonil.icesc.kr/" TargetMode="External"/><Relationship Id="rId414" Type="http://schemas.openxmlformats.org/officeDocument/2006/relationships/hyperlink" Target="http://ks.icehs.kr/" TargetMode="External"/><Relationship Id="rId415" Type="http://schemas.openxmlformats.org/officeDocument/2006/relationships/hyperlink" Target="http://dongsan.icehs.kr/" TargetMode="External"/><Relationship Id="rId416" Type="http://schemas.openxmlformats.org/officeDocument/2006/relationships/hyperlink" Target="http://insunghs.icehs.kr/" TargetMode="External"/><Relationship Id="rId417" Type="http://schemas.openxmlformats.org/officeDocument/2006/relationships/hyperlink" Target="http://jn.icehs.kr/" TargetMode="External"/><Relationship Id="rId418" Type="http://schemas.openxmlformats.org/officeDocument/2006/relationships/hyperlink" Target="http://juannam.icees.kr/" TargetMode="External"/><Relationship Id="rId419" Type="http://schemas.openxmlformats.org/officeDocument/2006/relationships/hyperlink" Target="http://hagik.icees.kr/" TargetMode="External"/><Relationship Id="rId420" Type="http://schemas.openxmlformats.org/officeDocument/2006/relationships/hyperlink" Target="http://namincheon.icems.kr/" TargetMode="External"/><Relationship Id="rId421" Type="http://schemas.openxmlformats.org/officeDocument/2006/relationships/hyperlink" Target="http://sunhwa.icems.kr/" TargetMode="External"/><Relationship Id="rId422" Type="http://schemas.openxmlformats.org/officeDocument/2006/relationships/hyperlink" Target="http://yhg.icems.kr/" TargetMode="External"/><Relationship Id="rId423" Type="http://schemas.openxmlformats.org/officeDocument/2006/relationships/hyperlink" Target="http://icnamjung.icems.kr/" TargetMode="External"/><Relationship Id="rId424" Type="http://schemas.openxmlformats.org/officeDocument/2006/relationships/hyperlink" Target="http://unseo.icems.kr/" TargetMode="External"/><Relationship Id="rId425" Type="http://schemas.openxmlformats.org/officeDocument/2006/relationships/hyperlink" Target="http://haneul.icems.kr/" TargetMode="External"/><Relationship Id="rId426" Type="http://schemas.openxmlformats.org/officeDocument/2006/relationships/hyperlink" Target="http://deokjeok.icehs.kr/" TargetMode="External"/><Relationship Id="rId427" Type="http://schemas.openxmlformats.org/officeDocument/2006/relationships/hyperlink" Target="http://yonan.icees.kr/main.do" TargetMode="External"/><Relationship Id="rId428" Type="http://schemas.openxmlformats.org/officeDocument/2006/relationships/hyperlink" Target="http://jei.icems.kr/" TargetMode="External"/><Relationship Id="rId429" Type="http://schemas.openxmlformats.org/officeDocument/2006/relationships/hyperlink" Target="http://dambang.icees.kr/" TargetMode="External"/><Relationship Id="rId430" Type="http://schemas.openxmlformats.org/officeDocument/2006/relationships/hyperlink" Target="http://sang-a.icees.kr/" TargetMode="External"/><Relationship Id="rId431" Type="http://schemas.openxmlformats.org/officeDocument/2006/relationships/hyperlink" Target="http://saemal.icees.kr/" TargetMode="External"/><Relationship Id="rId432" Type="http://schemas.openxmlformats.org/officeDocument/2006/relationships/hyperlink" Target="http://icsj.icees.kr/" TargetMode="External"/><Relationship Id="rId433" Type="http://schemas.openxmlformats.org/officeDocument/2006/relationships/hyperlink" Target="http://yaksan.icees.kr/" TargetMode="External"/><Relationship Id="rId434" Type="http://schemas.openxmlformats.org/officeDocument/2006/relationships/hyperlink" Target="http://soongduk.icems.kr/" TargetMode="External"/><Relationship Id="rId435" Type="http://schemas.openxmlformats.org/officeDocument/2006/relationships/hyperlink" Target="http://munnam.icees.kr/" TargetMode="External"/><Relationship Id="rId436" Type="http://schemas.openxmlformats.org/officeDocument/2006/relationships/hyperlink" Target="http://seonhak.icees.kr/" TargetMode="External"/><Relationship Id="rId437" Type="http://schemas.openxmlformats.org/officeDocument/2006/relationships/hyperlink" Target="http://songwon.icees.kr/" TargetMode="External"/><Relationship Id="rId438" Type="http://schemas.openxmlformats.org/officeDocument/2006/relationships/hyperlink" Target="http://yesong.icems.kr/" TargetMode="External"/><Relationship Id="rId439" Type="http://schemas.openxmlformats.org/officeDocument/2006/relationships/hyperlink" Target="http://dangsan.icees.kr/" TargetMode="External"/><Relationship Id="rId440" Type="http://schemas.openxmlformats.org/officeDocument/2006/relationships/hyperlink" Target="http://i-mh.icees.kr/" TargetMode="External"/><Relationship Id="rId441" Type="http://schemas.openxmlformats.org/officeDocument/2006/relationships/hyperlink" Target="http://seowoon.icees.kr/" TargetMode="External"/><Relationship Id="rId442" Type="http://schemas.openxmlformats.org/officeDocument/2006/relationships/hyperlink" Target="http://gulpo.icees.kr/" TargetMode="External"/><Relationship Id="rId443" Type="http://schemas.openxmlformats.org/officeDocument/2006/relationships/hyperlink" Target="http://dongam.icees.kr/main.do" TargetMode="External"/><Relationship Id="rId444" Type="http://schemas.openxmlformats.org/officeDocument/2006/relationships/hyperlink" Target="http://bugaeseo.icees.kr/" TargetMode="External"/><Relationship Id="rId445" Type="http://schemas.openxmlformats.org/officeDocument/2006/relationships/hyperlink" Target="http://bunae.icees.kr/main.do" TargetMode="External"/><Relationship Id="rId446" Type="http://schemas.openxmlformats.org/officeDocument/2006/relationships/hyperlink" Target="http://bh.icees.kr/" TargetMode="External"/><Relationship Id="rId447" Type="http://schemas.openxmlformats.org/officeDocument/2006/relationships/hyperlink" Target="http://isamsan.icees.kr/" TargetMode="External"/><Relationship Id="rId448" Type="http://schemas.openxmlformats.org/officeDocument/2006/relationships/hyperlink" Target="http://hj.icees.kr/" TargetMode="External"/><Relationship Id="rId449" Type="http://schemas.openxmlformats.org/officeDocument/2006/relationships/hyperlink" Target="http://hujeong.icees.kr/" TargetMode="External"/><Relationship Id="rId450" Type="http://schemas.openxmlformats.org/officeDocument/2006/relationships/hyperlink" Target="http://buwon.icems.kr/" TargetMode="External"/><Relationship Id="rId451" Type="http://schemas.openxmlformats.org/officeDocument/2006/relationships/hyperlink" Target="http://gumdan.icees.kr/" TargetMode="External"/><Relationship Id="rId452" Type="http://schemas.openxmlformats.org/officeDocument/2006/relationships/hyperlink" Target="http://shin.icees.kr/" TargetMode="External"/><Relationship Id="rId453" Type="http://schemas.openxmlformats.org/officeDocument/2006/relationships/hyperlink" Target="http://hanbyeol.icees.kr/" TargetMode="External"/><Relationship Id="rId454" Type="http://schemas.openxmlformats.org/officeDocument/2006/relationships/hyperlink" Target="http://igarim.icees.kr/" TargetMode="External"/><Relationship Id="rId455" Type="http://schemas.openxmlformats.org/officeDocument/2006/relationships/hyperlink" Target="http://gjw.icees.kr/" TargetMode="External"/><Relationship Id="rId456" Type="http://schemas.openxmlformats.org/officeDocument/2006/relationships/hyperlink" Target="http://igy.icees.kr/" TargetMode="External"/><Relationship Id="rId457" Type="http://schemas.openxmlformats.org/officeDocument/2006/relationships/hyperlink" Target="http://sinseok.icees.kr/" TargetMode="External"/><Relationship Id="rId458" Type="http://schemas.openxmlformats.org/officeDocument/2006/relationships/hyperlink" Target="http://simgok.icees.kr/" TargetMode="External"/><Relationship Id="rId459" Type="http://schemas.openxmlformats.org/officeDocument/2006/relationships/hyperlink" Target="http://choeun.icees.kr/" TargetMode="External"/><Relationship Id="rId460" Type="http://schemas.openxmlformats.org/officeDocument/2006/relationships/hyperlink" Target="http://haewon.icees.kr/" TargetMode="External"/><Relationship Id="rId461" Type="http://schemas.openxmlformats.org/officeDocument/2006/relationships/hyperlink" Target="http://ganjaeul.icems.kr/main.do" TargetMode="External"/><Relationship Id="rId462" Type="http://schemas.openxmlformats.org/officeDocument/2006/relationships/hyperlink" Target="http://icr.icems.kr/" TargetMode="External"/><Relationship Id="rId463" Type="http://schemas.openxmlformats.org/officeDocument/2006/relationships/hyperlink" Target="http://choeun.icems.kr/" TargetMode="External"/><Relationship Id="rId464" Type="http://schemas.openxmlformats.org/officeDocument/2006/relationships/hyperlink" Target="http://jemulpo.icems.kr/" TargetMode="External"/><Relationship Id="rId465" Type="http://schemas.openxmlformats.org/officeDocument/2006/relationships/hyperlink" Target="http://chosun-g.gen.ms.kr/" TargetMode="External"/><Relationship Id="rId466" Type="http://schemas.openxmlformats.org/officeDocument/2006/relationships/hyperlink" Target="http://kseosan.gen.es.kr/" TargetMode="External"/><Relationship Id="rId467" Type="http://schemas.openxmlformats.org/officeDocument/2006/relationships/hyperlink" Target="http://woosan.gen.es.kr/" TargetMode="External"/><Relationship Id="rId468" Type="http://schemas.openxmlformats.org/officeDocument/2006/relationships/hyperlink" Target="http://punghyang.gen.es.kr/" TargetMode="External"/><Relationship Id="rId469" Type="http://schemas.openxmlformats.org/officeDocument/2006/relationships/hyperlink" Target="http://dongrim.gen.es.kr/" TargetMode="External"/><Relationship Id="rId470" Type="http://schemas.openxmlformats.org/officeDocument/2006/relationships/hyperlink" Target="http://kdsg.gen.ms.kr/" TargetMode="External"/><Relationship Id="rId471" Type="http://schemas.openxmlformats.org/officeDocument/2006/relationships/hyperlink" Target="http://soongil.gen.ms.kr/" TargetMode="External"/><Relationship Id="rId472" Type="http://schemas.openxmlformats.org/officeDocument/2006/relationships/hyperlink" Target="http://kumho-jungang.gen.ms.kr/" TargetMode="External"/><Relationship Id="rId473" Type="http://schemas.openxmlformats.org/officeDocument/2006/relationships/hyperlink" Target="http://kms.gen.ms.kr/" TargetMode="External"/><Relationship Id="rId474" Type="http://schemas.openxmlformats.org/officeDocument/2006/relationships/hyperlink" Target="http://sanwol.gen.es.kr/" TargetMode="External"/><Relationship Id="rId475" Type="http://schemas.openxmlformats.org/officeDocument/2006/relationships/hyperlink" Target="http://sanjeong.jge.es.kr/" TargetMode="External"/><Relationship Id="rId476" Type="http://schemas.openxmlformats.org/officeDocument/2006/relationships/hyperlink" Target="http://sjc.gen.es.kr/" TargetMode="External"/><Relationship Id="rId477" Type="http://schemas.openxmlformats.org/officeDocument/2006/relationships/hyperlink" Target="http://k-wolbong.gen.es.kr/" TargetMode="External"/><Relationship Id="rId478" Type="http://schemas.openxmlformats.org/officeDocument/2006/relationships/hyperlink" Target="http://jinman.gen.es.kr/" TargetMode="External"/><Relationship Id="rId479" Type="http://schemas.openxmlformats.org/officeDocument/2006/relationships/hyperlink" Target="http://pdong.gen.es.kr/" TargetMode="External"/><Relationship Id="rId480" Type="http://schemas.openxmlformats.org/officeDocument/2006/relationships/hyperlink" Target="http://hnja.gen.es.kr/" TargetMode="External"/><Relationship Id="rId481" Type="http://schemas.openxmlformats.org/officeDocument/2006/relationships/hyperlink" Target="http://jinheung.gen.ms.kr/" TargetMode="External"/><Relationship Id="rId482" Type="http://schemas.openxmlformats.org/officeDocument/2006/relationships/hyperlink" Target="http://suwanhana.jge.ms.kr/" TargetMode="External"/><Relationship Id="rId483" Type="http://schemas.openxmlformats.org/officeDocument/2006/relationships/hyperlink" Target="http://cheomdan.gen.ms.kr/" TargetMode="External"/><Relationship Id="rId484" Type="http://schemas.openxmlformats.org/officeDocument/2006/relationships/hyperlink" Target="http://nongsung.gen.es.kr/" TargetMode="External"/><Relationship Id="rId485" Type="http://schemas.openxmlformats.org/officeDocument/2006/relationships/hyperlink" Target="http://k-jangsan.gen.es.kr/" TargetMode="External"/><Relationship Id="rId486" Type="http://schemas.openxmlformats.org/officeDocument/2006/relationships/hyperlink" Target="http://gyesu.gen.es.kr/" TargetMode="External"/><Relationship Id="rId487" Type="http://schemas.openxmlformats.org/officeDocument/2006/relationships/hyperlink" Target="http://seo-gwang.jge.es.kr/" TargetMode="External"/><Relationship Id="rId488" Type="http://schemas.openxmlformats.org/officeDocument/2006/relationships/hyperlink" Target="http://songhak.gen.es.kr/" TargetMode="External"/><Relationship Id="rId489" Type="http://schemas.openxmlformats.org/officeDocument/2006/relationships/hyperlink" Target="http://kdm.gen.ms.kr/" TargetMode="External"/><Relationship Id="rId490" Type="http://schemas.openxmlformats.org/officeDocument/2006/relationships/hyperlink" Target="http://seoseok.gen.ms.kr/" TargetMode="External"/><Relationship Id="rId491" Type="http://schemas.openxmlformats.org/officeDocument/2006/relationships/hyperlink" Target="http://sangmu.gen.ms.kr/" TargetMode="External"/><Relationship Id="rId492" Type="http://schemas.openxmlformats.org/officeDocument/2006/relationships/hyperlink" Target="http://suwan.gen.hs.kr/" TargetMode="External"/><Relationship Id="rId493" Type="http://schemas.openxmlformats.org/officeDocument/2006/relationships/hyperlink" Target="http://sdok.gen.hs.kr/" TargetMode="External"/><Relationship Id="rId494" Type="http://schemas.openxmlformats.org/officeDocument/2006/relationships/hyperlink" Target="http://sunye.gen.sc.kr/" TargetMode="External"/><Relationship Id="rId495" Type="http://schemas.openxmlformats.org/officeDocument/2006/relationships/hyperlink" Target="http://inseong.gen.hs.kr/" TargetMode="External"/><Relationship Id="rId496" Type="http://schemas.openxmlformats.org/officeDocument/2006/relationships/hyperlink" Target="http://daesung.gen.hs.kr/" TargetMode="External"/><Relationship Id="rId497" Type="http://schemas.openxmlformats.org/officeDocument/2006/relationships/hyperlink" Target="http://k-dongil.jge.hs.kr/" TargetMode="External"/><Relationship Id="rId498" Type="http://schemas.openxmlformats.org/officeDocument/2006/relationships/hyperlink" Target="http://sunmyong.gen.sc.kr/" TargetMode="External"/><Relationship Id="rId499" Type="http://schemas.openxmlformats.org/officeDocument/2006/relationships/hyperlink" Target="http://chosun-g.gen.hs.kr/" TargetMode="External"/><Relationship Id="rId500" Type="http://schemas.openxmlformats.org/officeDocument/2006/relationships/hyperlink" Target="http://gshin.gen.hs.kr/" TargetMode="External"/><Relationship Id="rId501" Type="http://schemas.openxmlformats.org/officeDocument/2006/relationships/hyperlink" Target="http://soongil.gen.hs.kr/" TargetMode="External"/><Relationship Id="rId502" Type="http://schemas.openxmlformats.org/officeDocument/2006/relationships/hyperlink" Target="http://kumho.gen.hs.kr/" TargetMode="External"/><Relationship Id="rId503" Type="http://schemas.openxmlformats.org/officeDocument/2006/relationships/hyperlink" Target="http://kwangju-g.gen.hs.kr/" TargetMode="External"/><Relationship Id="rId504" Type="http://schemas.openxmlformats.org/officeDocument/2006/relationships/hyperlink" Target="http://pungam.gen.hs.kr/" TargetMode="External"/><Relationship Id="rId505" Type="http://schemas.openxmlformats.org/officeDocument/2006/relationships/hyperlink" Target="http://imunhs.djsch.kr/" TargetMode="External"/><Relationship Id="rId506" Type="http://schemas.openxmlformats.org/officeDocument/2006/relationships/hyperlink" Target="http://goejeonghs.djsch.kr/" TargetMode="External"/><Relationship Id="rId507" Type="http://schemas.openxmlformats.org/officeDocument/2006/relationships/hyperlink" Target="http://djdunsan-ghs.djsch.kr/" TargetMode="External"/><Relationship Id="rId508" Type="http://schemas.openxmlformats.org/officeDocument/2006/relationships/hyperlink" Target="http://mannyonhs.djsch.kr/" TargetMode="External"/><Relationship Id="rId509" Type="http://schemas.openxmlformats.org/officeDocument/2006/relationships/hyperlink" Target="http://boksuhs.djsch.kr/" TargetMode="External"/><Relationship Id="rId510" Type="http://schemas.openxmlformats.org/officeDocument/2006/relationships/hyperlink" Target="http://sdjhs.djsch.kr/" TargetMode="External"/><Relationship Id="rId511" Type="http://schemas.openxmlformats.org/officeDocument/2006/relationships/hyperlink" Target="http://seodaejeonhs.djsch.kr/" TargetMode="External"/><Relationship Id="rId512" Type="http://schemas.openxmlformats.org/officeDocument/2006/relationships/hyperlink" Target="http://seoil-ghs.djsch.kr/" TargetMode="External"/><Relationship Id="rId513" Type="http://schemas.openxmlformats.org/officeDocument/2006/relationships/hyperlink" Target="http://daedeokhs.djsch.kr/" TargetMode="External"/><Relationship Id="rId514" Type="http://schemas.openxmlformats.org/officeDocument/2006/relationships/hyperlink" Target="http://noeunhs.djsch.kr/" TargetMode="External"/><Relationship Id="rId515" Type="http://schemas.openxmlformats.org/officeDocument/2006/relationships/hyperlink" Target="http://djcheyukhs.djsch.kr/" TargetMode="External"/><Relationship Id="rId516" Type="http://schemas.openxmlformats.org/officeDocument/2006/relationships/hyperlink" Target="http://ndjhs.djsch.kr/" TargetMode="External"/><Relationship Id="rId517" Type="http://schemas.openxmlformats.org/officeDocument/2006/relationships/hyperlink" Target="http://dimhs.djsch.kr/" TargetMode="External"/><Relationship Id="rId518" Type="http://schemas.openxmlformats.org/officeDocument/2006/relationships/hyperlink" Target="http://seongmohs.djsch.kr/" TargetMode="External"/><Relationship Id="rId519" Type="http://schemas.openxmlformats.org/officeDocument/2006/relationships/hyperlink" Target="http://shinilhs.djsch.kr/" TargetMode="External"/><Relationship Id="rId520" Type="http://schemas.openxmlformats.org/officeDocument/2006/relationships/hyperlink" Target="http://chranhs.djsch.kr/" TargetMode="External"/><Relationship Id="rId521" Type="http://schemas.openxmlformats.org/officeDocument/2006/relationships/hyperlink" Target="http://beopdongms.djsch.kr/" TargetMode="External"/><Relationship Id="rId522" Type="http://schemas.openxmlformats.org/officeDocument/2006/relationships/hyperlink" Target="http://sintanjungangms.djsch.kr/" TargetMode="External"/><Relationship Id="rId523" Type="http://schemas.openxmlformats.org/officeDocument/2006/relationships/hyperlink" Target="http://stjms.djsch.kr/" TargetMode="External"/><Relationship Id="rId524" Type="http://schemas.openxmlformats.org/officeDocument/2006/relationships/hyperlink" Target="http://daeames.djsch.kr/" TargetMode="External"/><Relationship Id="rId525" Type="http://schemas.openxmlformats.org/officeDocument/2006/relationships/hyperlink" Target="http://ddjes.djsch.kr/" TargetMode="External"/><Relationship Id="rId526" Type="http://schemas.openxmlformats.org/officeDocument/2006/relationships/hyperlink" Target="http://hanbatms.djsch.kr/" TargetMode="External"/><Relationship Id="rId527" Type="http://schemas.openxmlformats.org/officeDocument/2006/relationships/hyperlink" Target="http://djdaesines.djsch.kr/" TargetMode="External"/><Relationship Id="rId528" Type="http://schemas.openxmlformats.org/officeDocument/2006/relationships/hyperlink" Target="http://boses.djsch.kr/" TargetMode="External"/><Relationship Id="rId529" Type="http://schemas.openxmlformats.org/officeDocument/2006/relationships/hyperlink" Target="http://djsanseoes.djsch.kr/" TargetMode="External"/><Relationship Id="rId530" Type="http://schemas.openxmlformats.org/officeDocument/2006/relationships/hyperlink" Target="http://shinilms.djsch.kr/" TargetMode="External"/><Relationship Id="rId531" Type="http://schemas.openxmlformats.org/officeDocument/2006/relationships/hyperlink" Target="http://tp02ms.djsch.kr/" TargetMode="External"/><Relationship Id="rId532" Type="http://schemas.openxmlformats.org/officeDocument/2006/relationships/hyperlink" Target="http://dunsanes.djsch.kr/" TargetMode="External"/><Relationship Id="rId533" Type="http://schemas.openxmlformats.org/officeDocument/2006/relationships/hyperlink" Target="http://gubongms.djsch.kr/" TargetMode="External"/><Relationship Id="rId534" Type="http://schemas.openxmlformats.org/officeDocument/2006/relationships/hyperlink" Target="http://bdnms.djsch.kr/" TargetMode="External"/><Relationship Id="rId535" Type="http://schemas.openxmlformats.org/officeDocument/2006/relationships/hyperlink" Target="http://bdms.djsch.kr/" TargetMode="External"/><Relationship Id="rId536" Type="http://schemas.openxmlformats.org/officeDocument/2006/relationships/hyperlink" Target="http://daedeokes.djsch.kr/" TargetMode="External"/><Relationship Id="rId537" Type="http://schemas.openxmlformats.org/officeDocument/2006/relationships/hyperlink" Target="http://hagies.djsch.kr/" TargetMode="External"/><Relationship Id="rId538" Type="http://schemas.openxmlformats.org/officeDocument/2006/relationships/hyperlink" Target="http://djjmms.djsch.kr/" TargetMode="External"/><Relationship Id="rId539" Type="http://schemas.openxmlformats.org/officeDocument/2006/relationships/hyperlink" Target="http://yuseongms.djsch.kr/" TargetMode="External"/><Relationship Id="rId540" Type="http://schemas.openxmlformats.org/officeDocument/2006/relationships/hyperlink" Target="http://www.dp.es.kr/" TargetMode="External"/><Relationship Id="rId541" Type="http://schemas.openxmlformats.org/officeDocument/2006/relationships/hyperlink" Target="http://www.daihyun.ms.kr/" TargetMode="External"/><Relationship Id="rId542" Type="http://schemas.openxmlformats.org/officeDocument/2006/relationships/hyperlink" Target="http://www.haksung.ms.kr/" TargetMode="External"/><Relationship Id="rId543" Type="http://schemas.openxmlformats.org/officeDocument/2006/relationships/hyperlink" Target="http://samjeong.es.kr/" TargetMode="External"/><Relationship Id="rId544" Type="http://schemas.openxmlformats.org/officeDocument/2006/relationships/hyperlink" Target="http://www.chukkwa.es.kr/" TargetMode="External"/><Relationship Id="rId545" Type="http://schemas.openxmlformats.org/officeDocument/2006/relationships/hyperlink" Target="http://school.use.go.kr/isamnam-m" TargetMode="External"/><Relationship Id="rId546" Type="http://schemas.openxmlformats.org/officeDocument/2006/relationships/hyperlink" Target="http://school.use.go.kr/noksu-e" TargetMode="External"/><Relationship Id="rId547" Type="http://schemas.openxmlformats.org/officeDocument/2006/relationships/hyperlink" Target="http://www.jujeon.es.kr/" TargetMode="External"/><Relationship Id="rId548" Type="http://schemas.openxmlformats.org/officeDocument/2006/relationships/hyperlink" Target="http://hd.ms.kr/" TargetMode="External"/><Relationship Id="rId549" Type="http://schemas.openxmlformats.org/officeDocument/2006/relationships/hyperlink" Target="http://hcu.ms.kr/" TargetMode="External"/><Relationship Id="rId550" Type="http://schemas.openxmlformats.org/officeDocument/2006/relationships/hyperlink" Target="http://www.nongseo.es.kr/" TargetMode="External"/><Relationship Id="rId551" Type="http://schemas.openxmlformats.org/officeDocument/2006/relationships/hyperlink" Target="http://school.use.go.kr/nongso-e" TargetMode="External"/><Relationship Id="rId552" Type="http://schemas.openxmlformats.org/officeDocument/2006/relationships/hyperlink" Target="http://www.ihwa.ms.kr/" TargetMode="External"/><Relationship Id="rId553" Type="http://schemas.openxmlformats.org/officeDocument/2006/relationships/hyperlink" Target="http://school.use.go.kr/jinjang-m" TargetMode="External"/><Relationship Id="rId554" Type="http://schemas.openxmlformats.org/officeDocument/2006/relationships/hyperlink" Target="http://hwabong.ms.kr/" TargetMode="External"/><Relationship Id="rId555" Type="http://schemas.openxmlformats.org/officeDocument/2006/relationships/hyperlink" Target="http://hyojung.ms.kr/" TargetMode="External"/><Relationship Id="rId556" Type="http://schemas.openxmlformats.org/officeDocument/2006/relationships/hyperlink" Target="http://naehwang.es.kr/" TargetMode="External"/><Relationship Id="rId557" Type="http://schemas.openxmlformats.org/officeDocument/2006/relationships/hyperlink" Target="http://www.oesol.es.kr/" TargetMode="External"/><Relationship Id="rId558" Type="http://schemas.openxmlformats.org/officeDocument/2006/relationships/hyperlink" Target="http://school.use.go.kr/hamwol-e" TargetMode="External"/><Relationship Id="rId559" Type="http://schemas.openxmlformats.org/officeDocument/2006/relationships/hyperlink" Target="http://school.use.go.kr/namoe-m" TargetMode="External"/><Relationship Id="rId560" Type="http://schemas.openxmlformats.org/officeDocument/2006/relationships/hyperlink" Target="http://daun.ms.kr/" TargetMode="External"/><Relationship Id="rId561" Type="http://schemas.openxmlformats.org/officeDocument/2006/relationships/hyperlink" Target="http://www.ulsanjeil.hs.kr/" TargetMode="External"/><Relationship Id="rId562" Type="http://schemas.openxmlformats.org/officeDocument/2006/relationships/hyperlink" Target="http://www.uvhe.hs.kr/" TargetMode="External"/><Relationship Id="rId563" Type="http://schemas.openxmlformats.org/officeDocument/2006/relationships/hyperlink" Target="http://www.hdhs.or.kr/" TargetMode="External"/><Relationship Id="rId564" Type="http://schemas.openxmlformats.org/officeDocument/2006/relationships/hyperlink" Target="http://dalcheon.hs.kr/" TargetMode="External"/><Relationship Id="rId565" Type="http://schemas.openxmlformats.org/officeDocument/2006/relationships/hyperlink" Target="http://www.ufl.hs.kr/" TargetMode="External"/><Relationship Id="rId566" Type="http://schemas.openxmlformats.org/officeDocument/2006/relationships/hyperlink" Target="http://school.use.go.kr/eonyang-h" TargetMode="External"/><Relationship Id="rId567" Type="http://schemas.openxmlformats.org/officeDocument/2006/relationships/hyperlink" Target="http://www.ushs.hs.kr/" TargetMode="External"/><Relationship Id="rId568" Type="http://schemas.openxmlformats.org/officeDocument/2006/relationships/hyperlink" Target="http://school.cbe.go.kr/dongin-e" TargetMode="External"/><Relationship Id="rId569" Type="http://schemas.openxmlformats.org/officeDocument/2006/relationships/hyperlink" Target="http://school.cbe.go.kr/goesan-m" TargetMode="External"/><Relationship Id="rId570" Type="http://schemas.openxmlformats.org/officeDocument/2006/relationships/hyperlink" Target="http://school.cbe.go.kr/doan-e/M01" TargetMode="External"/><Relationship Id="rId571" Type="http://schemas.openxmlformats.org/officeDocument/2006/relationships/hyperlink" Target="http://school.cbe.go.kr/sambo-e" TargetMode="External"/><Relationship Id="rId572" Type="http://schemas.openxmlformats.org/officeDocument/2006/relationships/hyperlink" Target="http://school.cbe.go.kr/jp-e" TargetMode="External"/><Relationship Id="rId573" Type="http://schemas.openxmlformats.org/officeDocument/2006/relationships/hyperlink" Target="http://school.cbe.go.kr/hsms-m" TargetMode="External"/><Relationship Id="rId574" Type="http://schemas.openxmlformats.org/officeDocument/2006/relationships/hyperlink" Target="http://school.cbe.go.kr/mokdonaru-h" TargetMode="External"/><Relationship Id="rId575" Type="http://schemas.openxmlformats.org/officeDocument/2006/relationships/hyperlink" Target="http://school.cbe.go.kr/danyang-h/M01" TargetMode="External"/><Relationship Id="rId576" Type="http://schemas.openxmlformats.org/officeDocument/2006/relationships/hyperlink" Target="http://school.cbe.go.kr/ydmirae-h/M01" TargetMode="External"/><Relationship Id="rId577" Type="http://schemas.openxmlformats.org/officeDocument/2006/relationships/hyperlink" Target="http://school.cbe.go.kr/hgn-h/M01" TargetMode="External"/><Relationship Id="rId578" Type="http://schemas.openxmlformats.org/officeDocument/2006/relationships/hyperlink" Target="http://school.cbe.go.kr/ds-h" TargetMode="External"/><Relationship Id="rId579" Type="http://schemas.openxmlformats.org/officeDocument/2006/relationships/hyperlink" Target="http://school.cbe.go.kr/eumseong-h/M01" TargetMode="External"/><Relationship Id="rId580" Type="http://schemas.openxmlformats.org/officeDocument/2006/relationships/hyperlink" Target="http://school.cbe.go.kr/cbsemi-h" TargetMode="External"/><Relationship Id="rId581" Type="http://schemas.openxmlformats.org/officeDocument/2006/relationships/hyperlink" Target="http://school.cbe.go.kr/kkot-s" TargetMode="External"/><Relationship Id="rId582" Type="http://schemas.openxmlformats.org/officeDocument/2006/relationships/hyperlink" Target="http://school.cbe.go.kr/jde-h" TargetMode="External"/><Relationship Id="rId583" Type="http://schemas.openxmlformats.org/officeDocument/2006/relationships/hyperlink" Target="http://school.cbe.go.kr/jcc-h" TargetMode="External"/><Relationship Id="rId584" Type="http://schemas.openxmlformats.org/officeDocument/2006/relationships/hyperlink" Target="http://school.cbe.go.kr/cheongam-s" TargetMode="External"/><Relationship Id="rId585" Type="http://schemas.openxmlformats.org/officeDocument/2006/relationships/hyperlink" Target="http://school.cbe.go.kr/seojeon-h" TargetMode="External"/><Relationship Id="rId586" Type="http://schemas.openxmlformats.org/officeDocument/2006/relationships/hyperlink" Target="http://school.cbe.go.kr/jcch-h" TargetMode="External"/><Relationship Id="rId587" Type="http://schemas.openxmlformats.org/officeDocument/2006/relationships/hyperlink" Target="http://school.cbe.go.kr/kch-h" TargetMode="External"/><Relationship Id="rId588" Type="http://schemas.openxmlformats.org/officeDocument/2006/relationships/hyperlink" Target="http://school.cbe.go.kr/danjae-h" TargetMode="External"/><Relationship Id="rId589" Type="http://schemas.openxmlformats.org/officeDocument/2006/relationships/hyperlink" Target="http://school.cbe.go.kr/cds-h/M01" TargetMode="External"/><Relationship Id="rId590" Type="http://schemas.openxmlformats.org/officeDocument/2006/relationships/hyperlink" Target="http://school.cbe.go.kr/cbm-h/M01" TargetMode="External"/><Relationship Id="rId591" Type="http://schemas.openxmlformats.org/officeDocument/2006/relationships/hyperlink" Target="http://school.cbe.go.kr/sannam-h" TargetMode="External"/><Relationship Id="rId592" Type="http://schemas.openxmlformats.org/officeDocument/2006/relationships/hyperlink" Target="http://school.cbe.go.kr/seowongo-h" TargetMode="External"/><Relationship Id="rId593" Type="http://schemas.openxmlformats.org/officeDocument/2006/relationships/hyperlink" Target="http://www.yangeob.hs.kr/" TargetMode="External"/><Relationship Id="rId594" Type="http://schemas.openxmlformats.org/officeDocument/2006/relationships/hyperlink" Target="http://school.cbe.go.kr/os-h" TargetMode="External"/><Relationship Id="rId595" Type="http://schemas.openxmlformats.org/officeDocument/2006/relationships/hyperlink" Target="http://school.cbe.go.kr/unho-h" TargetMode="External"/><Relationship Id="rId596" Type="http://schemas.openxmlformats.org/officeDocument/2006/relationships/hyperlink" Target="http://www.cjis.hs.kr/" TargetMode="External"/><Relationship Id="rId597" Type="http://schemas.openxmlformats.org/officeDocument/2006/relationships/hyperlink" Target="http://school.cbe.go.kr/cs-h" TargetMode="External"/><Relationship Id="rId598" Type="http://schemas.openxmlformats.org/officeDocument/2006/relationships/hyperlink" Target="http://school.cbe.go.kr/cjits-h" TargetMode="External"/><Relationship Id="rId599" Type="http://schemas.openxmlformats.org/officeDocument/2006/relationships/hyperlink" Target="http://school.cbe.go.kr/cjds-h" TargetMode="External"/><Relationship Id="rId600" Type="http://schemas.openxmlformats.org/officeDocument/2006/relationships/hyperlink" Target="http://shinheung.sc.kr/" TargetMode="External"/><Relationship Id="rId601" Type="http://schemas.openxmlformats.org/officeDocument/2006/relationships/hyperlink" Target="http://3croba.hs.kr/" TargetMode="External"/><Relationship Id="rId602" Type="http://schemas.openxmlformats.org/officeDocument/2006/relationships/hyperlink" Target="http://cjh.hs.kr/" TargetMode="External"/><Relationship Id="rId603" Type="http://schemas.openxmlformats.org/officeDocument/2006/relationships/hyperlink" Target="http://school.cbe.go.kr/chungbukgo-h" TargetMode="External"/><Relationship Id="rId604" Type="http://schemas.openxmlformats.org/officeDocument/2006/relationships/hyperlink" Target="http://school.cbe.go.kr/cbs-h/M01" TargetMode="External"/><Relationship Id="rId605" Type="http://schemas.openxmlformats.org/officeDocument/2006/relationships/hyperlink" Target="http://www.cbenergy.hs.kr/" TargetMode="External"/><Relationship Id="rId606" Type="http://schemas.openxmlformats.org/officeDocument/2006/relationships/hyperlink" Target="http://www.chungbuk-g.kr/" TargetMode="External"/><Relationship Id="rId607" Type="http://schemas.openxmlformats.org/officeDocument/2006/relationships/hyperlink" Target="http://school.cbe.go.kr/hds-h" TargetMode="External"/><Relationship Id="rId608" Type="http://schemas.openxmlformats.org/officeDocument/2006/relationships/hyperlink" Target="http://school.cbe.go.kr/eeun-s" TargetMode="External"/><Relationship Id="rId609" Type="http://schemas.openxmlformats.org/officeDocument/2006/relationships/hyperlink" Target="http://school.cbe.go.kr/cjss" TargetMode="External"/><Relationship Id="rId610" Type="http://schemas.openxmlformats.org/officeDocument/2006/relationships/hyperlink" Target="http://school.cbe.go.kr/cjhyewon-s" TargetMode="External"/><Relationship Id="rId611" Type="http://schemas.openxmlformats.org/officeDocument/2006/relationships/hyperlink" Target="http://school.cbe.go.kr/cjhyehwa-s" TargetMode="External"/><Relationship Id="rId612" Type="http://schemas.openxmlformats.org/officeDocument/2006/relationships/hyperlink" Target="http://www.gukwon.hs.kr/" TargetMode="External"/><Relationship Id="rId613" Type="http://schemas.openxmlformats.org/officeDocument/2006/relationships/hyperlink" Target="http://school.cbe.go.kr/chungju-h/M01" TargetMode="External"/><Relationship Id="rId614" Type="http://schemas.openxmlformats.org/officeDocument/2006/relationships/hyperlink" Target="http://www.cjth.hs.kr/" TargetMode="External"/><Relationship Id="rId615" Type="http://schemas.openxmlformats.org/officeDocument/2006/relationships/hyperlink" Target="http://school.cbe.go.kr/daewon-h/M01" TargetMode="External"/><Relationship Id="rId616" Type="http://schemas.openxmlformats.org/officeDocument/2006/relationships/hyperlink" Target="http://chungju-ch.hs.kr/" TargetMode="External"/><Relationship Id="rId617" Type="http://schemas.openxmlformats.org/officeDocument/2006/relationships/hyperlink" Target="http://school.cbe.go.kr/chungjugirl-h" TargetMode="External"/><Relationship Id="rId618" Type="http://schemas.openxmlformats.org/officeDocument/2006/relationships/hyperlink" Target="http://school.cbe.go.kr/yesung-h" TargetMode="External"/><Relationship Id="rId619" Type="http://schemas.openxmlformats.org/officeDocument/2006/relationships/hyperlink" Target="http://www.joongsan.hs.kr/" TargetMode="External"/><Relationship Id="rId620" Type="http://schemas.openxmlformats.org/officeDocument/2006/relationships/hyperlink" Target="http://school.cbe.go.kr/had-h" TargetMode="External"/><Relationship Id="rId621" Type="http://schemas.openxmlformats.org/officeDocument/2006/relationships/hyperlink" Target="http://school.cbe.go.kr/sungdeok-s/M01" TargetMode="External"/><Relationship Id="rId622" Type="http://schemas.openxmlformats.org/officeDocument/2006/relationships/hyperlink" Target="http://www.chungjusm.sc.kr/" TargetMode="External"/><Relationship Id="rId623" Type="http://schemas.openxmlformats.org/officeDocument/2006/relationships/hyperlink" Target="http://school.cbe.go.kr/sungsim-s" TargetMode="External"/><Relationship Id="rId624" Type="http://schemas.openxmlformats.org/officeDocument/2006/relationships/hyperlink" Target="http://school.cbe.go.kr/cjhs-s" TargetMode="External"/><Relationship Id="rId625" Type="http://schemas.openxmlformats.org/officeDocument/2006/relationships/hyperlink" Target="http://cje.es.kr/" TargetMode="External"/><Relationship Id="rId626" Type="http://schemas.openxmlformats.org/officeDocument/2006/relationships/hyperlink" Target="http://school.cbe.go.kr/wallgok-e/M01" TargetMode="External"/><Relationship Id="rId627" Type="http://schemas.openxmlformats.org/officeDocument/2006/relationships/hyperlink" Target="http://school.cbe.go.kr/cbnu-h" TargetMode="External"/><Relationship Id="rId628" Type="http://schemas.openxmlformats.org/officeDocument/2006/relationships/hyperlink" Target="http://school.cbe.go.kr/danyang-e" TargetMode="External"/><Relationship Id="rId629" Type="http://schemas.openxmlformats.org/officeDocument/2006/relationships/hyperlink" Target="http://school.cbe.go.kr/taega-e/M01" TargetMode="External"/><Relationship Id="rId630" Type="http://schemas.openxmlformats.org/officeDocument/2006/relationships/hyperlink" Target="http://school.cbe.go.kr/dansung-m/M01" TargetMode="External"/><Relationship Id="rId631" Type="http://schemas.openxmlformats.org/officeDocument/2006/relationships/hyperlink" Target="http://school.cbe.go.kr/sobaeksan-m" TargetMode="External"/><Relationship Id="rId632" Type="http://schemas.openxmlformats.org/officeDocument/2006/relationships/hyperlink" Target="http://school.cbe.go.kr/danyang-m" TargetMode="External"/><Relationship Id="rId633" Type="http://schemas.openxmlformats.org/officeDocument/2006/relationships/hyperlink" Target="http://school.cbe.go.kr/maepo-m" TargetMode="External"/><Relationship Id="rId634" Type="http://schemas.openxmlformats.org/officeDocument/2006/relationships/hyperlink" Target="http://school.cbe.go.kr/boeundonggwang-e" TargetMode="External"/><Relationship Id="rId635" Type="http://schemas.openxmlformats.org/officeDocument/2006/relationships/hyperlink" Target="http://school.cbe.go.kr/samsan-e" TargetMode="External"/><Relationship Id="rId636" Type="http://schemas.openxmlformats.org/officeDocument/2006/relationships/hyperlink" Target="http://school.cbe.go.kr/pandong-e" TargetMode="External"/><Relationship Id="rId637" Type="http://schemas.openxmlformats.org/officeDocument/2006/relationships/hyperlink" Target="http://school.cbe.go.kr/yde-e" TargetMode="External"/><Relationship Id="rId638" Type="http://schemas.openxmlformats.org/officeDocument/2006/relationships/hyperlink" Target="http://school.cbe.go.kr/isu-e" TargetMode="External"/><Relationship Id="rId639" Type="http://schemas.openxmlformats.org/officeDocument/2006/relationships/hyperlink" Target="http://school.cbe.go.kr/yeongdong-m/M01" TargetMode="External"/><Relationship Id="rId640" Type="http://schemas.openxmlformats.org/officeDocument/2006/relationships/hyperlink" Target="http://school.cbe.go.kr/yongshin-m" TargetMode="External"/><Relationship Id="rId641" Type="http://schemas.openxmlformats.org/officeDocument/2006/relationships/hyperlink" Target="http://school.cbe.go.kr/jukhyang-e" TargetMode="External"/><Relationship Id="rId642" Type="http://schemas.openxmlformats.org/officeDocument/2006/relationships/hyperlink" Target="http://school.cbe.go.kr/ocg-m" TargetMode="External"/><Relationship Id="rId643" Type="http://schemas.openxmlformats.org/officeDocument/2006/relationships/hyperlink" Target="http://school.cbe.go.kr/gamgok-e" TargetMode="External"/><Relationship Id="rId644" Type="http://schemas.openxmlformats.org/officeDocument/2006/relationships/hyperlink" Target="http://school.cbe.go.kr/hadang-e/M01" TargetMode="External"/><Relationship Id="rId645" Type="http://schemas.openxmlformats.org/officeDocument/2006/relationships/hyperlink" Target="http://school.cbe.go.kr/dongseong-m" TargetMode="External"/><Relationship Id="rId646" Type="http://schemas.openxmlformats.org/officeDocument/2006/relationships/hyperlink" Target="http://school.cbe.go.kr/mugeuk-m/M01" TargetMode="External"/><Relationship Id="rId647" Type="http://schemas.openxmlformats.org/officeDocument/2006/relationships/hyperlink" Target="http://school.cbe.go.kr/saenggeuk-m" TargetMode="External"/><Relationship Id="rId648" Type="http://schemas.openxmlformats.org/officeDocument/2006/relationships/hyperlink" Target="http://school.cbe.go.kr/eumseong-m" TargetMode="External"/><Relationship Id="rId649" Type="http://schemas.openxmlformats.org/officeDocument/2006/relationships/hyperlink" Target="http://school.cbe.go.kr/hanil-m" TargetMode="External"/><Relationship Id="rId650" Type="http://schemas.openxmlformats.org/officeDocument/2006/relationships/hyperlink" Target="http://school.cbe.go.kr/namchon-e/M01" TargetMode="External"/><Relationship Id="rId651" Type="http://schemas.openxmlformats.org/officeDocument/2006/relationships/hyperlink" Target="http://school.cbe.go.kr/yongdu-e" TargetMode="External"/><Relationship Id="rId652" Type="http://schemas.openxmlformats.org/officeDocument/2006/relationships/hyperlink" Target="http://school.cbe.go.kr/jangnak-e/M01" TargetMode="External"/><Relationship Id="rId653" Type="http://schemas.openxmlformats.org/officeDocument/2006/relationships/hyperlink" Target="http://school.cbe.go.kr/naeto-m" TargetMode="External"/><Relationship Id="rId654" Type="http://schemas.openxmlformats.org/officeDocument/2006/relationships/hyperlink" Target="http://school.cbe.go.kr/daeje-m" TargetMode="External"/><Relationship Id="rId655" Type="http://schemas.openxmlformats.org/officeDocument/2006/relationships/hyperlink" Target="http://school.cbe.go.kr/kumgu-e" TargetMode="External"/><Relationship Id="rId656" Type="http://schemas.openxmlformats.org/officeDocument/2006/relationships/hyperlink" Target="http://school.cbe.go.kr/munbaek-e" TargetMode="External"/><Relationship Id="rId657" Type="http://schemas.openxmlformats.org/officeDocument/2006/relationships/hyperlink" Target="http://www.munsang.es.kr/" TargetMode="External"/><Relationship Id="rId658" Type="http://schemas.openxmlformats.org/officeDocument/2006/relationships/hyperlink" Target="http://school.cbe.go.kr/baekgok-e" TargetMode="External"/><Relationship Id="rId659" Type="http://schemas.openxmlformats.org/officeDocument/2006/relationships/hyperlink" Target="http://school.cbe.go.kr/sungam-e" TargetMode="External"/><Relationship Id="rId660" Type="http://schemas.openxmlformats.org/officeDocument/2006/relationships/hyperlink" Target="http://school.cbe.go.kr/oktong-e" TargetMode="External"/><Relationship Id="rId661" Type="http://schemas.openxmlformats.org/officeDocument/2006/relationships/hyperlink" Target="http://school.cbe.go.kr/samsu-e" TargetMode="External"/><Relationship Id="rId662" Type="http://schemas.openxmlformats.org/officeDocument/2006/relationships/hyperlink" Target="http://school.cbe.go.kr/jcsangsan-e" TargetMode="External"/><Relationship Id="rId663" Type="http://schemas.openxmlformats.org/officeDocument/2006/relationships/hyperlink" Target="http://school.cbe.go.kr/jcsangsin-e" TargetMode="External"/><Relationship Id="rId664" Type="http://schemas.openxmlformats.org/officeDocument/2006/relationships/hyperlink" Target="http://school.cbe.go.kr/chopyong-e" TargetMode="External"/><Relationship Id="rId665" Type="http://schemas.openxmlformats.org/officeDocument/2006/relationships/hyperlink" Target="http://school.cbe.go.kr/ghw-m" TargetMode="External"/><Relationship Id="rId666" Type="http://schemas.openxmlformats.org/officeDocument/2006/relationships/hyperlink" Target="http://www.gangseo.es.kr/" TargetMode="External"/><Relationship Id="rId667" Type="http://schemas.openxmlformats.org/officeDocument/2006/relationships/hyperlink" Target="http://school.cbe.go.kr/kyongsan-e" TargetMode="External"/><Relationship Id="rId668" Type="http://schemas.openxmlformats.org/officeDocument/2006/relationships/hyperlink" Target="http://school.cbe.go.kr/gyodong-e/M01" TargetMode="External"/><Relationship Id="rId669" Type="http://schemas.openxmlformats.org/officeDocument/2006/relationships/hyperlink" Target="http://school.cbe.go.kr/namseong-e" TargetMode="External"/><Relationship Id="rId670" Type="http://schemas.openxmlformats.org/officeDocument/2006/relationships/hyperlink" Target="http://school.cbe.go.kr/nami-e" TargetMode="External"/><Relationship Id="rId671" Type="http://schemas.openxmlformats.org/officeDocument/2006/relationships/hyperlink" Target="http://school.cbe.go.kr/namil-e" TargetMode="External"/><Relationship Id="rId672" Type="http://schemas.openxmlformats.org/officeDocument/2006/relationships/hyperlink" Target="http://school.cbe.go.kr/nampyeong-e" TargetMode="External"/><Relationship Id="rId673" Type="http://schemas.openxmlformats.org/officeDocument/2006/relationships/hyperlink" Target="http://school.cbe.go.kr/danjae-e" TargetMode="External"/><Relationship Id="rId674" Type="http://schemas.openxmlformats.org/officeDocument/2006/relationships/hyperlink" Target="http://school.cbe.go.kr/deokseong-e" TargetMode="External"/><Relationship Id="rId675" Type="http://schemas.openxmlformats.org/officeDocument/2006/relationships/hyperlink" Target="http://school.cbe.go.kr/mansue-e" TargetMode="External"/><Relationship Id="rId676" Type="http://schemas.openxmlformats.org/officeDocument/2006/relationships/hyperlink" Target="http://school.cbe.go.kr/bokdae-e" TargetMode="External"/><Relationship Id="rId677" Type="http://schemas.openxmlformats.org/officeDocument/2006/relationships/hyperlink" Target="http://school.cbe.go.kr/pongmyong-e" TargetMode="External"/><Relationship Id="rId678" Type="http://schemas.openxmlformats.org/officeDocument/2006/relationships/hyperlink" Target="http://www.bongjeong.es.kr/" TargetMode="External"/><Relationship Id="rId679" Type="http://schemas.openxmlformats.org/officeDocument/2006/relationships/hyperlink" Target="http://school.cbe.go.kr/sajig-e" TargetMode="External"/><Relationship Id="rId680" Type="http://schemas.openxmlformats.org/officeDocument/2006/relationships/hyperlink" Target="http://school.cbe.go.kr/sangdangcho-e" TargetMode="External"/><Relationship Id="rId681" Type="http://schemas.openxmlformats.org/officeDocument/2006/relationships/hyperlink" Target="http://school.cbe.go.kr/saeteo-e" TargetMode="External"/><Relationship Id="rId682" Type="http://schemas.openxmlformats.org/officeDocument/2006/relationships/hyperlink" Target="http://school.cbe.go.kr/newstar-e" TargetMode="External"/><Relationship Id="rId683" Type="http://schemas.openxmlformats.org/officeDocument/2006/relationships/hyperlink" Target="http://school.cbe.go.kr/cjseohyun-e" TargetMode="External"/><Relationship Id="rId684" Type="http://schemas.openxmlformats.org/officeDocument/2006/relationships/hyperlink" Target="http://school.cbe.go.kr/solgang-e" TargetMode="External"/><Relationship Id="rId685" Type="http://schemas.openxmlformats.org/officeDocument/2006/relationships/hyperlink" Target="http://school.cbe.go.kr/osongsolmi-e" TargetMode="External"/><Relationship Id="rId686" Type="http://schemas.openxmlformats.org/officeDocument/2006/relationships/hyperlink" Target="http://school.cbe.go.kr/yongah-e" TargetMode="External"/><Relationship Id="rId687" Type="http://schemas.openxmlformats.org/officeDocument/2006/relationships/hyperlink" Target="http://school.cbe.go.kr/undong-e/M01" TargetMode="External"/><Relationship Id="rId688" Type="http://schemas.openxmlformats.org/officeDocument/2006/relationships/hyperlink" Target="http://school.cbe.go.kr/joojoong-e" TargetMode="External"/><Relationship Id="rId689" Type="http://schemas.openxmlformats.org/officeDocument/2006/relationships/hyperlink" Target="http://school.cbe.go.kr/jukrim-e" TargetMode="External"/><Relationship Id="rId690" Type="http://schemas.openxmlformats.org/officeDocument/2006/relationships/hyperlink" Target="http://school.cbe.go.kr/jeungan-e" TargetMode="External"/><Relationship Id="rId691" Type="http://schemas.openxmlformats.org/officeDocument/2006/relationships/hyperlink" Target="http://school.cbe.go.kr/changri-e" TargetMode="External"/><Relationship Id="rId692" Type="http://schemas.openxmlformats.org/officeDocument/2006/relationships/hyperlink" Target="http://school.cbe.go.kr/chnam-e" TargetMode="External"/><Relationship Id="rId693" Type="http://schemas.openxmlformats.org/officeDocument/2006/relationships/hyperlink" Target="http://school.cbe.go.kr/cw-e" TargetMode="External"/><Relationship Id="rId694" Type="http://schemas.openxmlformats.org/officeDocument/2006/relationships/hyperlink" Target="http://school.cbe.go.kr/cjsoro" TargetMode="External"/><Relationship Id="rId695" Type="http://schemas.openxmlformats.org/officeDocument/2006/relationships/hyperlink" Target="http://school.cbe.go.kr/kyongdug-m/M01" TargetMode="External"/><Relationship Id="rId696" Type="http://schemas.openxmlformats.org/officeDocument/2006/relationships/hyperlink" Target="http://school.cbe.go.kr/cjnamseong-m/M01" TargetMode="External"/><Relationship Id="rId697" Type="http://schemas.openxmlformats.org/officeDocument/2006/relationships/hyperlink" Target="http://210.106.100.174/dsg-m/M01" TargetMode="External"/><Relationship Id="rId698" Type="http://schemas.openxmlformats.org/officeDocument/2006/relationships/hyperlink" Target="http://school.cbe.go.kr/cjdaeseong-m" TargetMode="External"/><Relationship Id="rId699" Type="http://schemas.openxmlformats.org/officeDocument/2006/relationships/hyperlink" Target="http://school.cbe.go.kr/sekwang-m" TargetMode="External"/><Relationship Id="rId700" Type="http://schemas.openxmlformats.org/officeDocument/2006/relationships/hyperlink" Target="http://school.cbe.go.kr/solgang-m" TargetMode="External"/><Relationship Id="rId701" Type="http://schemas.openxmlformats.org/officeDocument/2006/relationships/hyperlink" Target="http://school.cbe.go.kr/cbyc-m" TargetMode="External"/><Relationship Id="rId702" Type="http://schemas.openxmlformats.org/officeDocument/2006/relationships/hyperlink" Target="http://www.osong.ms.kr/" TargetMode="External"/><Relationship Id="rId703" Type="http://schemas.openxmlformats.org/officeDocument/2006/relationships/hyperlink" Target="http://school.cbe.go.kr/ochang-m" TargetMode="External"/><Relationship Id="rId704" Type="http://schemas.openxmlformats.org/officeDocument/2006/relationships/hyperlink" Target="http://school.cbe.go.kr/yongah-m" TargetMode="External"/><Relationship Id="rId705" Type="http://schemas.openxmlformats.org/officeDocument/2006/relationships/hyperlink" Target="http://school.cbe.go.kr/yongam-m" TargetMode="External"/><Relationship Id="rId706" Type="http://schemas.openxmlformats.org/officeDocument/2006/relationships/hyperlink" Target="http://school.cbe.go.kr/unho-m/M01" TargetMode="External"/><Relationship Id="rId707" Type="http://schemas.openxmlformats.org/officeDocument/2006/relationships/hyperlink" Target="http://school.cbe.go.kr/ilshin-m" TargetMode="External"/><Relationship Id="rId708" Type="http://schemas.openxmlformats.org/officeDocument/2006/relationships/hyperlink" Target="http://school.cbe.go.kr/cheongun-m" TargetMode="External"/><Relationship Id="rId709" Type="http://schemas.openxmlformats.org/officeDocument/2006/relationships/hyperlink" Target="http://school.cbe.go.kr/cms-m" TargetMode="External"/><Relationship Id="rId710" Type="http://schemas.openxmlformats.org/officeDocument/2006/relationships/hyperlink" Target="http://school.cbe.go.kr/chungbuk-m" TargetMode="External"/><Relationship Id="rId711" Type="http://schemas.openxmlformats.org/officeDocument/2006/relationships/hyperlink" Target="http://school.cbe.go.kr/deoksin-e" TargetMode="External"/><Relationship Id="rId712" Type="http://schemas.openxmlformats.org/officeDocument/2006/relationships/hyperlink" Target="http://school.cbe.go.kr/cjdaesowon-e" TargetMode="External"/><Relationship Id="rId713" Type="http://schemas.openxmlformats.org/officeDocument/2006/relationships/hyperlink" Target="http://school.cbe.go.kr/cjsungnam-e" TargetMode="External"/><Relationship Id="rId714" Type="http://schemas.openxmlformats.org/officeDocument/2006/relationships/hyperlink" Target="http://www.chungjuja.es.kr/" TargetMode="External"/><Relationship Id="rId715" Type="http://schemas.openxmlformats.org/officeDocument/2006/relationships/hyperlink" Target="http://school.cbe.go.kr/cjjungangtap-e" TargetMode="External"/><Relationship Id="rId716" Type="http://schemas.openxmlformats.org/officeDocument/2006/relationships/hyperlink" Target="http://school.cbe.go.kr/cjjungangtap-m" TargetMode="External"/><Relationship Id="rId717" Type="http://schemas.openxmlformats.org/officeDocument/2006/relationships/hyperlink" Target="http://school.cbe.go.kr/meeduck-m" TargetMode="External"/><Relationship Id="rId718" Type="http://schemas.openxmlformats.org/officeDocument/2006/relationships/hyperlink" Target="http://www.gosu.es.kr/" TargetMode="External"/><Relationship Id="rId719" Type="http://schemas.openxmlformats.org/officeDocument/2006/relationships/hyperlink" Target="http://www.gcm.ms.kr/" TargetMode="External"/><Relationship Id="rId720" Type="http://schemas.openxmlformats.org/officeDocument/2006/relationships/hyperlink" Target="http://www.ysite.ms.kr/" TargetMode="External"/><Relationship Id="rId721" Type="http://schemas.openxmlformats.org/officeDocument/2006/relationships/hyperlink" Target="http://www.gunsan-mh.hs.kr/" TargetMode="External"/><Relationship Id="rId722" Type="http://schemas.openxmlformats.org/officeDocument/2006/relationships/hyperlink" Target="http://school.jbedu.kr/higlory" TargetMode="External"/><Relationship Id="rId723" Type="http://schemas.openxmlformats.org/officeDocument/2006/relationships/hyperlink" Target="http://www.deogamgo.hs.kr/" TargetMode="External"/><Relationship Id="rId724" Type="http://schemas.openxmlformats.org/officeDocument/2006/relationships/hyperlink" Target="http://www.deogam.hs.kr/" TargetMode="External"/><Relationship Id="rId725" Type="http://schemas.openxmlformats.org/officeDocument/2006/relationships/hyperlink" Target="http://school.jbedu.kr/ksch" TargetMode="External"/><Relationship Id="rId726" Type="http://schemas.openxmlformats.org/officeDocument/2006/relationships/hyperlink" Target="http://mankyung.hs.kr/" TargetMode="External"/><Relationship Id="rId727" Type="http://schemas.openxmlformats.org/officeDocument/2006/relationships/hyperlink" Target="http://www.nwit.hs.kr/" TargetMode="External"/><Relationship Id="rId728" Type="http://schemas.openxmlformats.org/officeDocument/2006/relationships/hyperlink" Target="http://seojin.hs.kr/" TargetMode="External"/><Relationship Id="rId729" Type="http://schemas.openxmlformats.org/officeDocument/2006/relationships/hyperlink" Target="http://www.backsan.hs.kr/" TargetMode="External"/><Relationship Id="rId730" Type="http://schemas.openxmlformats.org/officeDocument/2006/relationships/hyperlink" Target="http://buan.hs.kr/" TargetMode="External"/><Relationship Id="rId731" Type="http://schemas.openxmlformats.org/officeDocument/2006/relationships/hyperlink" Target="http://sunchang.hs.kr/" TargetMode="External"/><Relationship Id="rId732" Type="http://schemas.openxmlformats.org/officeDocument/2006/relationships/hyperlink" Target="http://school.jbedu.kr/namsung" TargetMode="External"/><Relationship Id="rId733" Type="http://schemas.openxmlformats.org/officeDocument/2006/relationships/hyperlink" Target="http://www.21.hs.kr/" TargetMode="External"/><Relationship Id="rId734" Type="http://schemas.openxmlformats.org/officeDocument/2006/relationships/hyperlink" Target="http://jbjeil.hs.kr/" TargetMode="External"/><Relationship Id="rId735" Type="http://schemas.openxmlformats.org/officeDocument/2006/relationships/hyperlink" Target="http://www.jangsu.hs.kr/" TargetMode="External"/><Relationship Id="rId736" Type="http://schemas.openxmlformats.org/officeDocument/2006/relationships/hyperlink" Target="http://www.yanghyeon.hs.kr/" TargetMode="External"/><Relationship Id="rId737" Type="http://schemas.openxmlformats.org/officeDocument/2006/relationships/hyperlink" Target="http://school.jbedu.kr/yuil" TargetMode="External"/><Relationship Id="rId738" Type="http://schemas.openxmlformats.org/officeDocument/2006/relationships/hyperlink" Target="http://kijun.hs.kr/" TargetMode="External"/><Relationship Id="rId739" Type="http://schemas.openxmlformats.org/officeDocument/2006/relationships/hyperlink" Target="http://www.jjbugo.hs.kr/" TargetMode="External"/><Relationship Id="rId740" Type="http://schemas.openxmlformats.org/officeDocument/2006/relationships/hyperlink" Target="http://www.jls.hs.kr/" TargetMode="External"/><Relationship Id="rId741" Type="http://schemas.openxmlformats.org/officeDocument/2006/relationships/hyperlink" Target="http://www.solnae.hs.kr/" TargetMode="External"/><Relationship Id="rId742" Type="http://schemas.openxmlformats.org/officeDocument/2006/relationships/hyperlink" Target="http://school.jbedu.kr/no1" TargetMode="External"/><Relationship Id="rId743" Type="http://schemas.openxmlformats.org/officeDocument/2006/relationships/hyperlink" Target="http://school.jbedu.kr/eunhwa" TargetMode="External"/><Relationship Id="rId744" Type="http://schemas.openxmlformats.org/officeDocument/2006/relationships/hyperlink" Target="http://www.baeyoung.hs.kr/" TargetMode="External"/><Relationship Id="rId745" Type="http://schemas.openxmlformats.org/officeDocument/2006/relationships/hyperlink" Target="http://www.wsh.hs.kr/" TargetMode="External"/><Relationship Id="rId746" Type="http://schemas.openxmlformats.org/officeDocument/2006/relationships/hyperlink" Target="http://www.chongup-gh.hs.kr/" TargetMode="External"/><Relationship Id="rId747" Type="http://schemas.openxmlformats.org/officeDocument/2006/relationships/hyperlink" Target="http://www.honam.hs.kr/" TargetMode="External"/><Relationship Id="rId748" Type="http://schemas.openxmlformats.org/officeDocument/2006/relationships/hyperlink" Target="http://school.jbedu.kr/dasom" TargetMode="External"/><Relationship Id="rId749" Type="http://schemas.openxmlformats.org/officeDocument/2006/relationships/hyperlink" Target="http://www.ksjigok.es.kr/" TargetMode="External"/><Relationship Id="rId750" Type="http://schemas.openxmlformats.org/officeDocument/2006/relationships/hyperlink" Target="http://www.kschango.es.kr/" TargetMode="External"/><Relationship Id="rId751" Type="http://schemas.openxmlformats.org/officeDocument/2006/relationships/hyperlink" Target="http://school.jbedu.kr/hoehyun" TargetMode="External"/><Relationship Id="rId752" Type="http://schemas.openxmlformats.org/officeDocument/2006/relationships/hyperlink" Target="http://dw.ms.kr/" TargetMode="External"/><Relationship Id="rId753" Type="http://schemas.openxmlformats.org/officeDocument/2006/relationships/hyperlink" Target="http://ksjeil.ms.kr/" TargetMode="External"/><Relationship Id="rId754" Type="http://schemas.openxmlformats.org/officeDocument/2006/relationships/hyperlink" Target="http://geumgu.kr/" TargetMode="External"/><Relationship Id="rId755" Type="http://schemas.openxmlformats.org/officeDocument/2006/relationships/hyperlink" Target="http://www.geomsan.es.kr/" TargetMode="External"/><Relationship Id="rId756" Type="http://schemas.openxmlformats.org/officeDocument/2006/relationships/hyperlink" Target="http://school.jbedu.kr/kimje" TargetMode="External"/><Relationship Id="rId757" Type="http://schemas.openxmlformats.org/officeDocument/2006/relationships/hyperlink" Target="http://jb-wolchon.es.kr/" TargetMode="External"/><Relationship Id="rId758" Type="http://schemas.openxmlformats.org/officeDocument/2006/relationships/hyperlink" Target="http://school.jbedu.kr/kumsan" TargetMode="External"/><Relationship Id="rId759" Type="http://schemas.openxmlformats.org/officeDocument/2006/relationships/hyperlink" Target="http://oksan.ms.kr/" TargetMode="External"/><Relationship Id="rId760" Type="http://schemas.openxmlformats.org/officeDocument/2006/relationships/hyperlink" Target="http://school.jbedu.kr/jipyeongseon-m" TargetMode="External"/><Relationship Id="rId761" Type="http://schemas.openxmlformats.org/officeDocument/2006/relationships/hyperlink" Target="http://school.jbedu.kr/kyoryong" TargetMode="External"/><Relationship Id="rId762" Type="http://schemas.openxmlformats.org/officeDocument/2006/relationships/hyperlink" Target="http://dotong.es.kr/" TargetMode="External"/><Relationship Id="rId763" Type="http://schemas.openxmlformats.org/officeDocument/2006/relationships/hyperlink" Target="http://deokgwa.es.kr/" TargetMode="External"/><Relationship Id="rId764" Type="http://schemas.openxmlformats.org/officeDocument/2006/relationships/hyperlink" Target="http://jusaeng.es.kr/" TargetMode="External"/><Relationship Id="rId765" Type="http://schemas.openxmlformats.org/officeDocument/2006/relationships/hyperlink" Target="http://jb-baeksan.es.kr/" TargetMode="External"/><Relationship Id="rId766" Type="http://schemas.openxmlformats.org/officeDocument/2006/relationships/hyperlink" Target="http://school.jbedu.kr/buandong" TargetMode="External"/><Relationship Id="rId767" Type="http://schemas.openxmlformats.org/officeDocument/2006/relationships/hyperlink" Target="http://school.jbedu.kr/nangju-m" TargetMode="External"/><Relationship Id="rId768" Type="http://schemas.openxmlformats.org/officeDocument/2006/relationships/hyperlink" Target="http://bss.ms.kr/" TargetMode="External"/><Relationship Id="rId769" Type="http://schemas.openxmlformats.org/officeDocument/2006/relationships/hyperlink" Target="http://www.sucbuk.ms.kr/" TargetMode="External"/><Relationship Id="rId770" Type="http://schemas.openxmlformats.org/officeDocument/2006/relationships/hyperlink" Target="http://school.jbedu.kr/samrye" TargetMode="External"/><Relationship Id="rId771" Type="http://schemas.openxmlformats.org/officeDocument/2006/relationships/hyperlink" Target="http://www.sangkwan.es.kr/" TargetMode="External"/><Relationship Id="rId772" Type="http://schemas.openxmlformats.org/officeDocument/2006/relationships/hyperlink" Target="http://school.jbedu.kr/yongjin" TargetMode="External"/><Relationship Id="rId773" Type="http://schemas.openxmlformats.org/officeDocument/2006/relationships/hyperlink" Target="http://www.jb-kosan.ms.kr/" TargetMode="External"/><Relationship Id="rId774" Type="http://schemas.openxmlformats.org/officeDocument/2006/relationships/hyperlink" Target="http://www.samwu.ms.kr/" TargetMode="External"/><Relationship Id="rId775" Type="http://schemas.openxmlformats.org/officeDocument/2006/relationships/hyperlink" Target="http://www.jb-wanju.ms.kr/" TargetMode="External"/><Relationship Id="rId776" Type="http://schemas.openxmlformats.org/officeDocument/2006/relationships/hyperlink" Target="http://www.youngman.es.kr/" TargetMode="External"/><Relationship Id="rId777" Type="http://schemas.openxmlformats.org/officeDocument/2006/relationships/hyperlink" Target="http://jb-wangnam.es.kr/" TargetMode="External"/><Relationship Id="rId778" Type="http://schemas.openxmlformats.org/officeDocument/2006/relationships/hyperlink" Target="http://irdongnam.es.kr/" TargetMode="External"/><Relationship Id="rId779" Type="http://schemas.openxmlformats.org/officeDocument/2006/relationships/hyperlink" Target="http://www.iryd.es.kr/" TargetMode="External"/><Relationship Id="rId780" Type="http://schemas.openxmlformats.org/officeDocument/2006/relationships/hyperlink" Target="http://www.iripalbong.es.kr/" TargetMode="External"/><Relationship Id="rId781" Type="http://schemas.openxmlformats.org/officeDocument/2006/relationships/hyperlink" Target="http://isgaon.es.kr/" TargetMode="External"/><Relationship Id="rId782" Type="http://schemas.openxmlformats.org/officeDocument/2006/relationships/hyperlink" Target="http://school.jbedu.kr/chunpo" TargetMode="External"/><Relationship Id="rId783" Type="http://schemas.openxmlformats.org/officeDocument/2006/relationships/hyperlink" Target="http://jb-namsung.ms.kr/" TargetMode="External"/><Relationship Id="rId784" Type="http://schemas.openxmlformats.org/officeDocument/2006/relationships/hyperlink" Target="http://www.seongdang.ms.kr/" TargetMode="External"/><Relationship Id="rId785" Type="http://schemas.openxmlformats.org/officeDocument/2006/relationships/hyperlink" Target="http://school.jbedu.kr/irinam-m" TargetMode="External"/><Relationship Id="rId786" Type="http://schemas.openxmlformats.org/officeDocument/2006/relationships/hyperlink" Target="http://www.i-il.ms.kr/" TargetMode="External"/><Relationship Id="rId787" Type="http://schemas.openxmlformats.org/officeDocument/2006/relationships/hyperlink" Target="http://busong.ms.kr/" TargetMode="External"/><Relationship Id="rId788" Type="http://schemas.openxmlformats.org/officeDocument/2006/relationships/hyperlink" Target="http://school.jbedu.kr/jb-kwanchon" TargetMode="External"/><Relationship Id="rId789" Type="http://schemas.openxmlformats.org/officeDocument/2006/relationships/hyperlink" Target="http://www.imsil.es.kr/" TargetMode="External"/><Relationship Id="rId790" Type="http://schemas.openxmlformats.org/officeDocument/2006/relationships/hyperlink" Target="http://www.sunamcho.es.kr/" TargetMode="External"/><Relationship Id="rId791" Type="http://schemas.openxmlformats.org/officeDocument/2006/relationships/hyperlink" Target="http://school.jbedu.kr/jds" TargetMode="External"/><Relationship Id="rId792" Type="http://schemas.openxmlformats.org/officeDocument/2006/relationships/hyperlink" Target="http://school.jbedu.kr/jeonjudong" TargetMode="External"/><Relationship Id="rId793" Type="http://schemas.openxmlformats.org/officeDocument/2006/relationships/hyperlink" Target="http://school.jbedu.kr/samnam" TargetMode="External"/><Relationship Id="rId794" Type="http://schemas.openxmlformats.org/officeDocument/2006/relationships/hyperlink" Target="http://www.songchun.es.kr/" TargetMode="External"/><Relationship Id="rId795" Type="http://schemas.openxmlformats.org/officeDocument/2006/relationships/hyperlink" Target="http://www.yongwa.es.kr/" TargetMode="External"/><Relationship Id="rId796" Type="http://schemas.openxmlformats.org/officeDocument/2006/relationships/hyperlink" Target="http://school.jbedu.kr/ujeon" TargetMode="External"/><Relationship Id="rId797" Type="http://schemas.openxmlformats.org/officeDocument/2006/relationships/hyperlink" Target="http://www.jochon.es.kr/" TargetMode="External"/><Relationship Id="rId798" Type="http://schemas.openxmlformats.org/officeDocument/2006/relationships/hyperlink" Target="http://jungin.kr/" TargetMode="External"/><Relationship Id="rId799" Type="http://schemas.openxmlformats.org/officeDocument/2006/relationships/hyperlink" Target="http://www.chopo.es.kr/" TargetMode="External"/><Relationship Id="rId800" Type="http://schemas.openxmlformats.org/officeDocument/2006/relationships/hyperlink" Target="http://school.jbedu.kr/jhj" TargetMode="External"/><Relationship Id="rId801" Type="http://schemas.openxmlformats.org/officeDocument/2006/relationships/hyperlink" Target="http://school.jbedu.kr/jjhyorim" TargetMode="External"/><Relationship Id="rId802" Type="http://schemas.openxmlformats.org/officeDocument/2006/relationships/hyperlink" Target="http://school.jbedu.kr/hyocheon" TargetMode="External"/><Relationship Id="rId803" Type="http://schemas.openxmlformats.org/officeDocument/2006/relationships/hyperlink" Target="http://geunyeong.ms.kr/" TargetMode="External"/><Relationship Id="rId804" Type="http://schemas.openxmlformats.org/officeDocument/2006/relationships/hyperlink" Target="http://jongoul.ms.kr/" TargetMode="External"/><Relationship Id="rId805" Type="http://schemas.openxmlformats.org/officeDocument/2006/relationships/hyperlink" Target="http://www.onbit.ms.kr/" TargetMode="External"/><Relationship Id="rId806" Type="http://schemas.openxmlformats.org/officeDocument/2006/relationships/hyperlink" Target="http://www.poong-nam.ms.kr/" TargetMode="External"/><Relationship Id="rId807" Type="http://schemas.openxmlformats.org/officeDocument/2006/relationships/hyperlink" Target="http://school.jbedu.kr/hyomoon-m" TargetMode="External"/><Relationship Id="rId808" Type="http://schemas.openxmlformats.org/officeDocument/2006/relationships/hyperlink" Target="http://school.jbedu.kr/jb-daeheung" TargetMode="External"/><Relationship Id="rId809" Type="http://schemas.openxmlformats.org/officeDocument/2006/relationships/hyperlink" Target="http://www.backam.es.kr/" TargetMode="External"/><Relationship Id="rId810" Type="http://schemas.openxmlformats.org/officeDocument/2006/relationships/hyperlink" Target="http://www.jbs.es.kr/" TargetMode="External"/><Relationship Id="rId811" Type="http://schemas.openxmlformats.org/officeDocument/2006/relationships/hyperlink" Target="http://bukmyen.es.kr/" TargetMode="External"/><Relationship Id="rId812" Type="http://schemas.openxmlformats.org/officeDocument/2006/relationships/hyperlink" Target="http://school.jbedu.kr/jsukok" TargetMode="External"/><Relationship Id="rId813" Type="http://schemas.openxmlformats.org/officeDocument/2006/relationships/hyperlink" Target="http://school.jbedu.kr/ju-nam" TargetMode="External"/><Relationship Id="rId814" Type="http://schemas.openxmlformats.org/officeDocument/2006/relationships/hyperlink" Target="http://chilbo.es.kr/" TargetMode="External"/><Relationship Id="rId815" Type="http://schemas.openxmlformats.org/officeDocument/2006/relationships/hyperlink" Target="http://www.wangsin.ms.kr/" TargetMode="External"/><Relationship Id="rId816" Type="http://schemas.openxmlformats.org/officeDocument/2006/relationships/hyperlink" Target="http://www.jaja.es.kr/" TargetMode="External"/><Relationship Id="rId817" Type="http://schemas.openxmlformats.org/officeDocument/2006/relationships/hyperlink" Target="http://podu.jge.es.kr/" TargetMode="External"/><Relationship Id="rId818" Type="http://schemas.openxmlformats.org/officeDocument/2006/relationships/hyperlink" Target="http://dong-gang.ms.jne.kr/" TargetMode="External"/><Relationship Id="rId819" Type="http://schemas.openxmlformats.org/officeDocument/2006/relationships/hyperlink" Target="http://gsjungang.es.jne.kr/" TargetMode="External"/><Relationship Id="rId820" Type="http://schemas.openxmlformats.org/officeDocument/2006/relationships/hyperlink" Target="http://yongkang.jge.es.kr/" TargetMode="External"/><Relationship Id="rId821" Type="http://schemas.openxmlformats.org/officeDocument/2006/relationships/hyperlink" Target="http://gwangcheolnam.es.jne.kr/" TargetMode="External"/><Relationship Id="rId822" Type="http://schemas.openxmlformats.org/officeDocument/2006/relationships/hyperlink" Target="http://gwangcheol.es.jne.kr/" TargetMode="External"/><Relationship Id="rId823" Type="http://schemas.openxmlformats.org/officeDocument/2006/relationships/hyperlink" Target="http://gyjma.es.jne.kr/" TargetMode="External"/><Relationship Id="rId824" Type="http://schemas.openxmlformats.org/officeDocument/2006/relationships/hyperlink" Target="http://gyeong.jge.es.kr/" TargetMode="External"/><Relationship Id="rId825" Type="http://schemas.openxmlformats.org/officeDocument/2006/relationships/hyperlink" Target="http://gysh.jge.es.kr/" TargetMode="External"/><Relationship Id="rId826" Type="http://schemas.openxmlformats.org/officeDocument/2006/relationships/hyperlink" Target="http://madong.ms.jne.kr/" TargetMode="External"/><Relationship Id="rId827" Type="http://schemas.openxmlformats.org/officeDocument/2006/relationships/hyperlink" Target="http://gwangyangbaekun.jge.hs.kr/" TargetMode="External"/><Relationship Id="rId828" Type="http://schemas.openxmlformats.org/officeDocument/2006/relationships/hyperlink" Target="http://njc.hs.jne.kr/" TargetMode="External"/><Relationship Id="rId829" Type="http://schemas.openxmlformats.org/officeDocument/2006/relationships/hyperlink" Target="http://maesung.jge.hs.kr/" TargetMode="External"/><Relationship Id="rId830" Type="http://schemas.openxmlformats.org/officeDocument/2006/relationships/hyperlink" Target="http://mpjm.hs.jne.kr/" TargetMode="External"/><Relationship Id="rId831" Type="http://schemas.openxmlformats.org/officeDocument/2006/relationships/hyperlink" Target="http://mokpojoongang.hs.jne.kr/" TargetMode="External"/><Relationship Id="rId832" Type="http://schemas.openxmlformats.org/officeDocument/2006/relationships/hyperlink" Target="http://moontae.jge.hs.kr/" TargetMode="External"/><Relationship Id="rId833" Type="http://schemas.openxmlformats.org/officeDocument/2006/relationships/hyperlink" Target="http://beolgyo.hs.jne.kr/" TargetMode="External"/><Relationship Id="rId834" Type="http://schemas.openxmlformats.org/officeDocument/2006/relationships/hyperlink" Target="http://yedang.hs.jne.kr/" TargetMode="External"/><Relationship Id="rId835" Type="http://schemas.openxmlformats.org/officeDocument/2006/relationships/hyperlink" Target="http://gangnam.hs.jne.kr/" TargetMode="External"/><Relationship Id="rId836" Type="http://schemas.openxmlformats.org/officeDocument/2006/relationships/hyperlink" Target="http://hyosan.hs.jne.kr/" TargetMode="External"/><Relationship Id="rId837" Type="http://schemas.openxmlformats.org/officeDocument/2006/relationships/hyperlink" Target="http://hyocheon.hs.jne.kr/" TargetMode="External"/><Relationship Id="rId838" Type="http://schemas.openxmlformats.org/officeDocument/2006/relationships/hyperlink" Target="http://yeosu-th.jge.hs.kr/" TargetMode="External"/><Relationship Id="rId839" Type="http://schemas.openxmlformats.org/officeDocument/2006/relationships/hyperlink" Target="http://yosuis.hs.jne.kr/" TargetMode="External"/><Relationship Id="rId840" Type="http://schemas.openxmlformats.org/officeDocument/2006/relationships/hyperlink" Target="http://jsg.hs.jne.kr/" TargetMode="External"/><Relationship Id="rId841" Type="http://schemas.openxmlformats.org/officeDocument/2006/relationships/hyperlink" Target="http://yk.hs.jne.kr/" TargetMode="External"/><Relationship Id="rId842" Type="http://schemas.openxmlformats.org/officeDocument/2006/relationships/hyperlink" Target="http://gurim-tech.jge.hs.kr/" TargetMode="External"/><Relationship Id="rId843" Type="http://schemas.openxmlformats.org/officeDocument/2006/relationships/hyperlink" Target="http://sorim.sc.jne.kr/" TargetMode="External"/><Relationship Id="rId844" Type="http://schemas.openxmlformats.org/officeDocument/2006/relationships/hyperlink" Target="http://yh.sc.jne.kr/" TargetMode="External"/><Relationship Id="rId845" Type="http://schemas.openxmlformats.org/officeDocument/2006/relationships/hyperlink" Target="http://neungju.jge.hs.kr/" TargetMode="External"/><Relationship Id="rId846" Type="http://schemas.openxmlformats.org/officeDocument/2006/relationships/hyperlink" Target="http://nj-gongsan.es.jne.kr/" TargetMode="External"/><Relationship Id="rId847" Type="http://schemas.openxmlformats.org/officeDocument/2006/relationships/hyperlink" Target="http://najubuk.es.jne.kr/" TargetMode="External"/><Relationship Id="rId848" Type="http://schemas.openxmlformats.org/officeDocument/2006/relationships/hyperlink" Target="http://naju.es.jne.kr/" TargetMode="External"/><Relationship Id="rId849" Type="http://schemas.openxmlformats.org/officeDocument/2006/relationships/hyperlink" Target="http://nampyeong.jge.es.kr/" TargetMode="External"/><Relationship Id="rId850" Type="http://schemas.openxmlformats.org/officeDocument/2006/relationships/hyperlink" Target="http://njnampyong.jge.ms.kr/" TargetMode="External"/><Relationship Id="rId851" Type="http://schemas.openxmlformats.org/officeDocument/2006/relationships/hyperlink" Target="http://maesung.jge.ms.kr/" TargetMode="External"/><Relationship Id="rId852" Type="http://schemas.openxmlformats.org/officeDocument/2006/relationships/hyperlink" Target="http://seji.ms.jne.kr/" TargetMode="External"/><Relationship Id="rId853" Type="http://schemas.openxmlformats.org/officeDocument/2006/relationships/hyperlink" Target="http://ysan.ms.jne.kr/" TargetMode="External"/><Relationship Id="rId854" Type="http://schemas.openxmlformats.org/officeDocument/2006/relationships/hyperlink" Target="http://dy-nammyeon.es.jne.kr/" TargetMode="External"/><Relationship Id="rId855" Type="http://schemas.openxmlformats.org/officeDocument/2006/relationships/hyperlink" Target="http://mujeong.es.jne.kr/" TargetMode="External"/><Relationship Id="rId856" Type="http://schemas.openxmlformats.org/officeDocument/2006/relationships/hyperlink" Target="http://mokposeobu.es.jne.kr/" TargetMode="External"/><Relationship Id="rId857" Type="http://schemas.openxmlformats.org/officeDocument/2006/relationships/hyperlink" Target="http://mokpogirls.ms.jne.kr/" TargetMode="External"/><Relationship Id="rId858" Type="http://schemas.openxmlformats.org/officeDocument/2006/relationships/hyperlink" Target="http://mokpoyudal.ms.jne.kr/" TargetMode="External"/><Relationship Id="rId859" Type="http://schemas.openxmlformats.org/officeDocument/2006/relationships/hyperlink" Target="http://jeongmyeong.ms.jne.kr/" TargetMode="External"/><Relationship Id="rId860" Type="http://schemas.openxmlformats.org/officeDocument/2006/relationships/hyperlink" Target="http://mokpojeil.ms.jne.kr/" TargetMode="External"/><Relationship Id="rId861" Type="http://schemas.openxmlformats.org/officeDocument/2006/relationships/hyperlink" Target="http://mpjoongang.ms.jne.kr/" TargetMode="External"/><Relationship Id="rId862" Type="http://schemas.openxmlformats.org/officeDocument/2006/relationships/hyperlink" Target="http://yeongheung.jge.ms.kr/" TargetMode="External"/><Relationship Id="rId863" Type="http://schemas.openxmlformats.org/officeDocument/2006/relationships/hyperlink" Target="http://haengbok.jge.es.kr/" TargetMode="External"/><Relationship Id="rId864" Type="http://schemas.openxmlformats.org/officeDocument/2006/relationships/hyperlink" Target="http://oryong.jge.es.kr/" TargetMode="External"/><Relationship Id="rId865" Type="http://schemas.openxmlformats.org/officeDocument/2006/relationships/hyperlink" Target="http://muanhaengbok.ms.jne.kr/" TargetMode="External"/><Relationship Id="rId866" Type="http://schemas.openxmlformats.org/officeDocument/2006/relationships/hyperlink" Target="http://gyeombaek.jge.es.kr/" TargetMode="External"/><Relationship Id="rId867" Type="http://schemas.openxmlformats.org/officeDocument/2006/relationships/hyperlink" Target="http://scdongsan.es.jne.kr/" TargetMode="External"/><Relationship Id="rId868" Type="http://schemas.openxmlformats.org/officeDocument/2006/relationships/hyperlink" Target="http://dosa.es.jne.kr/" TargetMode="External"/><Relationship Id="rId869" Type="http://schemas.openxmlformats.org/officeDocument/2006/relationships/hyperlink" Target="http://jeungdo.es.jne.kr/" TargetMode="External"/><Relationship Id="rId870" Type="http://schemas.openxmlformats.org/officeDocument/2006/relationships/hyperlink" Target="http://jaeun.ms.jne.kr/" TargetMode="External"/><Relationship Id="rId871" Type="http://schemas.openxmlformats.org/officeDocument/2006/relationships/hyperlink" Target="http://ysgb.es.jne.kr/" TargetMode="External"/><Relationship Id="rId872" Type="http://schemas.openxmlformats.org/officeDocument/2006/relationships/hyperlink" Target="http://jonggo.es.jne.kr/" TargetMode="External"/><Relationship Id="rId873" Type="http://schemas.openxmlformats.org/officeDocument/2006/relationships/hyperlink" Target="http://hallyo.jge.es.kr/" TargetMode="External"/><Relationship Id="rId874" Type="http://schemas.openxmlformats.org/officeDocument/2006/relationships/hyperlink" Target="http://yeocheon.es.jne.kr/" TargetMode="External"/><Relationship Id="rId875" Type="http://schemas.openxmlformats.org/officeDocument/2006/relationships/hyperlink" Target="http://ungchun.jge.es.kr/" TargetMode="External"/><Relationship Id="rId876" Type="http://schemas.openxmlformats.org/officeDocument/2006/relationships/hyperlink" Target="http://yeomsan.jge.ms.kr/" TargetMode="External"/><Relationship Id="rId877" Type="http://schemas.openxmlformats.org/officeDocument/2006/relationships/hyperlink" Target="http://daebul.es.jne.kr/" TargetMode="External"/><Relationship Id="rId878" Type="http://schemas.openxmlformats.org/officeDocument/2006/relationships/hyperlink" Target="http://sijong.jge.es.kr/" TargetMode="External"/><Relationship Id="rId879" Type="http://schemas.openxmlformats.org/officeDocument/2006/relationships/hyperlink" Target="http://samho.ms.jne.kr/" TargetMode="External"/><Relationship Id="rId880" Type="http://schemas.openxmlformats.org/officeDocument/2006/relationships/hyperlink" Target="http://geumil.jge.es.kr/" TargetMode="External"/><Relationship Id="rId881" Type="http://schemas.openxmlformats.org/officeDocument/2006/relationships/hyperlink" Target="http://nohwa.es.jne.kr/" TargetMode="External"/><Relationship Id="rId882" Type="http://schemas.openxmlformats.org/officeDocument/2006/relationships/hyperlink" Target="http://wdja.es.jne.kr/" TargetMode="External"/><Relationship Id="rId883" Type="http://schemas.openxmlformats.org/officeDocument/2006/relationships/hyperlink" Target="http://wando.jge.es.kr/" TargetMode="External"/><Relationship Id="rId884" Type="http://schemas.openxmlformats.org/officeDocument/2006/relationships/hyperlink" Target="http://cheonghae.es.jne.kr/" TargetMode="External"/><Relationship Id="rId885" Type="http://schemas.openxmlformats.org/officeDocument/2006/relationships/hyperlink" Target="http://donghwa.es.jne.kr/" TargetMode="External"/><Relationship Id="rId886" Type="http://schemas.openxmlformats.org/officeDocument/2006/relationships/hyperlink" Target="http://js-sachang.jge.es.kr/" TargetMode="External"/><Relationship Id="rId887" Type="http://schemas.openxmlformats.org/officeDocument/2006/relationships/hyperlink" Target="http://jsja.jge.es.kr/" TargetMode="External"/><Relationship Id="rId888" Type="http://schemas.openxmlformats.org/officeDocument/2006/relationships/hyperlink" Target="http://jinwon.es.jne.kr/" TargetMode="External"/><Relationship Id="rId889" Type="http://schemas.openxmlformats.org/officeDocument/2006/relationships/hyperlink" Target="http://jindoseo.jge.es.kr/" TargetMode="External"/><Relationship Id="rId890" Type="http://schemas.openxmlformats.org/officeDocument/2006/relationships/hyperlink" Target="http://jindojisan.ms.jne.kr/" TargetMode="External"/><Relationship Id="rId891" Type="http://schemas.openxmlformats.org/officeDocument/2006/relationships/hyperlink" Target="http://gisan.es.jne.kr/" TargetMode="External"/><Relationship Id="rId892" Type="http://schemas.openxmlformats.org/officeDocument/2006/relationships/hyperlink" Target="http://ddhyanggyo.es.jne.kr/" TargetMode="External"/><Relationship Id="rId893" Type="http://schemas.openxmlformats.org/officeDocument/2006/relationships/hyperlink" Target="http://eomda.es.jne.kr/" TargetMode="External"/><Relationship Id="rId894" Type="http://schemas.openxmlformats.org/officeDocument/2006/relationships/hyperlink" Target="http://hn-dong.es.jne.kr/" TargetMode="External"/><Relationship Id="rId895" Type="http://schemas.openxmlformats.org/officeDocument/2006/relationships/hyperlink" Target="http://hnjeil.ms.jne.kr/" TargetMode="External"/><Relationship Id="rId896" Type="http://schemas.openxmlformats.org/officeDocument/2006/relationships/hyperlink" Target="http://asan.es.jne.kr/" TargetMode="External"/><Relationship Id="rId897" Type="http://schemas.openxmlformats.org/officeDocument/2006/relationships/hyperlink" Target="http://hs-hancheon.es.jne.kr/" TargetMode="External"/><Relationship Id="rId898" Type="http://schemas.openxmlformats.org/officeDocument/2006/relationships/hyperlink" Target="http://hsmy.es.jne.kr/" TargetMode="External"/><Relationship Id="rId899" Type="http://schemas.openxmlformats.org/officeDocument/2006/relationships/hyperlink" Target="http://hsji.es.jne.kr/" TargetMode="External"/><Relationship Id="rId900" Type="http://schemas.openxmlformats.org/officeDocument/2006/relationships/hyperlink" Target="http://hwasun.jge.es.kr/" TargetMode="External"/><Relationship Id="rId901" Type="http://schemas.openxmlformats.org/officeDocument/2006/relationships/hyperlink" Target="http://school.gyo6.net/ksdongbues" TargetMode="External"/><Relationship Id="rId902" Type="http://schemas.openxmlformats.org/officeDocument/2006/relationships/hyperlink" Target="http://school.gyo6.net/gssb" TargetMode="External"/><Relationship Id="rId903" Type="http://schemas.openxmlformats.org/officeDocument/2006/relationships/hyperlink" Target="http://school.gyo6.net/kyedang" TargetMode="External"/><Relationship Id="rId904" Type="http://schemas.openxmlformats.org/officeDocument/2006/relationships/hyperlink" Target="http://school.gyo6.net/kns" TargetMode="External"/><Relationship Id="rId905" Type="http://schemas.openxmlformats.org/officeDocument/2006/relationships/hyperlink" Target="http://school.gyo6.net/n1000es" TargetMode="External"/><Relationship Id="rId906" Type="http://schemas.openxmlformats.org/officeDocument/2006/relationships/hyperlink" Target="http://school.gyo6.net/seongam" TargetMode="External"/><Relationship Id="rId907" Type="http://schemas.openxmlformats.org/officeDocument/2006/relationships/hyperlink" Target="http://school.gyo6.net/gsokes" TargetMode="External"/><Relationship Id="rId908" Type="http://schemas.openxmlformats.org/officeDocument/2006/relationships/hyperlink" Target="http://school.gyo6.net/jsan" TargetMode="External"/><Relationship Id="rId909" Type="http://schemas.openxmlformats.org/officeDocument/2006/relationships/hyperlink" Target="http://school.gyo6.net/jeongpyeong" TargetMode="External"/><Relationship Id="rId910" Type="http://schemas.openxmlformats.org/officeDocument/2006/relationships/hyperlink" Target="http://school.gyo6.net/psps" TargetMode="External"/><Relationship Id="rId911" Type="http://schemas.openxmlformats.org/officeDocument/2006/relationships/hyperlink" Target="http://school.gyo6.net/hayanges" TargetMode="External"/><Relationship Id="rId912" Type="http://schemas.openxmlformats.org/officeDocument/2006/relationships/hyperlink" Target="http://school.gyo6.net/hajues" TargetMode="External"/><Relationship Id="rId913" Type="http://schemas.openxmlformats.org/officeDocument/2006/relationships/hyperlink" Target="http://school.gyo6.net/gsgm" TargetMode="External"/><Relationship Id="rId914" Type="http://schemas.openxmlformats.org/officeDocument/2006/relationships/hyperlink" Target="http://school.gyo6.net/munmyeongms" TargetMode="External"/><Relationship Id="rId915" Type="http://schemas.openxmlformats.org/officeDocument/2006/relationships/hyperlink" Target="http://school.gyo6.net/geumjanges" TargetMode="External"/><Relationship Id="rId916" Type="http://schemas.openxmlformats.org/officeDocument/2006/relationships/hyperlink" Target="http://school.gyo6.net/you" TargetMode="External"/><Relationship Id="rId917" Type="http://schemas.openxmlformats.org/officeDocument/2006/relationships/hyperlink" Target="http://school.gyo6.net/gyerimms" TargetMode="External"/><Relationship Id="rId918" Type="http://schemas.openxmlformats.org/officeDocument/2006/relationships/hyperlink" Target="http://school.gyo6.net/geunhwams" TargetMode="External"/><Relationship Id="rId919" Type="http://schemas.openxmlformats.org/officeDocument/2006/relationships/hyperlink" Target="http://school.gyo6.net/moonhwams" TargetMode="External"/><Relationship Id="rId920" Type="http://schemas.openxmlformats.org/officeDocument/2006/relationships/hyperlink" Target="http://school.gyo6.net/seondeokms" TargetMode="External"/><Relationship Id="rId921" Type="http://schemas.openxmlformats.org/officeDocument/2006/relationships/hyperlink" Target="http://school.gyo6.net/goryonges" TargetMode="External"/><Relationship Id="rId922" Type="http://schemas.openxmlformats.org/officeDocument/2006/relationships/hyperlink" Target="http://school.gyo6.net/seongsan" TargetMode="External"/><Relationship Id="rId923" Type="http://schemas.openxmlformats.org/officeDocument/2006/relationships/hyperlink" Target="http://school.gyo6.net/ssangrimes" TargetMode="External"/><Relationship Id="rId924" Type="http://schemas.openxmlformats.org/officeDocument/2006/relationships/hyperlink" Target="http://school.gyo6.net/gsshs" TargetMode="External"/><Relationship Id="rId925" Type="http://schemas.openxmlformats.org/officeDocument/2006/relationships/hyperlink" Target="http://school.gyo6.net/munmyeonghs" TargetMode="External"/><Relationship Id="rId926" Type="http://schemas.openxmlformats.org/officeDocument/2006/relationships/hyperlink" Target="http://school.gyo6.net/yn36" TargetMode="External"/><Relationship Id="rId927" Type="http://schemas.openxmlformats.org/officeDocument/2006/relationships/hyperlink" Target="http://school.gyo6.net/newschool" TargetMode="External"/><Relationship Id="rId928" Type="http://schemas.openxmlformats.org/officeDocument/2006/relationships/hyperlink" Target="http://school.gyo6.net/interneths" TargetMode="External"/><Relationship Id="rId929" Type="http://schemas.openxmlformats.org/officeDocument/2006/relationships/hyperlink" Target="http://school.gyo6.net/moonhwa" TargetMode="External"/><Relationship Id="rId930" Type="http://schemas.openxmlformats.org/officeDocument/2006/relationships/hyperlink" Target="http://school.gyo6.net/hyochung" TargetMode="External"/><Relationship Id="rId931" Type="http://schemas.openxmlformats.org/officeDocument/2006/relationships/hyperlink" Target="http://school.gyo6.net/gyeonghui" TargetMode="External"/><Relationship Id="rId932" Type="http://schemas.openxmlformats.org/officeDocument/2006/relationships/hyperlink" Target="http://school.gyo6.net/daegaya" TargetMode="External"/><Relationship Id="rId933" Type="http://schemas.openxmlformats.org/officeDocument/2006/relationships/hyperlink" Target="http://school.gyo6.net/gumigo" TargetMode="External"/><Relationship Id="rId934" Type="http://schemas.openxmlformats.org/officeDocument/2006/relationships/hyperlink" Target="http://school.gyo6.net/gumigirlhs" TargetMode="External"/><Relationship Id="rId935" Type="http://schemas.openxmlformats.org/officeDocument/2006/relationships/hyperlink" Target="http://school.gyo6.net/koths" TargetMode="External"/><Relationship Id="rId936" Type="http://schemas.openxmlformats.org/officeDocument/2006/relationships/hyperlink" Target="http://school.gyo6.net/dogaehs" TargetMode="External"/><Relationship Id="rId937" Type="http://schemas.openxmlformats.org/officeDocument/2006/relationships/hyperlink" Target="http://school.gyo6.net/sagok" TargetMode="External"/><Relationship Id="rId938" Type="http://schemas.openxmlformats.org/officeDocument/2006/relationships/hyperlink" Target="http://school.gyo6.net/seonsanhs" TargetMode="External"/><Relationship Id="rId939" Type="http://schemas.openxmlformats.org/officeDocument/2006/relationships/hyperlink" Target="http://school.gyo6.net/seonjuhs" TargetMode="External"/><Relationship Id="rId940" Type="http://schemas.openxmlformats.org/officeDocument/2006/relationships/hyperlink" Target="http://school.gyo6.net/osanghs" TargetMode="External"/><Relationship Id="rId941" Type="http://schemas.openxmlformats.org/officeDocument/2006/relationships/hyperlink" Target="http://school.gyo6.net/hyunilhs" TargetMode="External"/><Relationship Id="rId942" Type="http://schemas.openxmlformats.org/officeDocument/2006/relationships/hyperlink" Target="http://www.hyedang.sc.kr/" TargetMode="External"/><Relationship Id="rId943" Type="http://schemas.openxmlformats.org/officeDocument/2006/relationships/hyperlink" Target="http://school.gyo6.net/gimcheon" TargetMode="External"/><Relationship Id="rId944" Type="http://schemas.openxmlformats.org/officeDocument/2006/relationships/hyperlink" Target="http://school.gyo6.net/mungyeong-th" TargetMode="External"/><Relationship Id="rId945" Type="http://schemas.openxmlformats.org/officeDocument/2006/relationships/hyperlink" Target="http://school.gyo6.net/daeyoung" TargetMode="External"/><Relationship Id="rId946" Type="http://schemas.openxmlformats.org/officeDocument/2006/relationships/hyperlink" Target="http://school.gyo6.net/yeong-gwang" TargetMode="External"/><Relationship Id="rId947" Type="http://schemas.openxmlformats.org/officeDocument/2006/relationships/hyperlink" Target="http://school.gyo6.net/yg" TargetMode="External"/><Relationship Id="rId948" Type="http://schemas.openxmlformats.org/officeDocument/2006/relationships/hyperlink" Target="http://school.gyo6.net/gbm" TargetMode="External"/><Relationship Id="rId949" Type="http://schemas.openxmlformats.org/officeDocument/2006/relationships/hyperlink" Target="http://school.gyo6.net/khumantech" TargetMode="External"/><Relationship Id="rId950" Type="http://schemas.openxmlformats.org/officeDocument/2006/relationships/hyperlink" Target="http://school.gyo6.net/yeongcheon-e" TargetMode="External"/><Relationship Id="rId951" Type="http://schemas.openxmlformats.org/officeDocument/2006/relationships/hyperlink" Target="http://school.gyo6.net/gbsw" TargetMode="External"/><Relationship Id="rId952" Type="http://schemas.openxmlformats.org/officeDocument/2006/relationships/hyperlink" Target="http://school.gyo6.net/eseohhs" TargetMode="External"/><Relationship Id="rId953" Type="http://schemas.openxmlformats.org/officeDocument/2006/relationships/hyperlink" Target="http://school.gyo6.net/dongjihs" TargetMode="External"/><Relationship Id="rId954" Type="http://schemas.openxmlformats.org/officeDocument/2006/relationships/hyperlink" Target="http://www.ocheon.hs.kr/" TargetMode="External"/><Relationship Id="rId955" Type="http://schemas.openxmlformats.org/officeDocument/2006/relationships/hyperlink" Target="http://school.gyo6.net/yuseong-g" TargetMode="External"/><Relationship Id="rId956" Type="http://schemas.openxmlformats.org/officeDocument/2006/relationships/hyperlink" Target="http://school.gyo6.net/phds" TargetMode="External"/><Relationship Id="rId957" Type="http://schemas.openxmlformats.org/officeDocument/2006/relationships/hyperlink" Target="http://school.gyo6.net/pocheoltechhs" TargetMode="External"/><Relationship Id="rId958" Type="http://schemas.openxmlformats.org/officeDocument/2006/relationships/hyperlink" Target="http://school.gyo6.net/phmd" TargetMode="External"/><Relationship Id="rId959" Type="http://schemas.openxmlformats.org/officeDocument/2006/relationships/hyperlink" Target="http://school.gyo6.net/gmsung" TargetMode="External"/><Relationship Id="rId960" Type="http://schemas.openxmlformats.org/officeDocument/2006/relationships/hyperlink" Target="http://school.gyo6.net/bonggokes" TargetMode="External"/><Relationship Id="rId961" Type="http://schemas.openxmlformats.org/officeDocument/2006/relationships/hyperlink" Target="http://school.gyo6.net/gumisagok" TargetMode="External"/><Relationship Id="rId962" Type="http://schemas.openxmlformats.org/officeDocument/2006/relationships/hyperlink" Target="http://school.gyo6.net/gumiwondang" TargetMode="External"/><Relationship Id="rId963" Type="http://schemas.openxmlformats.org/officeDocument/2006/relationships/hyperlink" Target="http://school.gyo6.net/gmindeokes" TargetMode="External"/><Relationship Id="rId964" Type="http://schemas.openxmlformats.org/officeDocument/2006/relationships/hyperlink" Target="http://school.gyo6.net/dosan" TargetMode="External"/><Relationship Id="rId965" Type="http://schemas.openxmlformats.org/officeDocument/2006/relationships/hyperlink" Target="http://school.gyo6.net/gumibisanes" TargetMode="External"/><Relationship Id="rId966" Type="http://schemas.openxmlformats.org/officeDocument/2006/relationships/hyperlink" Target="http://school.gyo6.net/seonju" TargetMode="External"/><Relationship Id="rId967" Type="http://schemas.openxmlformats.org/officeDocument/2006/relationships/hyperlink" Target="http://school.gyo6.net/songjeung" TargetMode="External"/><Relationship Id="rId968" Type="http://schemas.openxmlformats.org/officeDocument/2006/relationships/hyperlink" Target="http://school.gyo6.net/yangpo" TargetMode="External"/><Relationship Id="rId969" Type="http://schemas.openxmlformats.org/officeDocument/2006/relationships/hyperlink" Target="http://school.gyo6.net/okgyedongbues" TargetMode="External"/><Relationship Id="rId970" Type="http://schemas.openxmlformats.org/officeDocument/2006/relationships/hyperlink" Target="http://school.gyo6.net/okgyees" TargetMode="External"/><Relationship Id="rId971" Type="http://schemas.openxmlformats.org/officeDocument/2006/relationships/hyperlink" Target="http://school.gyo6.net/wonho" TargetMode="External"/><Relationship Id="rId972" Type="http://schemas.openxmlformats.org/officeDocument/2006/relationships/hyperlink" Target="http://school.gyo6.net/haemaru" TargetMode="External"/><Relationship Id="rId973" Type="http://schemas.openxmlformats.org/officeDocument/2006/relationships/hyperlink" Target="http://school.gyo6.net/dogaehs" TargetMode="External"/><Relationship Id="rId974" Type="http://schemas.openxmlformats.org/officeDocument/2006/relationships/hyperlink" Target="http://school.gyo6.net/indongms" TargetMode="External"/><Relationship Id="rId975" Type="http://schemas.openxmlformats.org/officeDocument/2006/relationships/hyperlink" Target="http://school.gyo6.net/bigdragon" TargetMode="External"/><Relationship Id="rId976" Type="http://schemas.openxmlformats.org/officeDocument/2006/relationships/hyperlink" Target="http://school.gyo6.net/gimcheonms" TargetMode="External"/><Relationship Id="rId977" Type="http://schemas.openxmlformats.org/officeDocument/2006/relationships/hyperlink" Target="http://school.gyo6.net/munseong" TargetMode="External"/><Relationship Id="rId978" Type="http://schemas.openxmlformats.org/officeDocument/2006/relationships/hyperlink" Target="http://school.gyo6.net/seongui1901" TargetMode="External"/><Relationship Id="rId979" Type="http://schemas.openxmlformats.org/officeDocument/2006/relationships/hyperlink" Target="http://school.gyo6.net/jpcm" TargetMode="External"/><Relationship Id="rId980" Type="http://schemas.openxmlformats.org/officeDocument/2006/relationships/hyperlink" Target="http://school.gyo6.net/han" TargetMode="External"/><Relationship Id="rId981" Type="http://schemas.openxmlformats.org/officeDocument/2006/relationships/hyperlink" Target="http://school.gyo6.net/dongro" TargetMode="External"/><Relationship Id="rId982" Type="http://schemas.openxmlformats.org/officeDocument/2006/relationships/hyperlink" Target="http://school.gyo6.net/mojeon" TargetMode="External"/><Relationship Id="rId983" Type="http://schemas.openxmlformats.org/officeDocument/2006/relationships/hyperlink" Target="http://school.gyo6.net/mungyeonges" TargetMode="External"/><Relationship Id="rId984" Type="http://schemas.openxmlformats.org/officeDocument/2006/relationships/hyperlink" Target="http://school.gyo6.net/singie" TargetMode="External"/><Relationship Id="rId985" Type="http://schemas.openxmlformats.org/officeDocument/2006/relationships/hyperlink" Target="http://school.gyo6.net/jeomchonbuk" TargetMode="External"/><Relationship Id="rId986" Type="http://schemas.openxmlformats.org/officeDocument/2006/relationships/hyperlink" Target="http://school.gyo6.net/mulyaes" TargetMode="External"/><Relationship Id="rId987" Type="http://schemas.openxmlformats.org/officeDocument/2006/relationships/hyperlink" Target="http://school.gyo6.net/sangsanes" TargetMode="External"/><Relationship Id="rId988" Type="http://schemas.openxmlformats.org/officeDocument/2006/relationships/hyperlink" Target="http://school.gyo6.net/euncheok" TargetMode="External"/><Relationship Id="rId989" Type="http://schemas.openxmlformats.org/officeDocument/2006/relationships/hyperlink" Target="http://school.gyo6.net/sjjungdong" TargetMode="External"/><Relationship Id="rId990" Type="http://schemas.openxmlformats.org/officeDocument/2006/relationships/hyperlink" Target="http://school.gyo6.net/hamchanges" TargetMode="External"/><Relationship Id="rId991" Type="http://schemas.openxmlformats.org/officeDocument/2006/relationships/hyperlink" Target="http://school.gyo6.net/hamchangms" TargetMode="External"/><Relationship Id="rId992" Type="http://schemas.openxmlformats.org/officeDocument/2006/relationships/hyperlink" Target="http://school.gyo6.net/suryunms" TargetMode="External"/><Relationship Id="rId993" Type="http://schemas.openxmlformats.org/officeDocument/2006/relationships/hyperlink" Target="http://school.gyo6.net/pb" TargetMode="External"/><Relationship Id="rId994" Type="http://schemas.openxmlformats.org/officeDocument/2006/relationships/hyperlink" Target="http://school.gyo6.net/poongsanms" TargetMode="External"/><Relationship Id="rId995" Type="http://schemas.openxmlformats.org/officeDocument/2006/relationships/hyperlink" Target="http://school.gyo6.net/yeongdeokyasung" TargetMode="External"/><Relationship Id="rId996" Type="http://schemas.openxmlformats.org/officeDocument/2006/relationships/hyperlink" Target="http://school.gyo6.net/changsu" TargetMode="External"/><Relationship Id="rId997" Type="http://schemas.openxmlformats.org/officeDocument/2006/relationships/hyperlink" Target="http://school.gyo6.net/yeongyang" TargetMode="External"/><Relationship Id="rId998" Type="http://schemas.openxmlformats.org/officeDocument/2006/relationships/hyperlink" Target="http://school.gyo6.net/il-wol" TargetMode="External"/><Relationship Id="rId999" Type="http://schemas.openxmlformats.org/officeDocument/2006/relationships/hyperlink" Target="http://school.gyo6.net/yjgh" TargetMode="External"/><Relationship Id="rId1000" Type="http://schemas.openxmlformats.org/officeDocument/2006/relationships/hyperlink" Target="http://school.gyo6.net/yjjae" TargetMode="External"/><Relationship Id="rId1001" Type="http://schemas.openxmlformats.org/officeDocument/2006/relationships/hyperlink" Target="http://school.gyo6.net/punggi" TargetMode="External"/><Relationship Id="rId1002" Type="http://schemas.openxmlformats.org/officeDocument/2006/relationships/hyperlink" Target="http://school.gyo6.net/yeonggwang" TargetMode="External"/><Relationship Id="rId1003" Type="http://schemas.openxmlformats.org/officeDocument/2006/relationships/hyperlink" Target="http://school.gyo6.net/yeongju-m" TargetMode="External"/><Relationship Id="rId1004" Type="http://schemas.openxmlformats.org/officeDocument/2006/relationships/hyperlink" Target="http://school.gyo6.net/danpoes" TargetMode="External"/><Relationship Id="rId1005" Type="http://schemas.openxmlformats.org/officeDocument/2006/relationships/hyperlink" Target="http://school.gyo6.net/poeun" TargetMode="External"/><Relationship Id="rId1006" Type="http://schemas.openxmlformats.org/officeDocument/2006/relationships/hyperlink" Target="http://school.gyo6.net/gumhoms" TargetMode="External"/><Relationship Id="rId1007" Type="http://schemas.openxmlformats.org/officeDocument/2006/relationships/hyperlink" Target="http://school.gyo6.net/sandongms" TargetMode="External"/><Relationship Id="rId1008" Type="http://schemas.openxmlformats.org/officeDocument/2006/relationships/hyperlink" Target="http://school.gyo6.net/youngdongms" TargetMode="External"/><Relationship Id="rId1009" Type="http://schemas.openxmlformats.org/officeDocument/2006/relationships/hyperlink" Target="http://school.gyo6.net/yecheones" TargetMode="External"/><Relationship Id="rId1010" Type="http://schemas.openxmlformats.org/officeDocument/2006/relationships/hyperlink" Target="http://school.gyo6.net/homyeong" TargetMode="External"/><Relationship Id="rId1011" Type="http://schemas.openxmlformats.org/officeDocument/2006/relationships/hyperlink" Target="http://school.gyo6.net/e-kiseonges" TargetMode="External"/><Relationship Id="rId1012" Type="http://schemas.openxmlformats.org/officeDocument/2006/relationships/hyperlink" Target="http://school.gyo6.net/bugues" TargetMode="External"/><Relationship Id="rId1013" Type="http://schemas.openxmlformats.org/officeDocument/2006/relationships/hyperlink" Target="http://school.gyo6.net/guchunes" TargetMode="External"/><Relationship Id="rId1014" Type="http://schemas.openxmlformats.org/officeDocument/2006/relationships/hyperlink" Target="http://school.gyo6.net/bian" TargetMode="External"/><Relationship Id="rId1015" Type="http://schemas.openxmlformats.org/officeDocument/2006/relationships/hyperlink" Target="http://school.gyo6.net/nsh" TargetMode="External"/><Relationship Id="rId1016" Type="http://schemas.openxmlformats.org/officeDocument/2006/relationships/hyperlink" Target="http://school.gyo6.net/iseo" TargetMode="External"/><Relationship Id="rId1017" Type="http://schemas.openxmlformats.org/officeDocument/2006/relationships/hyperlink" Target="http://school.gyo6.net/eseoms" TargetMode="External"/><Relationship Id="rId1018" Type="http://schemas.openxmlformats.org/officeDocument/2006/relationships/hyperlink" Target="http://cheongdo.ms.kr/" TargetMode="External"/><Relationship Id="rId1019" Type="http://schemas.openxmlformats.org/officeDocument/2006/relationships/hyperlink" Target="http://school.gyo6.net/jin-sungms" TargetMode="External"/><Relationship Id="rId1020" Type="http://schemas.openxmlformats.org/officeDocument/2006/relationships/hyperlink" Target="http://school.gyo6.net/buk-sames" TargetMode="External"/><Relationship Id="rId1021" Type="http://schemas.openxmlformats.org/officeDocument/2006/relationships/hyperlink" Target="http://school.gyo6.net/waedonges" TargetMode="External"/><Relationship Id="rId1022" Type="http://schemas.openxmlformats.org/officeDocument/2006/relationships/hyperlink" Target="http://school.gyo6.net/wgja" TargetMode="External"/><Relationship Id="rId1023" Type="http://schemas.openxmlformats.org/officeDocument/2006/relationships/hyperlink" Target="http://school.gyo6.net/inpyounges" TargetMode="External"/><Relationship Id="rId1024" Type="http://schemas.openxmlformats.org/officeDocument/2006/relationships/hyperlink" Target="http://school.gyo6.net/janggokes" TargetMode="External"/><Relationship Id="rId1025" Type="http://schemas.openxmlformats.org/officeDocument/2006/relationships/hyperlink" Target="http://school.gyo6.net/booksamms" TargetMode="External"/><Relationship Id="rId1026" Type="http://schemas.openxmlformats.org/officeDocument/2006/relationships/hyperlink" Target="http://school.gyo6.net/daljeon" TargetMode="External"/><Relationship Id="rId1027" Type="http://schemas.openxmlformats.org/officeDocument/2006/relationships/hyperlink" Target="http://school.gyo6.net/daei" TargetMode="External"/><Relationship Id="rId1028" Type="http://schemas.openxmlformats.org/officeDocument/2006/relationships/hyperlink" Target="http://school.gyo6.net/daehae" TargetMode="External"/><Relationship Id="rId1029" Type="http://schemas.openxmlformats.org/officeDocument/2006/relationships/hyperlink" Target="http://school.gyo6.net/munchung" TargetMode="External"/><Relationship Id="rId1030" Type="http://schemas.openxmlformats.org/officeDocument/2006/relationships/hyperlink" Target="http://school.gyo6.net/singwang" TargetMode="External"/><Relationship Id="rId1031" Type="http://schemas.openxmlformats.org/officeDocument/2006/relationships/hyperlink" Target="http://school.gyo6.net/yangseo" TargetMode="External"/><Relationship Id="rId1032" Type="http://schemas.openxmlformats.org/officeDocument/2006/relationships/hyperlink" Target="http://school.gyo6.net/edong" TargetMode="External"/><Relationship Id="rId1033" Type="http://schemas.openxmlformats.org/officeDocument/2006/relationships/hyperlink" Target="http://school.gyo6.net/jukdo" TargetMode="External"/><Relationship Id="rId1034" Type="http://schemas.openxmlformats.org/officeDocument/2006/relationships/hyperlink" Target="http://school.gyo6.net/choseo" TargetMode="External"/><Relationship Id="rId1035" Type="http://schemas.openxmlformats.org/officeDocument/2006/relationships/hyperlink" Target="http://school.gyo6.net/phsges" TargetMode="External"/><Relationship Id="rId1036" Type="http://schemas.openxmlformats.org/officeDocument/2006/relationships/hyperlink" Target="http://school.gyo6.net/ph-one" TargetMode="External"/><Relationship Id="rId1037" Type="http://schemas.openxmlformats.org/officeDocument/2006/relationships/hyperlink" Target="http://school.gyo6.net/posjigok" TargetMode="External"/><Relationship Id="rId1038" Type="http://schemas.openxmlformats.org/officeDocument/2006/relationships/hyperlink" Target="http://school.gyo6.net/posco" TargetMode="External"/><Relationship Id="rId1039" Type="http://schemas.openxmlformats.org/officeDocument/2006/relationships/hyperlink" Target="http://school.gyo6.net/phpentaes" TargetMode="External"/><Relationship Id="rId1040" Type="http://schemas.openxmlformats.org/officeDocument/2006/relationships/hyperlink" Target="http://school.gyo6.net/haeschool" TargetMode="External"/><Relationship Id="rId1041" Type="http://schemas.openxmlformats.org/officeDocument/2006/relationships/hyperlink" Target="http://school.gyo6.net/dreami" TargetMode="External"/><Relationship Id="rId1042" Type="http://schemas.openxmlformats.org/officeDocument/2006/relationships/hyperlink" Target="http://school.gyo6.net/hyojacho" TargetMode="External"/><Relationship Id="rId1043" Type="http://schemas.openxmlformats.org/officeDocument/2006/relationships/hyperlink" Target="http://school.gyo6.net/daedo" TargetMode="External"/><Relationship Id="rId1044" Type="http://schemas.openxmlformats.org/officeDocument/2006/relationships/hyperlink" Target="http://school.gyo6.net/phdaedong" TargetMode="External"/><Relationship Id="rId1045" Type="http://schemas.openxmlformats.org/officeDocument/2006/relationships/hyperlink" Target="http://school.gyo6.net/sgmiddle" TargetMode="External"/><Relationship Id="rId1046" Type="http://schemas.openxmlformats.org/officeDocument/2006/relationships/hyperlink" Target="http://school.gyo6.net/pjh" TargetMode="External"/><Relationship Id="rId1047" Type="http://schemas.openxmlformats.org/officeDocument/2006/relationships/hyperlink" Target="http://school.gyo6.net/cheonghams" TargetMode="External"/><Relationship Id="rId1048" Type="http://schemas.openxmlformats.org/officeDocument/2006/relationships/hyperlink" Target="http://school.gyo6.net/ph-g" TargetMode="External"/><Relationship Id="rId1049" Type="http://schemas.openxmlformats.org/officeDocument/2006/relationships/hyperlink" Target="http://school.gyo6.net/phhangdo" TargetMode="External"/><Relationship Id="rId1050" Type="http://schemas.openxmlformats.org/officeDocument/2006/relationships/hyperlink" Target="http://school.gyo6.net/heunghaems" TargetMode="External"/><Relationship Id="rId105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5" min="3" style="0" width="9"/>
    <col collapsed="false" customWidth="true" hidden="false" outlineLevel="0" max="6" min="6" style="0" width="11"/>
    <col collapsed="false" customWidth="true" hidden="false" outlineLevel="0" max="9" min="7" style="0" width="10"/>
    <col collapsed="false" customWidth="true" hidden="false" outlineLevel="0" max="10" min="10" style="0" width="52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9.85" hidden="false" customHeight="false" outlineLevel="0" collapsed="false">
      <c r="A5" s="4" t="s">
        <v>3</v>
      </c>
      <c r="B5" s="5" t="s">
        <v>4</v>
      </c>
      <c r="C5" s="5" t="s">
        <v>5</v>
      </c>
      <c r="D5" s="4" t="s">
        <v>6</v>
      </c>
      <c r="E5" s="5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6" t="s">
        <v>13</v>
      </c>
      <c r="B6" s="7" t="n">
        <v>182</v>
      </c>
      <c r="C6" s="7" t="n">
        <f aca="false">COUNTIFS('AI 중점학교'!$B$5:$B$989,"서울")</f>
        <v>182</v>
      </c>
      <c r="D6" s="8" t="n">
        <f aca="false">IFERROR(C6/B6,0)</f>
        <v>1</v>
      </c>
      <c r="E6" s="9" t="s">
        <v>14</v>
      </c>
      <c r="F6" s="7" t="s">
        <v>15</v>
      </c>
      <c r="G6" s="7" t="n">
        <f aca="false">COUNTIFS('AI·디지털 선도학교'!$B$5:$B$1058,"서울")</f>
        <v>190</v>
      </c>
      <c r="H6" s="9" t="s">
        <v>14</v>
      </c>
      <c r="I6" s="6" t="n">
        <f aca="false">C6+G6</f>
        <v>372</v>
      </c>
      <c r="J6" s="10"/>
    </row>
    <row r="7" customFormat="false" ht="15" hidden="false" customHeight="false" outlineLevel="0" collapsed="false">
      <c r="A7" s="6" t="s">
        <v>16</v>
      </c>
      <c r="B7" s="7" t="n">
        <v>44</v>
      </c>
      <c r="C7" s="7" t="n">
        <f aca="false">COUNTIFS('AI 중점학교'!$B$5:$B$989,"부산")</f>
        <v>44</v>
      </c>
      <c r="D7" s="8" t="n">
        <f aca="false">IFERROR(C7/B7,0)</f>
        <v>1</v>
      </c>
      <c r="E7" s="9" t="s">
        <v>14</v>
      </c>
      <c r="F7" s="7" t="s">
        <v>15</v>
      </c>
      <c r="G7" s="7" t="n">
        <f aca="false">COUNTIFS('AI·디지털 선도학교'!$B$5:$B$1058,"부산")</f>
        <v>78</v>
      </c>
      <c r="H7" s="9" t="s">
        <v>14</v>
      </c>
      <c r="I7" s="6" t="n">
        <f aca="false">C7+G7</f>
        <v>122</v>
      </c>
      <c r="J7" s="10"/>
    </row>
    <row r="8" customFormat="false" ht="15" hidden="false" customHeight="false" outlineLevel="0" collapsed="false">
      <c r="A8" s="6" t="s">
        <v>17</v>
      </c>
      <c r="B8" s="7" t="n">
        <v>60</v>
      </c>
      <c r="C8" s="7" t="n">
        <f aca="false">COUNTIFS('AI 중점학교'!$B$5:$B$989,"대구")</f>
        <v>60</v>
      </c>
      <c r="D8" s="8" t="n">
        <f aca="false">IFERROR(C8/B8,0)</f>
        <v>1</v>
      </c>
      <c r="E8" s="9" t="s">
        <v>14</v>
      </c>
      <c r="F8" s="7" t="s">
        <v>15</v>
      </c>
      <c r="G8" s="7" t="n">
        <f aca="false">COUNTIFS('AI·디지털 선도학교'!$B$5:$B$1058,"대구")</f>
        <v>125</v>
      </c>
      <c r="H8" s="9" t="s">
        <v>14</v>
      </c>
      <c r="I8" s="6" t="n">
        <f aca="false">C8+G8</f>
        <v>185</v>
      </c>
      <c r="J8" s="10" t="s">
        <v>18</v>
      </c>
    </row>
    <row r="9" customFormat="false" ht="15" hidden="false" customHeight="false" outlineLevel="0" collapsed="false">
      <c r="A9" s="6" t="s">
        <v>19</v>
      </c>
      <c r="B9" s="7" t="n">
        <v>107</v>
      </c>
      <c r="C9" s="7" t="n">
        <f aca="false">COUNTIFS('AI 중점학교'!$B$5:$B$989,"인천")</f>
        <v>107</v>
      </c>
      <c r="D9" s="8" t="n">
        <f aca="false">IFERROR(C9/B9,0)</f>
        <v>1</v>
      </c>
      <c r="E9" s="9" t="s">
        <v>14</v>
      </c>
      <c r="F9" s="7" t="s">
        <v>15</v>
      </c>
      <c r="G9" s="7" t="n">
        <f aca="false">COUNTIFS('AI·디지털 선도학교'!$B$5:$B$1058,"인천")</f>
        <v>73</v>
      </c>
      <c r="H9" s="9" t="s">
        <v>14</v>
      </c>
      <c r="I9" s="6" t="n">
        <f aca="false">C9+G9</f>
        <v>180</v>
      </c>
      <c r="J9" s="11" t="s">
        <v>20</v>
      </c>
    </row>
    <row r="10" customFormat="false" ht="15" hidden="false" customHeight="false" outlineLevel="0" collapsed="false">
      <c r="A10" s="6" t="s">
        <v>21</v>
      </c>
      <c r="B10" s="7" t="n">
        <v>27</v>
      </c>
      <c r="C10" s="7" t="n">
        <f aca="false">COUNTIFS('AI 중점학교'!$B$5:$B$989,"광주")</f>
        <v>27</v>
      </c>
      <c r="D10" s="8" t="n">
        <f aca="false">IFERROR(C10/B10,0)</f>
        <v>1</v>
      </c>
      <c r="E10" s="9" t="s">
        <v>14</v>
      </c>
      <c r="F10" s="7" t="s">
        <v>15</v>
      </c>
      <c r="G10" s="7" t="n">
        <f aca="false">COUNTIFS('AI·디지털 선도학교'!$B$5:$B$1058,"광주")</f>
        <v>40</v>
      </c>
      <c r="H10" s="9" t="s">
        <v>14</v>
      </c>
      <c r="I10" s="6" t="n">
        <f aca="false">C10+G10</f>
        <v>67</v>
      </c>
      <c r="J10" s="10" t="s">
        <v>22</v>
      </c>
    </row>
    <row r="11" customFormat="false" ht="15" hidden="false" customHeight="false" outlineLevel="0" collapsed="false">
      <c r="A11" s="6" t="s">
        <v>23</v>
      </c>
      <c r="B11" s="7" t="n">
        <v>24</v>
      </c>
      <c r="C11" s="7" t="n">
        <f aca="false">COUNTIFS('AI 중점학교'!$B$5:$B$989,"대전")</f>
        <v>22</v>
      </c>
      <c r="D11" s="8" t="n">
        <f aca="false">IFERROR(C11/B11,0)</f>
        <v>0.916666666666667</v>
      </c>
      <c r="E11" s="9" t="s">
        <v>14</v>
      </c>
      <c r="F11" s="7" t="s">
        <v>15</v>
      </c>
      <c r="G11" s="7" t="n">
        <f aca="false">COUNTIFS('AI·디지털 선도학교'!$B$5:$B$1058,"대전")</f>
        <v>35</v>
      </c>
      <c r="H11" s="9" t="s">
        <v>14</v>
      </c>
      <c r="I11" s="6" t="n">
        <f aca="false">C11+G11</f>
        <v>57</v>
      </c>
      <c r="J11" s="10" t="s">
        <v>24</v>
      </c>
    </row>
    <row r="12" customFormat="false" ht="15" hidden="false" customHeight="false" outlineLevel="0" collapsed="false">
      <c r="A12" s="6" t="s">
        <v>25</v>
      </c>
      <c r="B12" s="7" t="n">
        <v>16</v>
      </c>
      <c r="C12" s="7" t="n">
        <f aca="false">COUNTIFS('AI 중점학교'!$B$5:$B$989,"울산")</f>
        <v>16</v>
      </c>
      <c r="D12" s="8" t="n">
        <f aca="false">IFERROR(C12/B12,0)</f>
        <v>1</v>
      </c>
      <c r="E12" s="9" t="s">
        <v>14</v>
      </c>
      <c r="F12" s="7" t="s">
        <v>15</v>
      </c>
      <c r="G12" s="7" t="n">
        <f aca="false">COUNTIFS('AI·디지털 선도학교'!$B$5:$B$1058,"울산")</f>
        <v>28</v>
      </c>
      <c r="H12" s="9" t="s">
        <v>14</v>
      </c>
      <c r="I12" s="6" t="n">
        <f aca="false">C12+G12</f>
        <v>44</v>
      </c>
      <c r="J12" s="10"/>
    </row>
    <row r="13" customFormat="false" ht="15" hidden="false" customHeight="false" outlineLevel="0" collapsed="false">
      <c r="A13" s="6" t="s">
        <v>26</v>
      </c>
      <c r="B13" s="7" t="n">
        <v>42</v>
      </c>
      <c r="C13" s="7" t="n">
        <f aca="false">COUNTIFS('AI 중점학교'!$B$5:$B$989,"세종")</f>
        <v>0</v>
      </c>
      <c r="D13" s="8" t="n">
        <f aca="false">IFERROR(C13/B13,0)</f>
        <v>0</v>
      </c>
      <c r="E13" s="12" t="s">
        <v>27</v>
      </c>
      <c r="F13" s="7" t="s">
        <v>15</v>
      </c>
      <c r="G13" s="7" t="n">
        <f aca="false">COUNTIFS('AI·디지털 선도학교'!$B$5:$B$1058,"세종")</f>
        <v>0</v>
      </c>
      <c r="H13" s="12" t="s">
        <v>27</v>
      </c>
      <c r="I13" s="6" t="n">
        <f aca="false">C13+G13</f>
        <v>0</v>
      </c>
      <c r="J13" s="10" t="s">
        <v>28</v>
      </c>
    </row>
    <row r="14" customFormat="false" ht="29.85" hidden="false" customHeight="false" outlineLevel="0" collapsed="false">
      <c r="A14" s="6" t="s">
        <v>29</v>
      </c>
      <c r="B14" s="7" t="n">
        <v>200</v>
      </c>
      <c r="C14" s="7" t="n">
        <f aca="false">COUNTIFS('AI 중점학교'!$B$5:$B$989,"경기")</f>
        <v>200</v>
      </c>
      <c r="D14" s="8" t="n">
        <f aca="false">IFERROR(C14/B14,0)</f>
        <v>1</v>
      </c>
      <c r="E14" s="9" t="s">
        <v>14</v>
      </c>
      <c r="F14" s="7" t="n">
        <v>350</v>
      </c>
      <c r="G14" s="7" t="n">
        <f aca="false">COUNTIFS('AI·디지털 선도학교'!$B$5:$B$1058,"경기")</f>
        <v>0</v>
      </c>
      <c r="H14" s="12" t="s">
        <v>27</v>
      </c>
      <c r="I14" s="6" t="n">
        <f aca="false">C14+G14</f>
        <v>200</v>
      </c>
      <c r="J14" s="10" t="s">
        <v>30</v>
      </c>
    </row>
    <row r="15" customFormat="false" ht="15" hidden="false" customHeight="false" outlineLevel="0" collapsed="false">
      <c r="A15" s="6" t="s">
        <v>31</v>
      </c>
      <c r="B15" s="7" t="n">
        <v>26</v>
      </c>
      <c r="C15" s="7" t="n">
        <f aca="false">COUNTIFS('AI 중점학교'!$B$5:$B$989,"강원")</f>
        <v>0</v>
      </c>
      <c r="D15" s="8" t="n">
        <f aca="false">IFERROR(C15/B15,0)</f>
        <v>0</v>
      </c>
      <c r="E15" s="12" t="s">
        <v>27</v>
      </c>
      <c r="F15" s="7" t="s">
        <v>15</v>
      </c>
      <c r="G15" s="7" t="n">
        <f aca="false">COUNTIFS('AI·디지털 선도학교'!$B$5:$B$1058,"강원")</f>
        <v>0</v>
      </c>
      <c r="H15" s="12" t="s">
        <v>27</v>
      </c>
      <c r="I15" s="6" t="n">
        <f aca="false">C15+G15</f>
        <v>0</v>
      </c>
      <c r="J15" s="10" t="s">
        <v>28</v>
      </c>
    </row>
    <row r="16" customFormat="false" ht="15" hidden="false" customHeight="false" outlineLevel="0" collapsed="false">
      <c r="A16" s="6" t="s">
        <v>32</v>
      </c>
      <c r="B16" s="7" t="n">
        <v>40</v>
      </c>
      <c r="C16" s="7" t="n">
        <f aca="false">COUNTIFS('AI 중점학교'!$B$5:$B$989,"충북")</f>
        <v>40</v>
      </c>
      <c r="D16" s="8" t="n">
        <f aca="false">IFERROR(C16/B16,0)</f>
        <v>1</v>
      </c>
      <c r="E16" s="9" t="s">
        <v>14</v>
      </c>
      <c r="F16" s="7" t="s">
        <v>15</v>
      </c>
      <c r="G16" s="7" t="n">
        <f aca="false">COUNTIFS('AI·디지털 선도학교'!$B$5:$B$1058,"충북")</f>
        <v>150</v>
      </c>
      <c r="H16" s="9" t="s">
        <v>14</v>
      </c>
      <c r="I16" s="6" t="n">
        <f aca="false">C16+G16</f>
        <v>190</v>
      </c>
      <c r="J16" s="10"/>
    </row>
    <row r="17" customFormat="false" ht="15" hidden="false" customHeight="false" outlineLevel="0" collapsed="false">
      <c r="A17" s="6" t="s">
        <v>33</v>
      </c>
      <c r="B17" s="7" t="n">
        <v>113</v>
      </c>
      <c r="C17" s="7" t="n">
        <f aca="false">COUNTIFS('AI 중점학교'!$B$5:$B$989,"충남")</f>
        <v>0</v>
      </c>
      <c r="D17" s="8" t="n">
        <f aca="false">IFERROR(C17/B17,0)</f>
        <v>0</v>
      </c>
      <c r="E17" s="12" t="s">
        <v>27</v>
      </c>
      <c r="F17" s="7" t="s">
        <v>15</v>
      </c>
      <c r="G17" s="7" t="n">
        <f aca="false">COUNTIFS('AI·디지털 선도학교'!$B$5:$B$1058,"충남")</f>
        <v>0</v>
      </c>
      <c r="H17" s="12" t="s">
        <v>27</v>
      </c>
      <c r="I17" s="6" t="n">
        <f aca="false">C17+G17</f>
        <v>0</v>
      </c>
      <c r="J17" s="10" t="s">
        <v>28</v>
      </c>
    </row>
    <row r="18" customFormat="false" ht="15" hidden="false" customHeight="false" outlineLevel="0" collapsed="false">
      <c r="A18" s="6" t="s">
        <v>34</v>
      </c>
      <c r="B18" s="7" t="n">
        <v>81</v>
      </c>
      <c r="C18" s="7" t="n">
        <f aca="false">COUNTIFS('AI 중점학교'!$B$5:$B$989,"전북")</f>
        <v>81</v>
      </c>
      <c r="D18" s="8" t="n">
        <f aca="false">IFERROR(C18/B18,0)</f>
        <v>1</v>
      </c>
      <c r="E18" s="9" t="s">
        <v>14</v>
      </c>
      <c r="F18" s="7" t="s">
        <v>15</v>
      </c>
      <c r="G18" s="7" t="n">
        <f aca="false">COUNTIFS('AI·디지털 선도학교'!$B$5:$B$1058,"전북")</f>
        <v>100</v>
      </c>
      <c r="H18" s="9" t="s">
        <v>14</v>
      </c>
      <c r="I18" s="6" t="n">
        <f aca="false">C18+G18</f>
        <v>181</v>
      </c>
      <c r="J18" s="10"/>
    </row>
    <row r="19" customFormat="false" ht="29.85" hidden="false" customHeight="false" outlineLevel="0" collapsed="false">
      <c r="A19" s="6" t="s">
        <v>35</v>
      </c>
      <c r="B19" s="7" t="n">
        <v>34</v>
      </c>
      <c r="C19" s="7" t="n">
        <f aca="false">COUNTIFS('AI 중점학교'!$B$5:$B$989,"전남")</f>
        <v>62</v>
      </c>
      <c r="D19" s="8" t="n">
        <f aca="false">IFERROR(C19/B19,0)</f>
        <v>1.82352941176471</v>
      </c>
      <c r="E19" s="9" t="s">
        <v>14</v>
      </c>
      <c r="F19" s="7" t="s">
        <v>15</v>
      </c>
      <c r="G19" s="7" t="n">
        <f aca="false">COUNTIFS('AI·디지털 선도학교'!$B$5:$B$1058,"전남")</f>
        <v>85</v>
      </c>
      <c r="H19" s="9" t="s">
        <v>14</v>
      </c>
      <c r="I19" s="6" t="n">
        <f aca="false">C19+G19</f>
        <v>147</v>
      </c>
      <c r="J19" s="10" t="s">
        <v>36</v>
      </c>
    </row>
    <row r="20" customFormat="false" ht="15" hidden="false" customHeight="false" outlineLevel="0" collapsed="false">
      <c r="A20" s="6" t="s">
        <v>37</v>
      </c>
      <c r="B20" s="7" t="n">
        <v>85</v>
      </c>
      <c r="C20" s="7" t="n">
        <f aca="false">COUNTIFS('AI 중점학교'!$B$5:$B$989,"경북")</f>
        <v>84</v>
      </c>
      <c r="D20" s="8" t="n">
        <f aca="false">IFERROR(C20/B20,0)</f>
        <v>0.988235294117647</v>
      </c>
      <c r="E20" s="9" t="s">
        <v>14</v>
      </c>
      <c r="F20" s="7" t="s">
        <v>15</v>
      </c>
      <c r="G20" s="7" t="n">
        <f aca="false">COUNTIFS('AI·디지털 선도학교'!$B$5:$B$1058,"경북")</f>
        <v>150</v>
      </c>
      <c r="H20" s="9" t="s">
        <v>14</v>
      </c>
      <c r="I20" s="6" t="n">
        <f aca="false">C20+G20</f>
        <v>234</v>
      </c>
      <c r="J20" s="10" t="s">
        <v>38</v>
      </c>
    </row>
    <row r="21" customFormat="false" ht="15" hidden="false" customHeight="false" outlineLevel="0" collapsed="false">
      <c r="A21" s="6" t="s">
        <v>39</v>
      </c>
      <c r="B21" s="7" t="n">
        <v>49</v>
      </c>
      <c r="C21" s="7" t="n">
        <f aca="false">COUNTIFS('AI 중점학교'!$B$5:$B$989,"경남")</f>
        <v>49</v>
      </c>
      <c r="D21" s="8" t="n">
        <f aca="false">IFERROR(C21/B21,0)</f>
        <v>1</v>
      </c>
      <c r="E21" s="9" t="s">
        <v>14</v>
      </c>
      <c r="F21" s="7" t="s">
        <v>15</v>
      </c>
      <c r="G21" s="7" t="n">
        <f aca="false">COUNTIFS('AI·디지털 선도학교'!$B$5:$B$1058,"경남")</f>
        <v>0</v>
      </c>
      <c r="H21" s="12" t="s">
        <v>27</v>
      </c>
      <c r="I21" s="6" t="n">
        <f aca="false">C21+G21</f>
        <v>49</v>
      </c>
      <c r="J21" s="11" t="s">
        <v>40</v>
      </c>
    </row>
    <row r="22" customFormat="false" ht="15" hidden="false" customHeight="false" outlineLevel="0" collapsed="false">
      <c r="A22" s="6" t="s">
        <v>41</v>
      </c>
      <c r="B22" s="7" t="n">
        <v>11</v>
      </c>
      <c r="C22" s="7" t="n">
        <f aca="false">COUNTIFS('AI 중점학교'!$B$5:$B$989,"제주")</f>
        <v>11</v>
      </c>
      <c r="D22" s="8" t="n">
        <f aca="false">IFERROR(C22/B22,0)</f>
        <v>1</v>
      </c>
      <c r="E22" s="9" t="s">
        <v>14</v>
      </c>
      <c r="F22" s="7" t="n">
        <v>50</v>
      </c>
      <c r="G22" s="7" t="n">
        <f aca="false">COUNTIFS('AI·디지털 선도학교'!$B$5:$B$1058,"제주")</f>
        <v>0</v>
      </c>
      <c r="H22" s="12" t="s">
        <v>27</v>
      </c>
      <c r="I22" s="6" t="n">
        <f aca="false">C22+G22</f>
        <v>11</v>
      </c>
      <c r="J22" s="11" t="s">
        <v>42</v>
      </c>
    </row>
    <row r="23" customFormat="false" ht="15" hidden="false" customHeight="false" outlineLevel="0" collapsed="false">
      <c r="A23" s="13" t="s">
        <v>43</v>
      </c>
      <c r="B23" s="13" t="n">
        <f aca="false">SUM(B6:B22)</f>
        <v>1141</v>
      </c>
      <c r="C23" s="13" t="n">
        <f aca="false">SUM(C6:C22)</f>
        <v>985</v>
      </c>
      <c r="D23" s="14" t="n">
        <f aca="false">IFERROR(C23/B23,0)</f>
        <v>0.863277826468011</v>
      </c>
      <c r="E23" s="15" t="s">
        <v>44</v>
      </c>
      <c r="F23" s="15" t="s">
        <v>15</v>
      </c>
      <c r="G23" s="13" t="n">
        <f aca="false">SUM(G6:G22)</f>
        <v>1054</v>
      </c>
      <c r="H23" s="15" t="s">
        <v>45</v>
      </c>
      <c r="I23" s="13" t="n">
        <f aca="false">SUM(I6:I22)</f>
        <v>2039</v>
      </c>
      <c r="J23" s="16"/>
    </row>
    <row r="25" customFormat="false" ht="17.15" hidden="false" customHeight="false" outlineLevel="0" collapsed="false">
      <c r="A25" s="17" t="s">
        <v>46</v>
      </c>
    </row>
    <row r="26" customFormat="false" ht="15" hidden="false" customHeight="false" outlineLevel="0" collapsed="false">
      <c r="A26" s="4" t="s">
        <v>3</v>
      </c>
      <c r="B26" s="4" t="s">
        <v>47</v>
      </c>
      <c r="C26" s="4" t="s">
        <v>48</v>
      </c>
      <c r="D26" s="4" t="s">
        <v>49</v>
      </c>
      <c r="E26" s="4" t="s">
        <v>50</v>
      </c>
      <c r="F26" s="4" t="s">
        <v>51</v>
      </c>
      <c r="G26" s="4" t="s">
        <v>52</v>
      </c>
    </row>
    <row r="27" customFormat="false" ht="15" hidden="false" customHeight="false" outlineLevel="0" collapsed="false">
      <c r="A27" s="6" t="s">
        <v>13</v>
      </c>
      <c r="B27" s="7" t="n">
        <f aca="false">COUNTIFS('AI 중점학교'!$B$5:$B$989,"서울",'AI 중점학교'!$E$5:$E$989,"초")</f>
        <v>78</v>
      </c>
      <c r="C27" s="7" t="n">
        <f aca="false">COUNTIFS('AI 중점학교'!$B$5:$B$989,"서울",'AI 중점학교'!$E$5:$E$989,"중")</f>
        <v>46</v>
      </c>
      <c r="D27" s="7" t="n">
        <f aca="false">COUNTIFS('AI 중점학교'!$B$5:$B$989,"서울",'AI 중점학교'!$E$5:$E$989,"고")</f>
        <v>55</v>
      </c>
      <c r="E27" s="7" t="n">
        <f aca="false">COUNTIFS('AI 중점학교'!$B$5:$B$989,"서울",'AI 중점학교'!$E$5:$E$989,"특수/기타")</f>
        <v>3</v>
      </c>
      <c r="F27" s="6" t="n">
        <f aca="false">SUM(B27:E27)</f>
        <v>182</v>
      </c>
      <c r="G27" s="7" t="n">
        <f aca="false">COUNTIFS('AI 중점학교'!$B$5:$B$989,"서울",'AI 중점학교'!$I$5:$I$989,"O")</f>
        <v>0</v>
      </c>
    </row>
    <row r="28" customFormat="false" ht="15" hidden="false" customHeight="false" outlineLevel="0" collapsed="false">
      <c r="A28" s="6" t="s">
        <v>16</v>
      </c>
      <c r="B28" s="7" t="n">
        <f aca="false">COUNTIFS('AI 중점학교'!$B$5:$B$989,"부산",'AI 중점학교'!$E$5:$E$989,"초")</f>
        <v>19</v>
      </c>
      <c r="C28" s="7" t="n">
        <f aca="false">COUNTIFS('AI 중점학교'!$B$5:$B$989,"부산",'AI 중점학교'!$E$5:$E$989,"중")</f>
        <v>4</v>
      </c>
      <c r="D28" s="7" t="n">
        <f aca="false">COUNTIFS('AI 중점학교'!$B$5:$B$989,"부산",'AI 중점학교'!$E$5:$E$989,"고")</f>
        <v>17</v>
      </c>
      <c r="E28" s="7" t="n">
        <f aca="false">COUNTIFS('AI 중점학교'!$B$5:$B$989,"부산",'AI 중점학교'!$E$5:$E$989,"특수/기타")</f>
        <v>4</v>
      </c>
      <c r="F28" s="6" t="n">
        <f aca="false">SUM(B28:E28)</f>
        <v>44</v>
      </c>
      <c r="G28" s="7" t="n">
        <f aca="false">COUNTIFS('AI 중점학교'!$B$5:$B$989,"부산",'AI 중점학교'!$I$5:$I$989,"O")</f>
        <v>25</v>
      </c>
    </row>
    <row r="29" customFormat="false" ht="15" hidden="false" customHeight="false" outlineLevel="0" collapsed="false">
      <c r="A29" s="6" t="s">
        <v>17</v>
      </c>
      <c r="B29" s="7" t="n">
        <f aca="false">COUNTIFS('AI 중점학교'!$B$5:$B$989,"대구",'AI 중점학교'!$E$5:$E$989,"초")</f>
        <v>21</v>
      </c>
      <c r="C29" s="7" t="n">
        <f aca="false">COUNTIFS('AI 중점학교'!$B$5:$B$989,"대구",'AI 중점학교'!$E$5:$E$989,"중")</f>
        <v>32</v>
      </c>
      <c r="D29" s="7" t="n">
        <f aca="false">COUNTIFS('AI 중점학교'!$B$5:$B$989,"대구",'AI 중점학교'!$E$5:$E$989,"고")</f>
        <v>7</v>
      </c>
      <c r="E29" s="7" t="n">
        <f aca="false">COUNTIFS('AI 중점학교'!$B$5:$B$989,"대구",'AI 중점학교'!$E$5:$E$989,"특수/기타")</f>
        <v>0</v>
      </c>
      <c r="F29" s="6" t="n">
        <f aca="false">SUM(B29:E29)</f>
        <v>60</v>
      </c>
      <c r="G29" s="7" t="n">
        <f aca="false">COUNTIFS('AI 중점학교'!$B$5:$B$989,"대구",'AI 중점학교'!$I$5:$I$989,"O")</f>
        <v>18</v>
      </c>
    </row>
    <row r="30" customFormat="false" ht="15" hidden="false" customHeight="false" outlineLevel="0" collapsed="false">
      <c r="A30" s="6" t="s">
        <v>19</v>
      </c>
      <c r="B30" s="7" t="n">
        <f aca="false">COUNTIFS('AI 중점학교'!$B$5:$B$989,"인천",'AI 중점학교'!$E$5:$E$989,"초")</f>
        <v>36</v>
      </c>
      <c r="C30" s="7" t="n">
        <f aca="false">COUNTIFS('AI 중점학교'!$B$5:$B$989,"인천",'AI 중점학교'!$E$5:$E$989,"중")</f>
        <v>37</v>
      </c>
      <c r="D30" s="7" t="n">
        <f aca="false">COUNTIFS('AI 중점학교'!$B$5:$B$989,"인천",'AI 중점학교'!$E$5:$E$989,"고")</f>
        <v>33</v>
      </c>
      <c r="E30" s="7" t="n">
        <f aca="false">COUNTIFS('AI 중점학교'!$B$5:$B$989,"인천",'AI 중점학교'!$E$5:$E$989,"특수/기타")</f>
        <v>1</v>
      </c>
      <c r="F30" s="6" t="n">
        <f aca="false">SUM(B30:E30)</f>
        <v>107</v>
      </c>
      <c r="G30" s="7" t="n">
        <f aca="false">COUNTIFS('AI 중점학교'!$B$5:$B$989,"인천",'AI 중점학교'!$I$5:$I$989,"O")</f>
        <v>2</v>
      </c>
    </row>
    <row r="31" customFormat="false" ht="15" hidden="false" customHeight="false" outlineLevel="0" collapsed="false">
      <c r="A31" s="6" t="s">
        <v>21</v>
      </c>
      <c r="B31" s="7" t="n">
        <f aca="false">COUNTIFS('AI 중점학교'!$B$5:$B$989,"광주",'AI 중점학교'!$E$5:$E$989,"초")</f>
        <v>13</v>
      </c>
      <c r="C31" s="7" t="n">
        <f aca="false">COUNTIFS('AI 중점학교'!$B$5:$B$989,"광주",'AI 중점학교'!$E$5:$E$989,"중")</f>
        <v>7</v>
      </c>
      <c r="D31" s="7" t="n">
        <f aca="false">COUNTIFS('AI 중점학교'!$B$5:$B$989,"광주",'AI 중점학교'!$E$5:$E$989,"고")</f>
        <v>7</v>
      </c>
      <c r="E31" s="7" t="n">
        <f aca="false">COUNTIFS('AI 중점학교'!$B$5:$B$989,"광주",'AI 중점학교'!$E$5:$E$989,"특수/기타")</f>
        <v>0</v>
      </c>
      <c r="F31" s="6" t="n">
        <f aca="false">SUM(B31:E31)</f>
        <v>27</v>
      </c>
      <c r="G31" s="7" t="n">
        <f aca="false">COUNTIFS('AI 중점학교'!$B$5:$B$989,"광주",'AI 중점학교'!$I$5:$I$989,"O")</f>
        <v>3</v>
      </c>
    </row>
    <row r="32" customFormat="false" ht="15" hidden="false" customHeight="false" outlineLevel="0" collapsed="false">
      <c r="A32" s="6" t="s">
        <v>23</v>
      </c>
      <c r="B32" s="7" t="n">
        <f aca="false">COUNTIFS('AI 중점학교'!$B$5:$B$989,"대전",'AI 중점학교'!$E$5:$E$989,"초")</f>
        <v>6</v>
      </c>
      <c r="C32" s="7" t="n">
        <f aca="false">COUNTIFS('AI 중점학교'!$B$5:$B$989,"대전",'AI 중점학교'!$E$5:$E$989,"중")</f>
        <v>7</v>
      </c>
      <c r="D32" s="7" t="n">
        <f aca="false">COUNTIFS('AI 중점학교'!$B$5:$B$989,"대전",'AI 중점학교'!$E$5:$E$989,"고")</f>
        <v>9</v>
      </c>
      <c r="E32" s="7" t="n">
        <f aca="false">COUNTIFS('AI 중점학교'!$B$5:$B$989,"대전",'AI 중점학교'!$E$5:$E$989,"특수/기타")</f>
        <v>0</v>
      </c>
      <c r="F32" s="6" t="n">
        <f aca="false">SUM(B32:E32)</f>
        <v>22</v>
      </c>
      <c r="G32" s="7" t="n">
        <f aca="false">COUNTIFS('AI 중점학교'!$B$5:$B$989,"대전",'AI 중점학교'!$I$5:$I$989,"O")</f>
        <v>7</v>
      </c>
    </row>
    <row r="33" customFormat="false" ht="15" hidden="false" customHeight="false" outlineLevel="0" collapsed="false">
      <c r="A33" s="6" t="s">
        <v>25</v>
      </c>
      <c r="B33" s="7" t="n">
        <f aca="false">COUNTIFS('AI 중점학교'!$B$5:$B$989,"울산",'AI 중점학교'!$E$5:$E$989,"초")</f>
        <v>7</v>
      </c>
      <c r="C33" s="7" t="n">
        <f aca="false">COUNTIFS('AI 중점학교'!$B$5:$B$989,"울산",'AI 중점학교'!$E$5:$E$989,"중")</f>
        <v>4</v>
      </c>
      <c r="D33" s="7" t="n">
        <f aca="false">COUNTIFS('AI 중점학교'!$B$5:$B$989,"울산",'AI 중점학교'!$E$5:$E$989,"고")</f>
        <v>5</v>
      </c>
      <c r="E33" s="7" t="n">
        <f aca="false">COUNTIFS('AI 중점학교'!$B$5:$B$989,"울산",'AI 중점학교'!$E$5:$E$989,"특수/기타")</f>
        <v>0</v>
      </c>
      <c r="F33" s="6" t="n">
        <f aca="false">SUM(B33:E33)</f>
        <v>16</v>
      </c>
      <c r="G33" s="7" t="n">
        <f aca="false">COUNTIFS('AI 중점학교'!$B$5:$B$989,"울산",'AI 중점학교'!$I$5:$I$989,"O")</f>
        <v>0</v>
      </c>
    </row>
    <row r="34" customFormat="false" ht="15" hidden="false" customHeight="false" outlineLevel="0" collapsed="false">
      <c r="A34" s="6" t="s">
        <v>29</v>
      </c>
      <c r="B34" s="7" t="n">
        <f aca="false">COUNTIFS('AI 중점학교'!$B$5:$B$989,"경기",'AI 중점학교'!$E$5:$E$989,"초")</f>
        <v>98</v>
      </c>
      <c r="C34" s="7" t="n">
        <f aca="false">COUNTIFS('AI 중점학교'!$B$5:$B$989,"경기",'AI 중점학교'!$E$5:$E$989,"중")</f>
        <v>46</v>
      </c>
      <c r="D34" s="7" t="n">
        <f aca="false">COUNTIFS('AI 중점학교'!$B$5:$B$989,"경기",'AI 중점학교'!$E$5:$E$989,"고")</f>
        <v>55</v>
      </c>
      <c r="E34" s="7" t="n">
        <f aca="false">COUNTIFS('AI 중점학교'!$B$5:$B$989,"경기",'AI 중점학교'!$E$5:$E$989,"특수/기타")</f>
        <v>1</v>
      </c>
      <c r="F34" s="6" t="n">
        <f aca="false">SUM(B34:E34)</f>
        <v>200</v>
      </c>
      <c r="G34" s="7" t="n">
        <f aca="false">COUNTIFS('AI 중점학교'!$B$5:$B$989,"경기",'AI 중점학교'!$I$5:$I$989,"O")</f>
        <v>0</v>
      </c>
    </row>
    <row r="35" customFormat="false" ht="15" hidden="false" customHeight="false" outlineLevel="0" collapsed="false">
      <c r="A35" s="6" t="s">
        <v>32</v>
      </c>
      <c r="B35" s="7" t="n">
        <f aca="false">COUNTIFS('AI 중점학교'!$B$5:$B$989,"충북",'AI 중점학교'!$E$5:$E$989,"초")</f>
        <v>22</v>
      </c>
      <c r="C35" s="7" t="n">
        <f aca="false">COUNTIFS('AI 중점학교'!$B$5:$B$989,"충북",'AI 중점학교'!$E$5:$E$989,"중")</f>
        <v>5</v>
      </c>
      <c r="D35" s="7" t="n">
        <f aca="false">COUNTIFS('AI 중점학교'!$B$5:$B$989,"충북",'AI 중점학교'!$E$5:$E$989,"고")</f>
        <v>11</v>
      </c>
      <c r="E35" s="7" t="n">
        <f aca="false">COUNTIFS('AI 중점학교'!$B$5:$B$989,"충북",'AI 중점학교'!$E$5:$E$989,"특수/기타")</f>
        <v>2</v>
      </c>
      <c r="F35" s="6" t="n">
        <f aca="false">SUM(B35:E35)</f>
        <v>40</v>
      </c>
      <c r="G35" s="7" t="n">
        <f aca="false">COUNTIFS('AI 중점학교'!$B$5:$B$989,"충북",'AI 중점학교'!$I$5:$I$989,"O")</f>
        <v>25</v>
      </c>
    </row>
    <row r="36" customFormat="false" ht="15" hidden="false" customHeight="false" outlineLevel="0" collapsed="false">
      <c r="A36" s="6" t="s">
        <v>34</v>
      </c>
      <c r="B36" s="7" t="n">
        <f aca="false">COUNTIFS('AI 중점학교'!$B$5:$B$989,"전북",'AI 중점학교'!$E$5:$E$989,"초")</f>
        <v>51</v>
      </c>
      <c r="C36" s="7" t="n">
        <f aca="false">COUNTIFS('AI 중점학교'!$B$5:$B$989,"전북",'AI 중점학교'!$E$5:$E$989,"중")</f>
        <v>15</v>
      </c>
      <c r="D36" s="7" t="n">
        <f aca="false">COUNTIFS('AI 중점학교'!$B$5:$B$989,"전북",'AI 중점학교'!$E$5:$E$989,"고")</f>
        <v>13</v>
      </c>
      <c r="E36" s="7" t="n">
        <f aca="false">COUNTIFS('AI 중점학교'!$B$5:$B$989,"전북",'AI 중점학교'!$E$5:$E$989,"특수/기타")</f>
        <v>2</v>
      </c>
      <c r="F36" s="6" t="n">
        <f aca="false">SUM(B36:E36)</f>
        <v>81</v>
      </c>
      <c r="G36" s="7" t="n">
        <f aca="false">COUNTIFS('AI 중점학교'!$B$5:$B$989,"전북",'AI 중점학교'!$I$5:$I$989,"O")</f>
        <v>23</v>
      </c>
    </row>
    <row r="37" customFormat="false" ht="15" hidden="false" customHeight="false" outlineLevel="0" collapsed="false">
      <c r="A37" s="6" t="s">
        <v>35</v>
      </c>
      <c r="B37" s="7" t="n">
        <f aca="false">COUNTIFS('AI 중점학교'!$B$5:$B$989,"전남",'AI 중점학교'!$E$5:$E$989,"초")</f>
        <v>28</v>
      </c>
      <c r="C37" s="7" t="n">
        <f aca="false">COUNTIFS('AI 중점학교'!$B$5:$B$989,"전남",'AI 중점학교'!$E$5:$E$989,"중")</f>
        <v>18</v>
      </c>
      <c r="D37" s="7" t="n">
        <f aca="false">COUNTIFS('AI 중점학교'!$B$5:$B$989,"전남",'AI 중점학교'!$E$5:$E$989,"고")</f>
        <v>16</v>
      </c>
      <c r="E37" s="7" t="n">
        <f aca="false">COUNTIFS('AI 중점학교'!$B$5:$B$989,"전남",'AI 중점학교'!$E$5:$E$989,"특수/기타")</f>
        <v>0</v>
      </c>
      <c r="F37" s="6" t="n">
        <f aca="false">SUM(B37:E37)</f>
        <v>62</v>
      </c>
      <c r="G37" s="7" t="n">
        <f aca="false">COUNTIFS('AI 중점학교'!$B$5:$B$989,"전남",'AI 중점학교'!$I$5:$I$989,"O")</f>
        <v>19</v>
      </c>
    </row>
    <row r="38" customFormat="false" ht="15" hidden="false" customHeight="false" outlineLevel="0" collapsed="false">
      <c r="A38" s="6" t="s">
        <v>37</v>
      </c>
      <c r="B38" s="7" t="n">
        <f aca="false">COUNTIFS('AI 중점학교'!$B$5:$B$989,"경북",'AI 중점학교'!$E$5:$E$989,"초")</f>
        <v>44</v>
      </c>
      <c r="C38" s="7" t="n">
        <f aca="false">COUNTIFS('AI 중점학교'!$B$5:$B$989,"경북",'AI 중점학교'!$E$5:$E$989,"중")</f>
        <v>15</v>
      </c>
      <c r="D38" s="7" t="n">
        <f aca="false">COUNTIFS('AI 중점학교'!$B$5:$B$989,"경북",'AI 중점학교'!$E$5:$E$989,"고")</f>
        <v>23</v>
      </c>
      <c r="E38" s="7" t="n">
        <f aca="false">COUNTIFS('AI 중점학교'!$B$5:$B$989,"경북",'AI 중점학교'!$E$5:$E$989,"특수/기타")</f>
        <v>2</v>
      </c>
      <c r="F38" s="6" t="n">
        <f aca="false">SUM(B38:E38)</f>
        <v>84</v>
      </c>
      <c r="G38" s="7" t="n">
        <f aca="false">COUNTIFS('AI 중점학교'!$B$5:$B$989,"경북",'AI 중점학교'!$I$5:$I$989,"O")</f>
        <v>23</v>
      </c>
    </row>
    <row r="39" customFormat="false" ht="15" hidden="false" customHeight="false" outlineLevel="0" collapsed="false">
      <c r="A39" s="6" t="s">
        <v>39</v>
      </c>
      <c r="B39" s="7" t="n">
        <f aca="false">COUNTIFS('AI 중점학교'!$B$5:$B$989,"경남",'AI 중점학교'!$E$5:$E$989,"초")</f>
        <v>29</v>
      </c>
      <c r="C39" s="7" t="n">
        <f aca="false">COUNTIFS('AI 중점학교'!$B$5:$B$989,"경남",'AI 중점학교'!$E$5:$E$989,"중")</f>
        <v>4</v>
      </c>
      <c r="D39" s="7" t="n">
        <f aca="false">COUNTIFS('AI 중점학교'!$B$5:$B$989,"경남",'AI 중점학교'!$E$5:$E$989,"고")</f>
        <v>16</v>
      </c>
      <c r="E39" s="7" t="n">
        <f aca="false">COUNTIFS('AI 중점학교'!$B$5:$B$989,"경남",'AI 중점학교'!$E$5:$E$989,"특수/기타")</f>
        <v>0</v>
      </c>
      <c r="F39" s="6" t="n">
        <f aca="false">SUM(B39:E39)</f>
        <v>49</v>
      </c>
      <c r="G39" s="7" t="n">
        <f aca="false">COUNTIFS('AI 중점학교'!$B$5:$B$989,"경남",'AI 중점학교'!$I$5:$I$989,"O")</f>
        <v>0</v>
      </c>
    </row>
    <row r="40" customFormat="false" ht="15" hidden="false" customHeight="false" outlineLevel="0" collapsed="false">
      <c r="A40" s="6" t="s">
        <v>41</v>
      </c>
      <c r="B40" s="7" t="n">
        <f aca="false">COUNTIFS('AI 중점학교'!$B$5:$B$989,"제주",'AI 중점학교'!$E$5:$E$989,"초")</f>
        <v>3</v>
      </c>
      <c r="C40" s="7" t="n">
        <f aca="false">COUNTIFS('AI 중점학교'!$B$5:$B$989,"제주",'AI 중점학교'!$E$5:$E$989,"중")</f>
        <v>0</v>
      </c>
      <c r="D40" s="7" t="n">
        <f aca="false">COUNTIFS('AI 중점학교'!$B$5:$B$989,"제주",'AI 중점학교'!$E$5:$E$989,"고")</f>
        <v>8</v>
      </c>
      <c r="E40" s="7" t="n">
        <f aca="false">COUNTIFS('AI 중점학교'!$B$5:$B$989,"제주",'AI 중점학교'!$E$5:$E$989,"특수/기타")</f>
        <v>0</v>
      </c>
      <c r="F40" s="6" t="n">
        <f aca="false">SUM(B40:E40)</f>
        <v>11</v>
      </c>
      <c r="G40" s="7" t="n">
        <f aca="false">COUNTIFS('AI 중점학교'!$B$5:$B$989,"제주",'AI 중점학교'!$I$5:$I$989,"O")</f>
        <v>0</v>
      </c>
    </row>
    <row r="41" customFormat="false" ht="15" hidden="false" customHeight="false" outlineLevel="0" collapsed="false">
      <c r="A41" s="13" t="s">
        <v>51</v>
      </c>
      <c r="B41" s="13" t="n">
        <f aca="false">SUM(B27:B40)</f>
        <v>455</v>
      </c>
      <c r="C41" s="13" t="n">
        <f aca="false">SUM(C27:C40)</f>
        <v>240</v>
      </c>
      <c r="D41" s="13" t="n">
        <f aca="false">SUM(D27:D40)</f>
        <v>275</v>
      </c>
      <c r="E41" s="13" t="n">
        <f aca="false">SUM(E27:E40)</f>
        <v>15</v>
      </c>
      <c r="F41" s="13" t="n">
        <f aca="false">SUM(F27:F40)</f>
        <v>985</v>
      </c>
      <c r="G41" s="13" t="n">
        <f aca="false">SUM(G27:G40)</f>
        <v>145</v>
      </c>
    </row>
    <row r="43" customFormat="false" ht="17.15" hidden="false" customHeight="false" outlineLevel="0" collapsed="false">
      <c r="A43" s="17" t="s">
        <v>53</v>
      </c>
    </row>
    <row r="44" customFormat="false" ht="15" hidden="false" customHeight="false" outlineLevel="0" collapsed="false">
      <c r="A44" s="4" t="s">
        <v>3</v>
      </c>
      <c r="B44" s="4" t="s">
        <v>47</v>
      </c>
      <c r="C44" s="4" t="s">
        <v>48</v>
      </c>
      <c r="D44" s="4" t="s">
        <v>49</v>
      </c>
      <c r="E44" s="4" t="s">
        <v>50</v>
      </c>
      <c r="F44" s="4" t="s">
        <v>51</v>
      </c>
      <c r="G44" s="4" t="s">
        <v>52</v>
      </c>
    </row>
    <row r="45" customFormat="false" ht="15" hidden="false" customHeight="false" outlineLevel="0" collapsed="false">
      <c r="A45" s="6" t="s">
        <v>13</v>
      </c>
      <c r="B45" s="7" t="n">
        <f aca="false">COUNTIFS('AI·디지털 선도학교'!$B$5:$B$1058,"서울",'AI·디지털 선도학교'!$E$5:$E$1058,"초")</f>
        <v>91</v>
      </c>
      <c r="C45" s="7" t="n">
        <f aca="false">COUNTIFS('AI·디지털 선도학교'!$B$5:$B$1058,"서울",'AI·디지털 선도학교'!$E$5:$E$1058,"중")</f>
        <v>56</v>
      </c>
      <c r="D45" s="7" t="n">
        <f aca="false">COUNTIFS('AI·디지털 선도학교'!$B$5:$B$1058,"서울",'AI·디지털 선도학교'!$E$5:$E$1058,"고")</f>
        <v>43</v>
      </c>
      <c r="E45" s="7" t="n">
        <f aca="false">COUNTIFS('AI·디지털 선도학교'!$B$5:$B$1058,"서울",'AI·디지털 선도학교'!$E$5:$E$1058,"특수/기타")</f>
        <v>0</v>
      </c>
      <c r="F45" s="6" t="n">
        <f aca="false">SUM(B45:E45)</f>
        <v>190</v>
      </c>
      <c r="G45" s="7" t="n">
        <f aca="false">COUNTIFS('AI·디지털 선도학교'!$B$5:$B$1058,"서울",'AI·디지털 선도학교'!$I$5:$I$1058,"O")</f>
        <v>0</v>
      </c>
    </row>
    <row r="46" customFormat="false" ht="15" hidden="false" customHeight="false" outlineLevel="0" collapsed="false">
      <c r="A46" s="6" t="s">
        <v>16</v>
      </c>
      <c r="B46" s="7" t="n">
        <f aca="false">COUNTIFS('AI·디지털 선도학교'!$B$5:$B$1058,"부산",'AI·디지털 선도학교'!$E$5:$E$1058,"초")</f>
        <v>40</v>
      </c>
      <c r="C46" s="7" t="n">
        <f aca="false">COUNTIFS('AI·디지털 선도학교'!$B$5:$B$1058,"부산",'AI·디지털 선도학교'!$E$5:$E$1058,"중")</f>
        <v>11</v>
      </c>
      <c r="D46" s="7" t="n">
        <f aca="false">COUNTIFS('AI·디지털 선도학교'!$B$5:$B$1058,"부산",'AI·디지털 선도학교'!$E$5:$E$1058,"고")</f>
        <v>24</v>
      </c>
      <c r="E46" s="7" t="n">
        <f aca="false">COUNTIFS('AI·디지털 선도학교'!$B$5:$B$1058,"부산",'AI·디지털 선도학교'!$E$5:$E$1058,"특수/기타")</f>
        <v>3</v>
      </c>
      <c r="F46" s="6" t="n">
        <f aca="false">SUM(B46:E46)</f>
        <v>78</v>
      </c>
      <c r="G46" s="7" t="n">
        <f aca="false">COUNTIFS('AI·디지털 선도학교'!$B$5:$B$1058,"부산",'AI·디지털 선도학교'!$I$5:$I$1058,"O")</f>
        <v>25</v>
      </c>
    </row>
    <row r="47" customFormat="false" ht="15" hidden="false" customHeight="false" outlineLevel="0" collapsed="false">
      <c r="A47" s="6" t="s">
        <v>17</v>
      </c>
      <c r="B47" s="7" t="n">
        <f aca="false">COUNTIFS('AI·디지털 선도학교'!$B$5:$B$1058,"대구",'AI·디지털 선도학교'!$E$5:$E$1058,"초")</f>
        <v>58</v>
      </c>
      <c r="C47" s="7" t="n">
        <f aca="false">COUNTIFS('AI·디지털 선도학교'!$B$5:$B$1058,"대구",'AI·디지털 선도학교'!$E$5:$E$1058,"중")</f>
        <v>33</v>
      </c>
      <c r="D47" s="7" t="n">
        <f aca="false">COUNTIFS('AI·디지털 선도학교'!$B$5:$B$1058,"대구",'AI·디지털 선도학교'!$E$5:$E$1058,"고")</f>
        <v>34</v>
      </c>
      <c r="E47" s="7" t="n">
        <f aca="false">COUNTIFS('AI·디지털 선도학교'!$B$5:$B$1058,"대구",'AI·디지털 선도학교'!$E$5:$E$1058,"특수/기타")</f>
        <v>0</v>
      </c>
      <c r="F47" s="6" t="n">
        <f aca="false">SUM(B47:E47)</f>
        <v>125</v>
      </c>
      <c r="G47" s="7" t="n">
        <f aca="false">COUNTIFS('AI·디지털 선도학교'!$B$5:$B$1058,"대구",'AI·디지털 선도학교'!$I$5:$I$1058,"O")</f>
        <v>18</v>
      </c>
    </row>
    <row r="48" customFormat="false" ht="15" hidden="false" customHeight="false" outlineLevel="0" collapsed="false">
      <c r="A48" s="6" t="s">
        <v>19</v>
      </c>
      <c r="B48" s="7" t="n">
        <f aca="false">COUNTIFS('AI·디지털 선도학교'!$B$5:$B$1058,"인천",'AI·디지털 선도학교'!$E$5:$E$1058,"초")</f>
        <v>33</v>
      </c>
      <c r="C48" s="7" t="n">
        <f aca="false">COUNTIFS('AI·디지털 선도학교'!$B$5:$B$1058,"인천",'AI·디지털 선도학교'!$E$5:$E$1058,"중")</f>
        <v>15</v>
      </c>
      <c r="D48" s="7" t="n">
        <f aca="false">COUNTIFS('AI·디지털 선도학교'!$B$5:$B$1058,"인천",'AI·디지털 선도학교'!$E$5:$E$1058,"고")</f>
        <v>23</v>
      </c>
      <c r="E48" s="7" t="n">
        <f aca="false">COUNTIFS('AI·디지털 선도학교'!$B$5:$B$1058,"인천",'AI·디지털 선도학교'!$E$5:$E$1058,"특수/기타")</f>
        <v>2</v>
      </c>
      <c r="F48" s="6" t="n">
        <f aca="false">SUM(B48:E48)</f>
        <v>73</v>
      </c>
      <c r="G48" s="7" t="n">
        <f aca="false">COUNTIFS('AI·디지털 선도학교'!$B$5:$B$1058,"인천",'AI·디지털 선도학교'!$I$5:$I$1058,"O")</f>
        <v>2</v>
      </c>
    </row>
    <row r="49" customFormat="false" ht="15" hidden="false" customHeight="false" outlineLevel="0" collapsed="false">
      <c r="A49" s="6" t="s">
        <v>21</v>
      </c>
      <c r="B49" s="7" t="n">
        <f aca="false">COUNTIFS('AI·디지털 선도학교'!$B$5:$B$1058,"광주",'AI·디지털 선도학교'!$E$5:$E$1058,"초")</f>
        <v>16</v>
      </c>
      <c r="C49" s="7" t="n">
        <f aca="false">COUNTIFS('AI·디지털 선도학교'!$B$5:$B$1058,"광주",'AI·디지털 선도학교'!$E$5:$E$1058,"중")</f>
        <v>11</v>
      </c>
      <c r="D49" s="7" t="n">
        <f aca="false">COUNTIFS('AI·디지털 선도학교'!$B$5:$B$1058,"광주",'AI·디지털 선도학교'!$E$5:$E$1058,"고")</f>
        <v>11</v>
      </c>
      <c r="E49" s="7" t="n">
        <f aca="false">COUNTIFS('AI·디지털 선도학교'!$B$5:$B$1058,"광주",'AI·디지털 선도학교'!$E$5:$E$1058,"특수/기타")</f>
        <v>2</v>
      </c>
      <c r="F49" s="6" t="n">
        <f aca="false">SUM(B49:E49)</f>
        <v>40</v>
      </c>
      <c r="G49" s="7" t="n">
        <f aca="false">COUNTIFS('AI·디지털 선도학교'!$B$5:$B$1058,"광주",'AI·디지털 선도학교'!$I$5:$I$1058,"O")</f>
        <v>3</v>
      </c>
    </row>
    <row r="50" customFormat="false" ht="15" hidden="false" customHeight="false" outlineLevel="0" collapsed="false">
      <c r="A50" s="6" t="s">
        <v>23</v>
      </c>
      <c r="B50" s="7" t="n">
        <f aca="false">COUNTIFS('AI·디지털 선도학교'!$B$5:$B$1058,"대전",'AI·디지털 선도학교'!$E$5:$E$1058,"초")</f>
        <v>8</v>
      </c>
      <c r="C50" s="7" t="n">
        <f aca="false">COUNTIFS('AI·디지털 선도학교'!$B$5:$B$1058,"대전",'AI·디지털 선도학교'!$E$5:$E$1058,"중")</f>
        <v>11</v>
      </c>
      <c r="D50" s="7" t="n">
        <f aca="false">COUNTIFS('AI·디지털 선도학교'!$B$5:$B$1058,"대전",'AI·디지털 선도학교'!$E$5:$E$1058,"고")</f>
        <v>16</v>
      </c>
      <c r="E50" s="7" t="n">
        <f aca="false">COUNTIFS('AI·디지털 선도학교'!$B$5:$B$1058,"대전",'AI·디지털 선도학교'!$E$5:$E$1058,"특수/기타")</f>
        <v>0</v>
      </c>
      <c r="F50" s="6" t="n">
        <f aca="false">SUM(B50:E50)</f>
        <v>35</v>
      </c>
      <c r="G50" s="7" t="n">
        <f aca="false">COUNTIFS('AI·디지털 선도학교'!$B$5:$B$1058,"대전",'AI·디지털 선도학교'!$I$5:$I$1058,"O")</f>
        <v>7</v>
      </c>
    </row>
    <row r="51" customFormat="false" ht="15" hidden="false" customHeight="false" outlineLevel="0" collapsed="false">
      <c r="A51" s="6" t="s">
        <v>25</v>
      </c>
      <c r="B51" s="7" t="n">
        <f aca="false">COUNTIFS('AI·디지털 선도학교'!$B$5:$B$1058,"울산",'AI·디지털 선도학교'!$E$5:$E$1058,"초")</f>
        <v>10</v>
      </c>
      <c r="C51" s="7" t="n">
        <f aca="false">COUNTIFS('AI·디지털 선도학교'!$B$5:$B$1058,"울산",'AI·디지털 선도학교'!$E$5:$E$1058,"중")</f>
        <v>11</v>
      </c>
      <c r="D51" s="7" t="n">
        <f aca="false">COUNTIFS('AI·디지털 선도학교'!$B$5:$B$1058,"울산",'AI·디지털 선도학교'!$E$5:$E$1058,"고")</f>
        <v>7</v>
      </c>
      <c r="E51" s="7" t="n">
        <f aca="false">COUNTIFS('AI·디지털 선도학교'!$B$5:$B$1058,"울산",'AI·디지털 선도학교'!$E$5:$E$1058,"특수/기타")</f>
        <v>0</v>
      </c>
      <c r="F51" s="6" t="n">
        <f aca="false">SUM(B51:E51)</f>
        <v>28</v>
      </c>
      <c r="G51" s="7" t="n">
        <f aca="false">COUNTIFS('AI·디지털 선도학교'!$B$5:$B$1058,"울산",'AI·디지털 선도학교'!$I$5:$I$1058,"O")</f>
        <v>0</v>
      </c>
    </row>
    <row r="52" customFormat="false" ht="15" hidden="false" customHeight="false" outlineLevel="0" collapsed="false">
      <c r="A52" s="6" t="s">
        <v>32</v>
      </c>
      <c r="B52" s="7" t="n">
        <f aca="false">COUNTIFS('AI·디지털 선도학교'!$B$5:$B$1058,"충북",'AI·디지털 선도학교'!$E$5:$E$1058,"초")</f>
        <v>63</v>
      </c>
      <c r="C52" s="7" t="n">
        <f aca="false">COUNTIFS('AI·디지털 선도학교'!$B$5:$B$1058,"충북",'AI·디지털 선도학교'!$E$5:$E$1058,"중")</f>
        <v>35</v>
      </c>
      <c r="D52" s="7" t="n">
        <f aca="false">COUNTIFS('AI·디지털 선도학교'!$B$5:$B$1058,"충북",'AI·디지털 선도학교'!$E$5:$E$1058,"고")</f>
        <v>41</v>
      </c>
      <c r="E52" s="7" t="n">
        <f aca="false">COUNTIFS('AI·디지털 선도학교'!$B$5:$B$1058,"충북",'AI·디지털 선도학교'!$E$5:$E$1058,"특수/기타")</f>
        <v>11</v>
      </c>
      <c r="F52" s="6" t="n">
        <f aca="false">SUM(B52:E52)</f>
        <v>150</v>
      </c>
      <c r="G52" s="7" t="n">
        <f aca="false">COUNTIFS('AI·디지털 선도학교'!$B$5:$B$1058,"충북",'AI·디지털 선도학교'!$I$5:$I$1058,"O")</f>
        <v>25</v>
      </c>
    </row>
    <row r="53" customFormat="false" ht="15" hidden="false" customHeight="false" outlineLevel="0" collapsed="false">
      <c r="A53" s="6" t="s">
        <v>34</v>
      </c>
      <c r="B53" s="7" t="n">
        <f aca="false">COUNTIFS('AI·디지털 선도학교'!$B$5:$B$1058,"전북",'AI·디지털 선도학교'!$E$5:$E$1058,"초")</f>
        <v>48</v>
      </c>
      <c r="C53" s="7" t="n">
        <f aca="false">COUNTIFS('AI·디지털 선도학교'!$B$5:$B$1058,"전북",'AI·디지털 선도학교'!$E$5:$E$1058,"중")</f>
        <v>24</v>
      </c>
      <c r="D53" s="7" t="n">
        <f aca="false">COUNTIFS('AI·디지털 선도학교'!$B$5:$B$1058,"전북",'AI·디지털 선도학교'!$E$5:$E$1058,"고")</f>
        <v>26</v>
      </c>
      <c r="E53" s="7" t="n">
        <f aca="false">COUNTIFS('AI·디지털 선도학교'!$B$5:$B$1058,"전북",'AI·디지털 선도학교'!$E$5:$E$1058,"특수/기타")</f>
        <v>2</v>
      </c>
      <c r="F53" s="6" t="n">
        <f aca="false">SUM(B53:E53)</f>
        <v>100</v>
      </c>
      <c r="G53" s="7" t="n">
        <f aca="false">COUNTIFS('AI·디지털 선도학교'!$B$5:$B$1058,"전북",'AI·디지털 선도학교'!$I$5:$I$1058,"O")</f>
        <v>23</v>
      </c>
    </row>
    <row r="54" customFormat="false" ht="15" hidden="false" customHeight="false" outlineLevel="0" collapsed="false">
      <c r="A54" s="6" t="s">
        <v>35</v>
      </c>
      <c r="B54" s="7" t="n">
        <f aca="false">COUNTIFS('AI·디지털 선도학교'!$B$5:$B$1058,"전남",'AI·디지털 선도학교'!$E$5:$E$1058,"초")</f>
        <v>48</v>
      </c>
      <c r="C54" s="7" t="n">
        <f aca="false">COUNTIFS('AI·디지털 선도학교'!$B$5:$B$1058,"전남",'AI·디지털 선도학교'!$E$5:$E$1058,"중")</f>
        <v>18</v>
      </c>
      <c r="D54" s="7" t="n">
        <f aca="false">COUNTIFS('AI·디지털 선도학교'!$B$5:$B$1058,"전남",'AI·디지털 선도학교'!$E$5:$E$1058,"고")</f>
        <v>17</v>
      </c>
      <c r="E54" s="7" t="n">
        <f aca="false">COUNTIFS('AI·디지털 선도학교'!$B$5:$B$1058,"전남",'AI·디지털 선도학교'!$E$5:$E$1058,"특수/기타")</f>
        <v>2</v>
      </c>
      <c r="F54" s="6" t="n">
        <f aca="false">SUM(B54:E54)</f>
        <v>85</v>
      </c>
      <c r="G54" s="7" t="n">
        <f aca="false">COUNTIFS('AI·디지털 선도학교'!$B$5:$B$1058,"전남",'AI·디지털 선도학교'!$I$5:$I$1058,"O")</f>
        <v>19</v>
      </c>
    </row>
    <row r="55" customFormat="false" ht="15" hidden="false" customHeight="false" outlineLevel="0" collapsed="false">
      <c r="A55" s="6" t="s">
        <v>37</v>
      </c>
      <c r="B55" s="7" t="n">
        <f aca="false">COUNTIFS('AI·디지털 선도학교'!$B$5:$B$1058,"경북",'AI·디지털 선도학교'!$E$5:$E$1058,"초")</f>
        <v>82</v>
      </c>
      <c r="C55" s="7" t="n">
        <f aca="false">COUNTIFS('AI·디지털 선도학교'!$B$5:$B$1058,"경북",'AI·디지털 선도학교'!$E$5:$E$1058,"중")</f>
        <v>33</v>
      </c>
      <c r="D55" s="7" t="n">
        <f aca="false">COUNTIFS('AI·디지털 선도학교'!$B$5:$B$1058,"경북",'AI·디지털 선도학교'!$E$5:$E$1058,"고")</f>
        <v>32</v>
      </c>
      <c r="E55" s="7" t="n">
        <f aca="false">COUNTIFS('AI·디지털 선도학교'!$B$5:$B$1058,"경북",'AI·디지털 선도학교'!$E$5:$E$1058,"특수/기타")</f>
        <v>3</v>
      </c>
      <c r="F55" s="6" t="n">
        <f aca="false">SUM(B55:E55)</f>
        <v>150</v>
      </c>
      <c r="G55" s="7" t="n">
        <f aca="false">COUNTIFS('AI·디지털 선도학교'!$B$5:$B$1058,"경북",'AI·디지털 선도학교'!$I$5:$I$1058,"O")</f>
        <v>23</v>
      </c>
    </row>
    <row r="56" customFormat="false" ht="15" hidden="false" customHeight="false" outlineLevel="0" collapsed="false">
      <c r="A56" s="13" t="s">
        <v>51</v>
      </c>
      <c r="B56" s="13" t="n">
        <f aca="false">SUM(B45:B55)</f>
        <v>497</v>
      </c>
      <c r="C56" s="13" t="n">
        <f aca="false">SUM(C45:C55)</f>
        <v>258</v>
      </c>
      <c r="D56" s="13" t="n">
        <f aca="false">SUM(D45:D55)</f>
        <v>274</v>
      </c>
      <c r="E56" s="13" t="n">
        <f aca="false">SUM(E45:E55)</f>
        <v>25</v>
      </c>
      <c r="F56" s="13" t="n">
        <f aca="false">SUM(F45:F55)</f>
        <v>1054</v>
      </c>
      <c r="G56" s="13" t="n">
        <f aca="false">SUM(G45:G55)</f>
        <v>145</v>
      </c>
    </row>
    <row r="58" customFormat="false" ht="17.15" hidden="false" customHeight="false" outlineLevel="0" collapsed="false">
      <c r="A58" s="17" t="s">
        <v>54</v>
      </c>
    </row>
    <row r="59" customFormat="false" ht="29.85" hidden="false" customHeight="false" outlineLevel="0" collapsed="false">
      <c r="A59" s="4" t="s">
        <v>3</v>
      </c>
      <c r="B59" s="4" t="s">
        <v>55</v>
      </c>
      <c r="C59" s="4" t="s">
        <v>56</v>
      </c>
      <c r="D59" s="4" t="s">
        <v>57</v>
      </c>
      <c r="E59" s="4" t="s">
        <v>58</v>
      </c>
      <c r="F59" s="4" t="s">
        <v>51</v>
      </c>
    </row>
    <row r="60" customFormat="false" ht="15" hidden="false" customHeight="false" outlineLevel="0" collapsed="false">
      <c r="A60" s="6" t="s">
        <v>13</v>
      </c>
      <c r="B60" s="7" t="n">
        <f aca="false">COUNTIFS('AI 중점학교'!$B$5:$B$989,"서울",'AI 중점학교'!$H$5:$H$989,"선도형*")</f>
        <v>4</v>
      </c>
      <c r="C60" s="7" t="n">
        <f aca="false">COUNTIFS('AI 중점학교'!$B$5:$B$989,"서울",'AI 중점학교'!$H$5:$H$989,"중심형")</f>
        <v>89</v>
      </c>
      <c r="D60" s="7" t="n">
        <f aca="false">COUNTIFS('AI 중점학교'!$B$5:$B$989,"서울",'AI 중점학교'!$H$5:$H$989,"문화확산형")</f>
        <v>89</v>
      </c>
      <c r="E60" s="7" t="n">
        <f aca="false">F60-SUM(B60:D60)</f>
        <v>0</v>
      </c>
      <c r="F60" s="6" t="n">
        <f aca="false">COUNTIFS('AI 중점학교'!$B$5:$B$989,"서울")</f>
        <v>182</v>
      </c>
    </row>
    <row r="61" customFormat="false" ht="15" hidden="false" customHeight="false" outlineLevel="0" collapsed="false">
      <c r="A61" s="6" t="s">
        <v>16</v>
      </c>
      <c r="B61" s="7" t="n">
        <f aca="false">COUNTIFS('AI 중점학교'!$B$5:$B$989,"부산",'AI 중점학교'!$H$5:$H$989,"선도형*")</f>
        <v>7</v>
      </c>
      <c r="C61" s="7" t="n">
        <f aca="false">COUNTIFS('AI 중점학교'!$B$5:$B$989,"부산",'AI 중점학교'!$H$5:$H$989,"중심형")</f>
        <v>10</v>
      </c>
      <c r="D61" s="7" t="n">
        <f aca="false">COUNTIFS('AI 중점학교'!$B$5:$B$989,"부산",'AI 중점학교'!$H$5:$H$989,"문화확산형")</f>
        <v>27</v>
      </c>
      <c r="E61" s="7" t="n">
        <f aca="false">F61-SUM(B61:D61)</f>
        <v>0</v>
      </c>
      <c r="F61" s="6" t="n">
        <f aca="false">COUNTIFS('AI 중점학교'!$B$5:$B$989,"부산")</f>
        <v>44</v>
      </c>
    </row>
    <row r="62" customFormat="false" ht="15" hidden="false" customHeight="false" outlineLevel="0" collapsed="false">
      <c r="A62" s="6" t="s">
        <v>17</v>
      </c>
      <c r="B62" s="7" t="n">
        <f aca="false">COUNTIFS('AI 중점학교'!$B$5:$B$989,"대구",'AI 중점학교'!$H$5:$H$989,"선도형*")</f>
        <v>0</v>
      </c>
      <c r="C62" s="7" t="n">
        <f aca="false">COUNTIFS('AI 중점학교'!$B$5:$B$989,"대구",'AI 중점학교'!$H$5:$H$989,"중심형")</f>
        <v>0</v>
      </c>
      <c r="D62" s="7" t="n">
        <f aca="false">COUNTIFS('AI 중점학교'!$B$5:$B$989,"대구",'AI 중점학교'!$H$5:$H$989,"문화확산형")</f>
        <v>0</v>
      </c>
      <c r="E62" s="7" t="n">
        <f aca="false">F62-SUM(B62:D62)</f>
        <v>60</v>
      </c>
      <c r="F62" s="6" t="n">
        <f aca="false">COUNTIFS('AI 중점학교'!$B$5:$B$989,"대구")</f>
        <v>60</v>
      </c>
    </row>
    <row r="63" customFormat="false" ht="15" hidden="false" customHeight="false" outlineLevel="0" collapsed="false">
      <c r="A63" s="6" t="s">
        <v>19</v>
      </c>
      <c r="B63" s="7" t="n">
        <f aca="false">COUNTIFS('AI 중점학교'!$B$5:$B$989,"인천",'AI 중점학교'!$H$5:$H$989,"선도형*")</f>
        <v>6</v>
      </c>
      <c r="C63" s="7" t="n">
        <f aca="false">COUNTIFS('AI 중점학교'!$B$5:$B$989,"인천",'AI 중점학교'!$H$5:$H$989,"중심형")</f>
        <v>71</v>
      </c>
      <c r="D63" s="7" t="n">
        <f aca="false">COUNTIFS('AI 중점학교'!$B$5:$B$989,"인천",'AI 중점학교'!$H$5:$H$989,"문화확산형")</f>
        <v>30</v>
      </c>
      <c r="E63" s="7" t="n">
        <f aca="false">F63-SUM(B63:D63)</f>
        <v>0</v>
      </c>
      <c r="F63" s="6" t="n">
        <f aca="false">COUNTIFS('AI 중점학교'!$B$5:$B$989,"인천")</f>
        <v>107</v>
      </c>
    </row>
    <row r="64" customFormat="false" ht="15" hidden="false" customHeight="false" outlineLevel="0" collapsed="false">
      <c r="A64" s="6" t="s">
        <v>21</v>
      </c>
      <c r="B64" s="7" t="n">
        <f aca="false">COUNTIFS('AI 중점학교'!$B$5:$B$989,"광주",'AI 중점학교'!$H$5:$H$989,"선도형*")</f>
        <v>0</v>
      </c>
      <c r="C64" s="7" t="n">
        <f aca="false">COUNTIFS('AI 중점학교'!$B$5:$B$989,"광주",'AI 중점학교'!$H$5:$H$989,"중심형")</f>
        <v>0</v>
      </c>
      <c r="D64" s="7" t="n">
        <f aca="false">COUNTIFS('AI 중점학교'!$B$5:$B$989,"광주",'AI 중점학교'!$H$5:$H$989,"문화확산형")</f>
        <v>0</v>
      </c>
      <c r="E64" s="7" t="n">
        <f aca="false">F64-SUM(B64:D64)</f>
        <v>27</v>
      </c>
      <c r="F64" s="6" t="n">
        <f aca="false">COUNTIFS('AI 중점학교'!$B$5:$B$989,"광주")</f>
        <v>27</v>
      </c>
    </row>
    <row r="65" customFormat="false" ht="15" hidden="false" customHeight="false" outlineLevel="0" collapsed="false">
      <c r="A65" s="6" t="s">
        <v>23</v>
      </c>
      <c r="B65" s="7" t="n">
        <f aca="false">COUNTIFS('AI 중점학교'!$B$5:$B$989,"대전",'AI 중점학교'!$H$5:$H$989,"선도형*")</f>
        <v>2</v>
      </c>
      <c r="C65" s="7" t="n">
        <f aca="false">COUNTIFS('AI 중점학교'!$B$5:$B$989,"대전",'AI 중점학교'!$H$5:$H$989,"중심형")</f>
        <v>14</v>
      </c>
      <c r="D65" s="7" t="n">
        <f aca="false">COUNTIFS('AI 중점학교'!$B$5:$B$989,"대전",'AI 중점학교'!$H$5:$H$989,"문화확산형")</f>
        <v>6</v>
      </c>
      <c r="E65" s="7" t="n">
        <f aca="false">F65-SUM(B65:D65)</f>
        <v>0</v>
      </c>
      <c r="F65" s="6" t="n">
        <f aca="false">COUNTIFS('AI 중점학교'!$B$5:$B$989,"대전")</f>
        <v>22</v>
      </c>
    </row>
    <row r="66" customFormat="false" ht="15" hidden="false" customHeight="false" outlineLevel="0" collapsed="false">
      <c r="A66" s="6" t="s">
        <v>25</v>
      </c>
      <c r="B66" s="7" t="n">
        <f aca="false">COUNTIFS('AI 중점학교'!$B$5:$B$989,"울산",'AI 중점학교'!$H$5:$H$989,"선도형*")</f>
        <v>0</v>
      </c>
      <c r="C66" s="7" t="n">
        <f aca="false">COUNTIFS('AI 중점학교'!$B$5:$B$989,"울산",'AI 중점학교'!$H$5:$H$989,"중심형")</f>
        <v>13</v>
      </c>
      <c r="D66" s="7" t="n">
        <f aca="false">COUNTIFS('AI 중점학교'!$B$5:$B$989,"울산",'AI 중점학교'!$H$5:$H$989,"문화확산형")</f>
        <v>3</v>
      </c>
      <c r="E66" s="7" t="n">
        <f aca="false">F66-SUM(B66:D66)</f>
        <v>0</v>
      </c>
      <c r="F66" s="6" t="n">
        <f aca="false">COUNTIFS('AI 중점학교'!$B$5:$B$989,"울산")</f>
        <v>16</v>
      </c>
    </row>
    <row r="67" customFormat="false" ht="15" hidden="false" customHeight="false" outlineLevel="0" collapsed="false">
      <c r="A67" s="6" t="s">
        <v>29</v>
      </c>
      <c r="B67" s="7" t="n">
        <f aca="false">COUNTIFS('AI 중점학교'!$B$5:$B$989,"경기",'AI 중점학교'!$H$5:$H$989,"선도형*")</f>
        <v>3</v>
      </c>
      <c r="C67" s="7" t="n">
        <f aca="false">COUNTIFS('AI 중점학교'!$B$5:$B$989,"경기",'AI 중점학교'!$H$5:$H$989,"중심형")</f>
        <v>99</v>
      </c>
      <c r="D67" s="7" t="n">
        <f aca="false">COUNTIFS('AI 중점학교'!$B$5:$B$989,"경기",'AI 중점학교'!$H$5:$H$989,"문화확산형")</f>
        <v>97</v>
      </c>
      <c r="E67" s="7" t="n">
        <f aca="false">F67-SUM(B67:D67)</f>
        <v>1</v>
      </c>
      <c r="F67" s="6" t="n">
        <f aca="false">COUNTIFS('AI 중점학교'!$B$5:$B$989,"경기")</f>
        <v>200</v>
      </c>
    </row>
    <row r="68" customFormat="false" ht="15" hidden="false" customHeight="false" outlineLevel="0" collapsed="false">
      <c r="A68" s="6" t="s">
        <v>32</v>
      </c>
      <c r="B68" s="7" t="n">
        <f aca="false">COUNTIFS('AI 중점학교'!$B$5:$B$989,"충북",'AI 중점학교'!$H$5:$H$989,"선도형*")</f>
        <v>2</v>
      </c>
      <c r="C68" s="7" t="n">
        <f aca="false">COUNTIFS('AI 중점학교'!$B$5:$B$989,"충북",'AI 중점학교'!$H$5:$H$989,"중심형")</f>
        <v>22</v>
      </c>
      <c r="D68" s="7" t="n">
        <f aca="false">COUNTIFS('AI 중점학교'!$B$5:$B$989,"충북",'AI 중점학교'!$H$5:$H$989,"문화확산형")</f>
        <v>16</v>
      </c>
      <c r="E68" s="7" t="n">
        <f aca="false">F68-SUM(B68:D68)</f>
        <v>0</v>
      </c>
      <c r="F68" s="6" t="n">
        <f aca="false">COUNTIFS('AI 중점학교'!$B$5:$B$989,"충북")</f>
        <v>40</v>
      </c>
    </row>
    <row r="69" customFormat="false" ht="15" hidden="false" customHeight="false" outlineLevel="0" collapsed="false">
      <c r="A69" s="6" t="s">
        <v>34</v>
      </c>
      <c r="B69" s="7" t="n">
        <f aca="false">COUNTIFS('AI 중점학교'!$B$5:$B$989,"전북",'AI 중점학교'!$H$5:$H$989,"선도형*")</f>
        <v>3</v>
      </c>
      <c r="C69" s="7" t="n">
        <f aca="false">COUNTIFS('AI 중점학교'!$B$5:$B$989,"전북",'AI 중점학교'!$H$5:$H$989,"중심형")</f>
        <v>54</v>
      </c>
      <c r="D69" s="7" t="n">
        <f aca="false">COUNTIFS('AI 중점학교'!$B$5:$B$989,"전북",'AI 중점학교'!$H$5:$H$989,"문화확산형")</f>
        <v>24</v>
      </c>
      <c r="E69" s="7" t="n">
        <f aca="false">F69-SUM(B69:D69)</f>
        <v>0</v>
      </c>
      <c r="F69" s="6" t="n">
        <f aca="false">COUNTIFS('AI 중점학교'!$B$5:$B$989,"전북")</f>
        <v>81</v>
      </c>
    </row>
    <row r="70" customFormat="false" ht="15" hidden="false" customHeight="false" outlineLevel="0" collapsed="false">
      <c r="A70" s="6" t="s">
        <v>35</v>
      </c>
      <c r="B70" s="7" t="n">
        <f aca="false">COUNTIFS('AI 중점학교'!$B$5:$B$989,"전남",'AI 중점학교'!$H$5:$H$989,"선도형*")</f>
        <v>12</v>
      </c>
      <c r="C70" s="7" t="n">
        <f aca="false">COUNTIFS('AI 중점학교'!$B$5:$B$989,"전남",'AI 중점학교'!$H$5:$H$989,"중심형")</f>
        <v>50</v>
      </c>
      <c r="D70" s="7" t="n">
        <f aca="false">COUNTIFS('AI 중점학교'!$B$5:$B$989,"전남",'AI 중점학교'!$H$5:$H$989,"문화확산형")</f>
        <v>0</v>
      </c>
      <c r="E70" s="7" t="n">
        <f aca="false">F70-SUM(B70:D70)</f>
        <v>0</v>
      </c>
      <c r="F70" s="6" t="n">
        <f aca="false">COUNTIFS('AI 중점학교'!$B$5:$B$989,"전남")</f>
        <v>62</v>
      </c>
    </row>
    <row r="71" customFormat="false" ht="15" hidden="false" customHeight="false" outlineLevel="0" collapsed="false">
      <c r="A71" s="6" t="s">
        <v>37</v>
      </c>
      <c r="B71" s="7" t="n">
        <f aca="false">COUNTIFS('AI 중점학교'!$B$5:$B$989,"경북",'AI 중점학교'!$H$5:$H$989,"선도형*")</f>
        <v>0</v>
      </c>
      <c r="C71" s="7" t="n">
        <f aca="false">COUNTIFS('AI 중점학교'!$B$5:$B$989,"경북",'AI 중점학교'!$H$5:$H$989,"중심형")</f>
        <v>58</v>
      </c>
      <c r="D71" s="7" t="n">
        <f aca="false">COUNTIFS('AI 중점학교'!$B$5:$B$989,"경북",'AI 중점학교'!$H$5:$H$989,"문화확산형")</f>
        <v>26</v>
      </c>
      <c r="E71" s="7" t="n">
        <f aca="false">F71-SUM(B71:D71)</f>
        <v>0</v>
      </c>
      <c r="F71" s="6" t="n">
        <f aca="false">COUNTIFS('AI 중점학교'!$B$5:$B$989,"경북")</f>
        <v>84</v>
      </c>
    </row>
    <row r="72" customFormat="false" ht="15" hidden="false" customHeight="false" outlineLevel="0" collapsed="false">
      <c r="A72" s="6" t="s">
        <v>39</v>
      </c>
      <c r="B72" s="7" t="n">
        <f aca="false">COUNTIFS('AI 중점학교'!$B$5:$B$989,"경남",'AI 중점학교'!$H$5:$H$989,"선도형*")</f>
        <v>0</v>
      </c>
      <c r="C72" s="7" t="n">
        <f aca="false">COUNTIFS('AI 중점학교'!$B$5:$B$989,"경남",'AI 중점학교'!$H$5:$H$989,"중심형")</f>
        <v>0</v>
      </c>
      <c r="D72" s="7" t="n">
        <f aca="false">COUNTIFS('AI 중점학교'!$B$5:$B$989,"경남",'AI 중점학교'!$H$5:$H$989,"문화확산형")</f>
        <v>0</v>
      </c>
      <c r="E72" s="7" t="n">
        <f aca="false">F72-SUM(B72:D72)</f>
        <v>49</v>
      </c>
      <c r="F72" s="6" t="n">
        <f aca="false">COUNTIFS('AI 중점학교'!$B$5:$B$989,"경남")</f>
        <v>49</v>
      </c>
    </row>
    <row r="73" customFormat="false" ht="15" hidden="false" customHeight="false" outlineLevel="0" collapsed="false">
      <c r="A73" s="6" t="s">
        <v>41</v>
      </c>
      <c r="B73" s="7" t="n">
        <f aca="false">COUNTIFS('AI 중점학교'!$B$5:$B$989,"제주",'AI 중점학교'!$H$5:$H$989,"선도형*")</f>
        <v>1</v>
      </c>
      <c r="C73" s="7" t="n">
        <f aca="false">COUNTIFS('AI 중점학교'!$B$5:$B$989,"제주",'AI 중점학교'!$H$5:$H$989,"중심형")</f>
        <v>3</v>
      </c>
      <c r="D73" s="7" t="n">
        <f aca="false">COUNTIFS('AI 중점학교'!$B$5:$B$989,"제주",'AI 중점학교'!$H$5:$H$989,"문화확산형")</f>
        <v>7</v>
      </c>
      <c r="E73" s="7" t="n">
        <f aca="false">F73-SUM(B73:D73)</f>
        <v>0</v>
      </c>
      <c r="F73" s="6" t="n">
        <f aca="false">COUNTIFS('AI 중점학교'!$B$5:$B$989,"제주")</f>
        <v>11</v>
      </c>
    </row>
    <row r="74" customFormat="false" ht="15" hidden="false" customHeight="false" outlineLevel="0" collapsed="false">
      <c r="A74" s="13" t="s">
        <v>51</v>
      </c>
      <c r="B74" s="13" t="n">
        <f aca="false">SUM(B60:B73)</f>
        <v>40</v>
      </c>
      <c r="C74" s="13" t="n">
        <f aca="false">SUM(C60:C73)</f>
        <v>483</v>
      </c>
      <c r="D74" s="13" t="n">
        <f aca="false">SUM(D60:D73)</f>
        <v>325</v>
      </c>
      <c r="E74" s="13" t="n">
        <f aca="false">SUM(E60:E73)</f>
        <v>137</v>
      </c>
      <c r="F74" s="13" t="n">
        <f aca="false">SUM(F60:F73)</f>
        <v>985</v>
      </c>
    </row>
    <row r="76" customFormat="false" ht="17.15" hidden="false" customHeight="false" outlineLevel="0" collapsed="false">
      <c r="A76" s="3" t="s">
        <v>59</v>
      </c>
    </row>
    <row r="77" customFormat="false" ht="15" hidden="false" customHeight="false" outlineLevel="0" collapsed="false">
      <c r="A77" s="4" t="s">
        <v>60</v>
      </c>
      <c r="B77" s="4" t="s">
        <v>61</v>
      </c>
      <c r="C77" s="4" t="s">
        <v>62</v>
      </c>
      <c r="D77" s="4" t="s">
        <v>63</v>
      </c>
      <c r="E77" s="4" t="s">
        <v>64</v>
      </c>
      <c r="F77" s="4" t="s">
        <v>65</v>
      </c>
      <c r="G77" s="4" t="s">
        <v>66</v>
      </c>
      <c r="H77" s="5" t="s">
        <v>67</v>
      </c>
    </row>
    <row r="78" customFormat="false" ht="15" hidden="false" customHeight="false" outlineLevel="0" collapsed="false">
      <c r="A78" s="18" t="s">
        <v>68</v>
      </c>
      <c r="B78" s="7" t="n">
        <f aca="false">COUNTIFS('AI 중점학교'!$Q$5:$Q$989,"미접촉")</f>
        <v>0</v>
      </c>
      <c r="C78" s="7" t="n">
        <f aca="false">COUNTIFS('AI 중점학교'!$Q$5:$Q$989,"접촉")</f>
        <v>0</v>
      </c>
      <c r="D78" s="7" t="n">
        <f aca="false">COUNTIFS('AI 중점학교'!$Q$5:$Q$989,"제안")</f>
        <v>0</v>
      </c>
      <c r="E78" s="7" t="n">
        <f aca="false">COUNTIFS('AI 중점학교'!$Q$5:$Q$989,"협의중")</f>
        <v>0</v>
      </c>
      <c r="F78" s="7" t="n">
        <f aca="false">COUNTIFS('AI 중점학교'!$Q$5:$Q$989,"계약")</f>
        <v>0</v>
      </c>
      <c r="G78" s="7" t="n">
        <f aca="false">COUNTIFS('AI 중점학교'!$Q$5:$Q$989,"보류")</f>
        <v>0</v>
      </c>
      <c r="H78" s="7" t="n">
        <f aca="false">COUNTIFS('AI 중점학교'!$R$5:$R$989,"가입")</f>
        <v>0</v>
      </c>
    </row>
    <row r="79" customFormat="false" ht="15" hidden="false" customHeight="false" outlineLevel="0" collapsed="false">
      <c r="A79" s="18" t="s">
        <v>69</v>
      </c>
      <c r="B79" s="7" t="n">
        <f aca="false">COUNTIFS('AI·디지털 선도학교'!$Q$5:$Q$1058,"미접촉")</f>
        <v>0</v>
      </c>
      <c r="C79" s="7" t="n">
        <f aca="false">COUNTIFS('AI·디지털 선도학교'!$Q$5:$Q$1058,"접촉")</f>
        <v>0</v>
      </c>
      <c r="D79" s="7" t="n">
        <f aca="false">COUNTIFS('AI·디지털 선도학교'!$Q$5:$Q$1058,"제안")</f>
        <v>0</v>
      </c>
      <c r="E79" s="7" t="n">
        <f aca="false">COUNTIFS('AI·디지털 선도학교'!$Q$5:$Q$1058,"협의중")</f>
        <v>0</v>
      </c>
      <c r="F79" s="7" t="n">
        <f aca="false">COUNTIFS('AI·디지털 선도학교'!$Q$5:$Q$1058,"계약")</f>
        <v>0</v>
      </c>
      <c r="G79" s="7" t="n">
        <f aca="false">COUNTIFS('AI·디지털 선도학교'!$Q$5:$Q$1058,"보류")</f>
        <v>0</v>
      </c>
      <c r="H79" s="7" t="n">
        <f aca="false">COUNTIFS('AI·디지털 선도학교'!$R$5:$R$1058,"가입")</f>
        <v>0</v>
      </c>
    </row>
    <row r="81" customFormat="false" ht="15" hidden="false" customHeight="false" outlineLevel="0" collapsed="false">
      <c r="A81" s="3" t="s">
        <v>70</v>
      </c>
    </row>
    <row r="82" customFormat="false" ht="15" hidden="false" customHeight="false" outlineLevel="0" collapsed="false">
      <c r="A82" s="19" t="s">
        <v>71</v>
      </c>
    </row>
    <row r="83" customFormat="false" ht="15" hidden="false" customHeight="false" outlineLevel="0" collapsed="false">
      <c r="A83" s="19" t="s">
        <v>72</v>
      </c>
    </row>
    <row r="84" customFormat="false" ht="15" hidden="false" customHeight="false" outlineLevel="0" collapsed="false">
      <c r="A84" s="19" t="s">
        <v>73</v>
      </c>
    </row>
    <row r="85" customFormat="false" ht="15" hidden="false" customHeight="false" outlineLevel="0" collapsed="false">
      <c r="A85" s="19" t="s">
        <v>74</v>
      </c>
    </row>
    <row r="86" customFormat="false" ht="15" hidden="false" customHeight="false" outlineLevel="0" collapsed="false">
      <c r="A86" s="19" t="s">
        <v>75</v>
      </c>
    </row>
    <row r="87" customFormat="false" ht="15" hidden="false" customHeight="false" outlineLevel="0" collapsed="false">
      <c r="A87" s="19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34"/>
    <col collapsed="false" customWidth="true" hidden="false" outlineLevel="0" max="12" min="12" style="0" width="46"/>
    <col collapsed="false" customWidth="true" hidden="false" outlineLevel="0" max="14" min="13" style="0" width="8"/>
    <col collapsed="false" customWidth="true" hidden="false" outlineLevel="0" max="16" min="15" style="0" width="11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34"/>
  </cols>
  <sheetData>
    <row r="1" customFormat="false" ht="21.6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30" hidden="false" customHeight="true" outlineLevel="0" collapsed="false">
      <c r="A4" s="5" t="s">
        <v>79</v>
      </c>
      <c r="B4" s="4" t="s">
        <v>3</v>
      </c>
      <c r="C4" s="4" t="s">
        <v>80</v>
      </c>
      <c r="D4" s="4" t="s">
        <v>81</v>
      </c>
      <c r="E4" s="4" t="s">
        <v>82</v>
      </c>
      <c r="F4" s="4" t="s">
        <v>83</v>
      </c>
      <c r="G4" s="4" t="s">
        <v>84</v>
      </c>
      <c r="H4" s="4" t="s">
        <v>85</v>
      </c>
      <c r="I4" s="4" t="s">
        <v>86</v>
      </c>
      <c r="J4" s="4" t="s">
        <v>87</v>
      </c>
      <c r="K4" s="4" t="s">
        <v>88</v>
      </c>
      <c r="L4" s="4" t="s">
        <v>89</v>
      </c>
      <c r="M4" s="4" t="s">
        <v>90</v>
      </c>
      <c r="N4" s="4" t="s">
        <v>91</v>
      </c>
      <c r="O4" s="20" t="s">
        <v>92</v>
      </c>
      <c r="P4" s="20" t="s">
        <v>93</v>
      </c>
      <c r="Q4" s="20" t="s">
        <v>94</v>
      </c>
      <c r="R4" s="21" t="s">
        <v>95</v>
      </c>
      <c r="S4" s="20" t="s">
        <v>96</v>
      </c>
    </row>
    <row r="5" customFormat="false" ht="15" hidden="false" customHeight="false" outlineLevel="0" collapsed="false">
      <c r="A5" s="7" t="n">
        <v>1</v>
      </c>
      <c r="B5" s="9" t="s">
        <v>13</v>
      </c>
      <c r="C5" s="22" t="s">
        <v>97</v>
      </c>
      <c r="D5" s="9" t="s">
        <v>98</v>
      </c>
      <c r="E5" s="9" t="s">
        <v>47</v>
      </c>
      <c r="F5" s="9" t="s">
        <v>99</v>
      </c>
      <c r="G5" s="22" t="s">
        <v>100</v>
      </c>
      <c r="H5" s="9" t="s">
        <v>57</v>
      </c>
      <c r="I5" s="7"/>
      <c r="J5" s="23" t="s">
        <v>101</v>
      </c>
      <c r="K5" s="24" t="s">
        <v>102</v>
      </c>
      <c r="L5" s="22" t="s">
        <v>103</v>
      </c>
      <c r="M5" s="25"/>
      <c r="N5" s="25"/>
      <c r="O5" s="26"/>
      <c r="P5" s="27"/>
      <c r="Q5" s="28"/>
      <c r="R5" s="28"/>
      <c r="S5" s="26"/>
    </row>
    <row r="6" customFormat="false" ht="15" hidden="false" customHeight="false" outlineLevel="0" collapsed="false">
      <c r="A6" s="7" t="n">
        <v>2</v>
      </c>
      <c r="B6" s="9" t="s">
        <v>13</v>
      </c>
      <c r="C6" s="22" t="s">
        <v>97</v>
      </c>
      <c r="D6" s="9" t="s">
        <v>98</v>
      </c>
      <c r="E6" s="9" t="s">
        <v>47</v>
      </c>
      <c r="F6" s="9" t="s">
        <v>99</v>
      </c>
      <c r="G6" s="22" t="s">
        <v>104</v>
      </c>
      <c r="H6" s="9" t="s">
        <v>57</v>
      </c>
      <c r="I6" s="7"/>
      <c r="J6" s="23" t="s">
        <v>105</v>
      </c>
      <c r="K6" s="24" t="s">
        <v>106</v>
      </c>
      <c r="L6" s="22" t="s">
        <v>107</v>
      </c>
      <c r="M6" s="25"/>
      <c r="N6" s="25"/>
      <c r="O6" s="26"/>
      <c r="P6" s="27"/>
      <c r="Q6" s="28"/>
      <c r="R6" s="28"/>
      <c r="S6" s="26"/>
    </row>
    <row r="7" customFormat="false" ht="15" hidden="false" customHeight="false" outlineLevel="0" collapsed="false">
      <c r="A7" s="7" t="n">
        <v>3</v>
      </c>
      <c r="B7" s="9" t="s">
        <v>13</v>
      </c>
      <c r="C7" s="22" t="s">
        <v>97</v>
      </c>
      <c r="D7" s="9" t="s">
        <v>98</v>
      </c>
      <c r="E7" s="9" t="s">
        <v>47</v>
      </c>
      <c r="F7" s="9" t="s">
        <v>99</v>
      </c>
      <c r="G7" s="22" t="s">
        <v>108</v>
      </c>
      <c r="H7" s="9" t="s">
        <v>57</v>
      </c>
      <c r="I7" s="7"/>
      <c r="J7" s="23" t="s">
        <v>109</v>
      </c>
      <c r="K7" s="24" t="s">
        <v>110</v>
      </c>
      <c r="L7" s="22" t="s">
        <v>111</v>
      </c>
      <c r="M7" s="25"/>
      <c r="N7" s="25"/>
      <c r="O7" s="26"/>
      <c r="P7" s="27"/>
      <c r="Q7" s="28"/>
      <c r="R7" s="28"/>
      <c r="S7" s="26"/>
    </row>
    <row r="8" customFormat="false" ht="15" hidden="false" customHeight="false" outlineLevel="0" collapsed="false">
      <c r="A8" s="7" t="n">
        <v>4</v>
      </c>
      <c r="B8" s="9" t="s">
        <v>13</v>
      </c>
      <c r="C8" s="22" t="s">
        <v>97</v>
      </c>
      <c r="D8" s="9" t="s">
        <v>98</v>
      </c>
      <c r="E8" s="9" t="s">
        <v>47</v>
      </c>
      <c r="F8" s="9" t="s">
        <v>99</v>
      </c>
      <c r="G8" s="22" t="s">
        <v>112</v>
      </c>
      <c r="H8" s="9" t="s">
        <v>57</v>
      </c>
      <c r="I8" s="7"/>
      <c r="J8" s="23" t="s">
        <v>113</v>
      </c>
      <c r="K8" s="24" t="s">
        <v>114</v>
      </c>
      <c r="L8" s="22" t="s">
        <v>115</v>
      </c>
      <c r="M8" s="25"/>
      <c r="N8" s="25"/>
      <c r="O8" s="26"/>
      <c r="P8" s="27"/>
      <c r="Q8" s="28"/>
      <c r="R8" s="28"/>
      <c r="S8" s="26"/>
    </row>
    <row r="9" customFormat="false" ht="15" hidden="false" customHeight="false" outlineLevel="0" collapsed="false">
      <c r="A9" s="7" t="n">
        <v>5</v>
      </c>
      <c r="B9" s="9" t="s">
        <v>13</v>
      </c>
      <c r="C9" s="22" t="s">
        <v>97</v>
      </c>
      <c r="D9" s="9" t="s">
        <v>98</v>
      </c>
      <c r="E9" s="9" t="s">
        <v>48</v>
      </c>
      <c r="F9" s="9" t="s">
        <v>99</v>
      </c>
      <c r="G9" s="22" t="s">
        <v>116</v>
      </c>
      <c r="H9" s="9" t="s">
        <v>56</v>
      </c>
      <c r="I9" s="7"/>
      <c r="J9" s="23" t="s">
        <v>117</v>
      </c>
      <c r="K9" s="24" t="s">
        <v>118</v>
      </c>
      <c r="L9" s="22" t="s">
        <v>119</v>
      </c>
      <c r="M9" s="25"/>
      <c r="N9" s="25"/>
      <c r="O9" s="26"/>
      <c r="P9" s="27"/>
      <c r="Q9" s="28"/>
      <c r="R9" s="28"/>
      <c r="S9" s="26"/>
    </row>
    <row r="10" customFormat="false" ht="15" hidden="false" customHeight="false" outlineLevel="0" collapsed="false">
      <c r="A10" s="7" t="n">
        <v>6</v>
      </c>
      <c r="B10" s="9" t="s">
        <v>13</v>
      </c>
      <c r="C10" s="22" t="s">
        <v>97</v>
      </c>
      <c r="D10" s="9" t="s">
        <v>98</v>
      </c>
      <c r="E10" s="9" t="s">
        <v>48</v>
      </c>
      <c r="F10" s="9" t="s">
        <v>99</v>
      </c>
      <c r="G10" s="22" t="s">
        <v>120</v>
      </c>
      <c r="H10" s="9" t="s">
        <v>57</v>
      </c>
      <c r="I10" s="7"/>
      <c r="J10" s="23" t="s">
        <v>121</v>
      </c>
      <c r="K10" s="24" t="s">
        <v>122</v>
      </c>
      <c r="L10" s="22" t="s">
        <v>123</v>
      </c>
      <c r="M10" s="25"/>
      <c r="N10" s="25"/>
      <c r="O10" s="26"/>
      <c r="P10" s="27"/>
      <c r="Q10" s="28"/>
      <c r="R10" s="28"/>
      <c r="S10" s="26"/>
    </row>
    <row r="11" customFormat="false" ht="15" hidden="false" customHeight="false" outlineLevel="0" collapsed="false">
      <c r="A11" s="7" t="n">
        <v>7</v>
      </c>
      <c r="B11" s="9" t="s">
        <v>13</v>
      </c>
      <c r="C11" s="22" t="s">
        <v>97</v>
      </c>
      <c r="D11" s="9" t="s">
        <v>98</v>
      </c>
      <c r="E11" s="9" t="s">
        <v>48</v>
      </c>
      <c r="F11" s="9" t="s">
        <v>124</v>
      </c>
      <c r="G11" s="22" t="s">
        <v>125</v>
      </c>
      <c r="H11" s="9" t="s">
        <v>57</v>
      </c>
      <c r="I11" s="7"/>
      <c r="J11" s="23" t="s">
        <v>126</v>
      </c>
      <c r="K11" s="24" t="s">
        <v>127</v>
      </c>
      <c r="L11" s="22" t="s">
        <v>128</v>
      </c>
      <c r="M11" s="25"/>
      <c r="N11" s="25"/>
      <c r="O11" s="26"/>
      <c r="P11" s="27"/>
      <c r="Q11" s="28"/>
      <c r="R11" s="28"/>
      <c r="S11" s="26"/>
    </row>
    <row r="12" customFormat="false" ht="15" hidden="false" customHeight="false" outlineLevel="0" collapsed="false">
      <c r="A12" s="7" t="n">
        <v>8</v>
      </c>
      <c r="B12" s="9" t="s">
        <v>13</v>
      </c>
      <c r="C12" s="22" t="s">
        <v>97</v>
      </c>
      <c r="D12" s="9" t="s">
        <v>129</v>
      </c>
      <c r="E12" s="9" t="s">
        <v>47</v>
      </c>
      <c r="F12" s="9" t="s">
        <v>99</v>
      </c>
      <c r="G12" s="22" t="s">
        <v>130</v>
      </c>
      <c r="H12" s="9" t="s">
        <v>56</v>
      </c>
      <c r="I12" s="7"/>
      <c r="J12" s="23" t="s">
        <v>131</v>
      </c>
      <c r="K12" s="24" t="s">
        <v>132</v>
      </c>
      <c r="L12" s="22" t="s">
        <v>133</v>
      </c>
      <c r="M12" s="25"/>
      <c r="N12" s="25"/>
      <c r="O12" s="26"/>
      <c r="P12" s="27"/>
      <c r="Q12" s="28"/>
      <c r="R12" s="28"/>
      <c r="S12" s="26"/>
    </row>
    <row r="13" customFormat="false" ht="15" hidden="false" customHeight="false" outlineLevel="0" collapsed="false">
      <c r="A13" s="7" t="n">
        <v>9</v>
      </c>
      <c r="B13" s="9" t="s">
        <v>13</v>
      </c>
      <c r="C13" s="22" t="s">
        <v>97</v>
      </c>
      <c r="D13" s="9" t="s">
        <v>129</v>
      </c>
      <c r="E13" s="9" t="s">
        <v>47</v>
      </c>
      <c r="F13" s="9" t="s">
        <v>99</v>
      </c>
      <c r="G13" s="22" t="s">
        <v>134</v>
      </c>
      <c r="H13" s="9" t="s">
        <v>57</v>
      </c>
      <c r="I13" s="7"/>
      <c r="J13" s="23" t="s">
        <v>135</v>
      </c>
      <c r="K13" s="24" t="s">
        <v>136</v>
      </c>
      <c r="L13" s="22" t="s">
        <v>137</v>
      </c>
      <c r="M13" s="25"/>
      <c r="N13" s="25"/>
      <c r="O13" s="26"/>
      <c r="P13" s="27"/>
      <c r="Q13" s="28"/>
      <c r="R13" s="28"/>
      <c r="S13" s="26"/>
    </row>
    <row r="14" customFormat="false" ht="15" hidden="false" customHeight="false" outlineLevel="0" collapsed="false">
      <c r="A14" s="7" t="n">
        <v>10</v>
      </c>
      <c r="B14" s="9" t="s">
        <v>13</v>
      </c>
      <c r="C14" s="22" t="s">
        <v>97</v>
      </c>
      <c r="D14" s="9" t="s">
        <v>129</v>
      </c>
      <c r="E14" s="9" t="s">
        <v>47</v>
      </c>
      <c r="F14" s="9" t="s">
        <v>99</v>
      </c>
      <c r="G14" s="22" t="s">
        <v>138</v>
      </c>
      <c r="H14" s="9" t="s">
        <v>57</v>
      </c>
      <c r="I14" s="7"/>
      <c r="J14" s="23" t="s">
        <v>139</v>
      </c>
      <c r="K14" s="24" t="s">
        <v>140</v>
      </c>
      <c r="L14" s="22" t="s">
        <v>141</v>
      </c>
      <c r="M14" s="25"/>
      <c r="N14" s="25"/>
      <c r="O14" s="26"/>
      <c r="P14" s="27"/>
      <c r="Q14" s="28"/>
      <c r="R14" s="28"/>
      <c r="S14" s="26"/>
    </row>
    <row r="15" customFormat="false" ht="15" hidden="false" customHeight="false" outlineLevel="0" collapsed="false">
      <c r="A15" s="7" t="n">
        <v>11</v>
      </c>
      <c r="B15" s="9" t="s">
        <v>13</v>
      </c>
      <c r="C15" s="22" t="s">
        <v>97</v>
      </c>
      <c r="D15" s="9" t="s">
        <v>129</v>
      </c>
      <c r="E15" s="9" t="s">
        <v>47</v>
      </c>
      <c r="F15" s="9" t="s">
        <v>99</v>
      </c>
      <c r="G15" s="22" t="s">
        <v>142</v>
      </c>
      <c r="H15" s="9" t="s">
        <v>56</v>
      </c>
      <c r="I15" s="7"/>
      <c r="J15" s="23" t="s">
        <v>143</v>
      </c>
      <c r="K15" s="24" t="s">
        <v>144</v>
      </c>
      <c r="L15" s="22" t="s">
        <v>145</v>
      </c>
      <c r="M15" s="25"/>
      <c r="N15" s="25"/>
      <c r="O15" s="26"/>
      <c r="P15" s="27"/>
      <c r="Q15" s="28"/>
      <c r="R15" s="28"/>
      <c r="S15" s="26"/>
    </row>
    <row r="16" customFormat="false" ht="15" hidden="false" customHeight="false" outlineLevel="0" collapsed="false">
      <c r="A16" s="7" t="n">
        <v>12</v>
      </c>
      <c r="B16" s="9" t="s">
        <v>13</v>
      </c>
      <c r="C16" s="22" t="s">
        <v>97</v>
      </c>
      <c r="D16" s="9" t="s">
        <v>129</v>
      </c>
      <c r="E16" s="9" t="s">
        <v>48</v>
      </c>
      <c r="F16" s="9" t="s">
        <v>99</v>
      </c>
      <c r="G16" s="22" t="s">
        <v>146</v>
      </c>
      <c r="H16" s="9" t="s">
        <v>56</v>
      </c>
      <c r="I16" s="7"/>
      <c r="J16" s="23" t="s">
        <v>147</v>
      </c>
      <c r="K16" s="24" t="s">
        <v>148</v>
      </c>
      <c r="L16" s="22" t="s">
        <v>149</v>
      </c>
      <c r="M16" s="25"/>
      <c r="N16" s="25"/>
      <c r="O16" s="26"/>
      <c r="P16" s="27"/>
      <c r="Q16" s="28"/>
      <c r="R16" s="28"/>
      <c r="S16" s="26"/>
    </row>
    <row r="17" customFormat="false" ht="15" hidden="false" customHeight="false" outlineLevel="0" collapsed="false">
      <c r="A17" s="7" t="n">
        <v>13</v>
      </c>
      <c r="B17" s="9" t="s">
        <v>13</v>
      </c>
      <c r="C17" s="22" t="s">
        <v>97</v>
      </c>
      <c r="D17" s="9" t="s">
        <v>129</v>
      </c>
      <c r="E17" s="9" t="s">
        <v>48</v>
      </c>
      <c r="F17" s="9" t="s">
        <v>99</v>
      </c>
      <c r="G17" s="22" t="s">
        <v>150</v>
      </c>
      <c r="H17" s="9" t="s">
        <v>57</v>
      </c>
      <c r="I17" s="7"/>
      <c r="J17" s="23" t="s">
        <v>151</v>
      </c>
      <c r="K17" s="24" t="s">
        <v>152</v>
      </c>
      <c r="L17" s="22" t="s">
        <v>153</v>
      </c>
      <c r="M17" s="25"/>
      <c r="N17" s="25"/>
      <c r="O17" s="26"/>
      <c r="P17" s="27"/>
      <c r="Q17" s="28"/>
      <c r="R17" s="28"/>
      <c r="S17" s="26"/>
    </row>
    <row r="18" customFormat="false" ht="15" hidden="false" customHeight="false" outlineLevel="0" collapsed="false">
      <c r="A18" s="7" t="n">
        <v>14</v>
      </c>
      <c r="B18" s="9" t="s">
        <v>13</v>
      </c>
      <c r="C18" s="22" t="s">
        <v>97</v>
      </c>
      <c r="D18" s="9" t="s">
        <v>129</v>
      </c>
      <c r="E18" s="9" t="s">
        <v>48</v>
      </c>
      <c r="F18" s="9" t="s">
        <v>99</v>
      </c>
      <c r="G18" s="22" t="s">
        <v>154</v>
      </c>
      <c r="H18" s="9" t="s">
        <v>57</v>
      </c>
      <c r="I18" s="7"/>
      <c r="J18" s="23" t="s">
        <v>155</v>
      </c>
      <c r="K18" s="24" t="s">
        <v>156</v>
      </c>
      <c r="L18" s="22" t="s">
        <v>157</v>
      </c>
      <c r="M18" s="25"/>
      <c r="N18" s="25"/>
      <c r="O18" s="26"/>
      <c r="P18" s="27"/>
      <c r="Q18" s="28"/>
      <c r="R18" s="28"/>
      <c r="S18" s="26"/>
    </row>
    <row r="19" customFormat="false" ht="15" hidden="false" customHeight="false" outlineLevel="0" collapsed="false">
      <c r="A19" s="7" t="n">
        <v>15</v>
      </c>
      <c r="B19" s="9" t="s">
        <v>13</v>
      </c>
      <c r="C19" s="22" t="s">
        <v>158</v>
      </c>
      <c r="D19" s="9" t="s">
        <v>159</v>
      </c>
      <c r="E19" s="9" t="s">
        <v>47</v>
      </c>
      <c r="F19" s="9" t="s">
        <v>99</v>
      </c>
      <c r="G19" s="22" t="s">
        <v>160</v>
      </c>
      <c r="H19" s="9" t="s">
        <v>57</v>
      </c>
      <c r="I19" s="7"/>
      <c r="J19" s="23" t="s">
        <v>161</v>
      </c>
      <c r="K19" s="24" t="s">
        <v>162</v>
      </c>
      <c r="L19" s="22" t="s">
        <v>163</v>
      </c>
      <c r="M19" s="25"/>
      <c r="N19" s="25"/>
      <c r="O19" s="26"/>
      <c r="P19" s="27"/>
      <c r="Q19" s="28"/>
      <c r="R19" s="28"/>
      <c r="S19" s="26"/>
    </row>
    <row r="20" customFormat="false" ht="15" hidden="false" customHeight="false" outlineLevel="0" collapsed="false">
      <c r="A20" s="7" t="n">
        <v>16</v>
      </c>
      <c r="B20" s="9" t="s">
        <v>13</v>
      </c>
      <c r="C20" s="22" t="s">
        <v>158</v>
      </c>
      <c r="D20" s="9" t="s">
        <v>159</v>
      </c>
      <c r="E20" s="9" t="s">
        <v>47</v>
      </c>
      <c r="F20" s="9" t="s">
        <v>99</v>
      </c>
      <c r="G20" s="22" t="s">
        <v>164</v>
      </c>
      <c r="H20" s="9" t="s">
        <v>56</v>
      </c>
      <c r="I20" s="7"/>
      <c r="J20" s="23" t="s">
        <v>165</v>
      </c>
      <c r="K20" s="24" t="s">
        <v>166</v>
      </c>
      <c r="L20" s="22" t="s">
        <v>167</v>
      </c>
      <c r="M20" s="25"/>
      <c r="N20" s="25"/>
      <c r="O20" s="26"/>
      <c r="P20" s="27"/>
      <c r="Q20" s="28"/>
      <c r="R20" s="28"/>
      <c r="S20" s="26"/>
    </row>
    <row r="21" customFormat="false" ht="15" hidden="false" customHeight="false" outlineLevel="0" collapsed="false">
      <c r="A21" s="7" t="n">
        <v>17</v>
      </c>
      <c r="B21" s="9" t="s">
        <v>13</v>
      </c>
      <c r="C21" s="22" t="s">
        <v>158</v>
      </c>
      <c r="D21" s="9" t="s">
        <v>159</v>
      </c>
      <c r="E21" s="9" t="s">
        <v>47</v>
      </c>
      <c r="F21" s="9" t="s">
        <v>99</v>
      </c>
      <c r="G21" s="22" t="s">
        <v>168</v>
      </c>
      <c r="H21" s="9" t="s">
        <v>57</v>
      </c>
      <c r="I21" s="7"/>
      <c r="J21" s="23" t="s">
        <v>169</v>
      </c>
      <c r="K21" s="24" t="s">
        <v>170</v>
      </c>
      <c r="L21" s="22" t="s">
        <v>171</v>
      </c>
      <c r="M21" s="25"/>
      <c r="N21" s="25"/>
      <c r="O21" s="26"/>
      <c r="P21" s="27"/>
      <c r="Q21" s="28"/>
      <c r="R21" s="28"/>
      <c r="S21" s="26"/>
    </row>
    <row r="22" customFormat="false" ht="15" hidden="false" customHeight="false" outlineLevel="0" collapsed="false">
      <c r="A22" s="7" t="n">
        <v>18</v>
      </c>
      <c r="B22" s="9" t="s">
        <v>13</v>
      </c>
      <c r="C22" s="22" t="s">
        <v>158</v>
      </c>
      <c r="D22" s="9" t="s">
        <v>159</v>
      </c>
      <c r="E22" s="9" t="s">
        <v>47</v>
      </c>
      <c r="F22" s="9" t="s">
        <v>99</v>
      </c>
      <c r="G22" s="22" t="s">
        <v>172</v>
      </c>
      <c r="H22" s="9" t="s">
        <v>57</v>
      </c>
      <c r="I22" s="7"/>
      <c r="J22" s="23" t="s">
        <v>173</v>
      </c>
      <c r="K22" s="24" t="s">
        <v>174</v>
      </c>
      <c r="L22" s="22" t="s">
        <v>175</v>
      </c>
      <c r="M22" s="25"/>
      <c r="N22" s="25"/>
      <c r="O22" s="26"/>
      <c r="P22" s="27"/>
      <c r="Q22" s="28"/>
      <c r="R22" s="28"/>
      <c r="S22" s="26"/>
    </row>
    <row r="23" customFormat="false" ht="15" hidden="false" customHeight="false" outlineLevel="0" collapsed="false">
      <c r="A23" s="7" t="n">
        <v>19</v>
      </c>
      <c r="B23" s="9" t="s">
        <v>13</v>
      </c>
      <c r="C23" s="22" t="s">
        <v>158</v>
      </c>
      <c r="D23" s="9" t="s">
        <v>159</v>
      </c>
      <c r="E23" s="9" t="s">
        <v>47</v>
      </c>
      <c r="F23" s="9" t="s">
        <v>99</v>
      </c>
      <c r="G23" s="22" t="s">
        <v>176</v>
      </c>
      <c r="H23" s="9" t="s">
        <v>56</v>
      </c>
      <c r="I23" s="7"/>
      <c r="J23" s="23" t="s">
        <v>177</v>
      </c>
      <c r="K23" s="24" t="s">
        <v>178</v>
      </c>
      <c r="L23" s="22" t="s">
        <v>179</v>
      </c>
      <c r="M23" s="25"/>
      <c r="N23" s="25"/>
      <c r="O23" s="26"/>
      <c r="P23" s="27"/>
      <c r="Q23" s="28"/>
      <c r="R23" s="28"/>
      <c r="S23" s="26"/>
    </row>
    <row r="24" customFormat="false" ht="15" hidden="false" customHeight="false" outlineLevel="0" collapsed="false">
      <c r="A24" s="7" t="n">
        <v>20</v>
      </c>
      <c r="B24" s="9" t="s">
        <v>13</v>
      </c>
      <c r="C24" s="22" t="s">
        <v>158</v>
      </c>
      <c r="D24" s="9" t="s">
        <v>159</v>
      </c>
      <c r="E24" s="9" t="s">
        <v>47</v>
      </c>
      <c r="F24" s="9" t="s">
        <v>99</v>
      </c>
      <c r="G24" s="22" t="s">
        <v>180</v>
      </c>
      <c r="H24" s="9" t="s">
        <v>56</v>
      </c>
      <c r="I24" s="7"/>
      <c r="J24" s="23" t="s">
        <v>181</v>
      </c>
      <c r="K24" s="24" t="s">
        <v>182</v>
      </c>
      <c r="L24" s="22" t="s">
        <v>183</v>
      </c>
      <c r="M24" s="25"/>
      <c r="N24" s="25"/>
      <c r="O24" s="26"/>
      <c r="P24" s="27"/>
      <c r="Q24" s="28"/>
      <c r="R24" s="28"/>
      <c r="S24" s="26"/>
    </row>
    <row r="25" customFormat="false" ht="15" hidden="false" customHeight="false" outlineLevel="0" collapsed="false">
      <c r="A25" s="7" t="n">
        <v>21</v>
      </c>
      <c r="B25" s="9" t="s">
        <v>13</v>
      </c>
      <c r="C25" s="22" t="s">
        <v>158</v>
      </c>
      <c r="D25" s="9" t="s">
        <v>159</v>
      </c>
      <c r="E25" s="9" t="s">
        <v>48</v>
      </c>
      <c r="F25" s="9" t="s">
        <v>124</v>
      </c>
      <c r="G25" s="22" t="s">
        <v>184</v>
      </c>
      <c r="H25" s="9" t="s">
        <v>57</v>
      </c>
      <c r="I25" s="7"/>
      <c r="J25" s="23" t="s">
        <v>185</v>
      </c>
      <c r="K25" s="24" t="s">
        <v>186</v>
      </c>
      <c r="L25" s="22" t="s">
        <v>187</v>
      </c>
      <c r="M25" s="25"/>
      <c r="N25" s="25"/>
      <c r="O25" s="26"/>
      <c r="P25" s="27"/>
      <c r="Q25" s="28"/>
      <c r="R25" s="28"/>
      <c r="S25" s="26"/>
    </row>
    <row r="26" customFormat="false" ht="15" hidden="false" customHeight="false" outlineLevel="0" collapsed="false">
      <c r="A26" s="7" t="n">
        <v>22</v>
      </c>
      <c r="B26" s="9" t="s">
        <v>13</v>
      </c>
      <c r="C26" s="22" t="s">
        <v>158</v>
      </c>
      <c r="D26" s="9" t="s">
        <v>159</v>
      </c>
      <c r="E26" s="9" t="s">
        <v>48</v>
      </c>
      <c r="F26" s="9" t="s">
        <v>124</v>
      </c>
      <c r="G26" s="22" t="s">
        <v>188</v>
      </c>
      <c r="H26" s="9" t="s">
        <v>57</v>
      </c>
      <c r="I26" s="7"/>
      <c r="J26" s="23" t="s">
        <v>189</v>
      </c>
      <c r="K26" s="24" t="s">
        <v>190</v>
      </c>
      <c r="L26" s="22" t="s">
        <v>191</v>
      </c>
      <c r="M26" s="25"/>
      <c r="N26" s="25"/>
      <c r="O26" s="26"/>
      <c r="P26" s="27"/>
      <c r="Q26" s="28"/>
      <c r="R26" s="28"/>
      <c r="S26" s="26"/>
    </row>
    <row r="27" customFormat="false" ht="15" hidden="false" customHeight="false" outlineLevel="0" collapsed="false">
      <c r="A27" s="7" t="n">
        <v>23</v>
      </c>
      <c r="B27" s="9" t="s">
        <v>13</v>
      </c>
      <c r="C27" s="22" t="s">
        <v>158</v>
      </c>
      <c r="D27" s="9" t="s">
        <v>192</v>
      </c>
      <c r="E27" s="9" t="s">
        <v>47</v>
      </c>
      <c r="F27" s="9" t="s">
        <v>99</v>
      </c>
      <c r="G27" s="22" t="s">
        <v>193</v>
      </c>
      <c r="H27" s="9" t="s">
        <v>57</v>
      </c>
      <c r="I27" s="7"/>
      <c r="J27" s="23" t="s">
        <v>194</v>
      </c>
      <c r="K27" s="24" t="s">
        <v>195</v>
      </c>
      <c r="L27" s="22" t="s">
        <v>196</v>
      </c>
      <c r="M27" s="25"/>
      <c r="N27" s="25"/>
      <c r="O27" s="26"/>
      <c r="P27" s="27"/>
      <c r="Q27" s="28"/>
      <c r="R27" s="28"/>
      <c r="S27" s="26"/>
    </row>
    <row r="28" customFormat="false" ht="15" hidden="false" customHeight="false" outlineLevel="0" collapsed="false">
      <c r="A28" s="7" t="n">
        <v>24</v>
      </c>
      <c r="B28" s="9" t="s">
        <v>13</v>
      </c>
      <c r="C28" s="22" t="s">
        <v>158</v>
      </c>
      <c r="D28" s="9" t="s">
        <v>192</v>
      </c>
      <c r="E28" s="9" t="s">
        <v>47</v>
      </c>
      <c r="F28" s="9" t="s">
        <v>99</v>
      </c>
      <c r="G28" s="22" t="s">
        <v>197</v>
      </c>
      <c r="H28" s="9" t="s">
        <v>56</v>
      </c>
      <c r="I28" s="7"/>
      <c r="J28" s="23" t="s">
        <v>198</v>
      </c>
      <c r="K28" s="24" t="s">
        <v>199</v>
      </c>
      <c r="L28" s="22" t="s">
        <v>200</v>
      </c>
      <c r="M28" s="25"/>
      <c r="N28" s="25"/>
      <c r="O28" s="26"/>
      <c r="P28" s="27"/>
      <c r="Q28" s="28"/>
      <c r="R28" s="28"/>
      <c r="S28" s="26"/>
    </row>
    <row r="29" customFormat="false" ht="15" hidden="false" customHeight="false" outlineLevel="0" collapsed="false">
      <c r="A29" s="7" t="n">
        <v>25</v>
      </c>
      <c r="B29" s="9" t="s">
        <v>13</v>
      </c>
      <c r="C29" s="22" t="s">
        <v>158</v>
      </c>
      <c r="D29" s="9" t="s">
        <v>192</v>
      </c>
      <c r="E29" s="9" t="s">
        <v>47</v>
      </c>
      <c r="F29" s="9" t="s">
        <v>99</v>
      </c>
      <c r="G29" s="22" t="s">
        <v>201</v>
      </c>
      <c r="H29" s="9" t="s">
        <v>57</v>
      </c>
      <c r="I29" s="7"/>
      <c r="J29" s="23" t="s">
        <v>202</v>
      </c>
      <c r="K29" s="24" t="s">
        <v>203</v>
      </c>
      <c r="L29" s="22" t="s">
        <v>204</v>
      </c>
      <c r="M29" s="25"/>
      <c r="N29" s="25"/>
      <c r="O29" s="26"/>
      <c r="P29" s="27"/>
      <c r="Q29" s="28"/>
      <c r="R29" s="28"/>
      <c r="S29" s="26"/>
    </row>
    <row r="30" customFormat="false" ht="15" hidden="false" customHeight="false" outlineLevel="0" collapsed="false">
      <c r="A30" s="7" t="n">
        <v>26</v>
      </c>
      <c r="B30" s="9" t="s">
        <v>13</v>
      </c>
      <c r="C30" s="22" t="s">
        <v>158</v>
      </c>
      <c r="D30" s="9" t="s">
        <v>192</v>
      </c>
      <c r="E30" s="9" t="s">
        <v>47</v>
      </c>
      <c r="F30" s="9" t="s">
        <v>99</v>
      </c>
      <c r="G30" s="22" t="s">
        <v>205</v>
      </c>
      <c r="H30" s="9" t="s">
        <v>56</v>
      </c>
      <c r="I30" s="7"/>
      <c r="J30" s="23" t="s">
        <v>206</v>
      </c>
      <c r="K30" s="24" t="s">
        <v>207</v>
      </c>
      <c r="L30" s="22" t="s">
        <v>208</v>
      </c>
      <c r="M30" s="25"/>
      <c r="N30" s="25"/>
      <c r="O30" s="26"/>
      <c r="P30" s="27"/>
      <c r="Q30" s="28"/>
      <c r="R30" s="28"/>
      <c r="S30" s="26"/>
    </row>
    <row r="31" customFormat="false" ht="15" hidden="false" customHeight="false" outlineLevel="0" collapsed="false">
      <c r="A31" s="7" t="n">
        <v>27</v>
      </c>
      <c r="B31" s="9" t="s">
        <v>13</v>
      </c>
      <c r="C31" s="22" t="s">
        <v>158</v>
      </c>
      <c r="D31" s="9" t="s">
        <v>192</v>
      </c>
      <c r="E31" s="9" t="s">
        <v>47</v>
      </c>
      <c r="F31" s="9" t="s">
        <v>99</v>
      </c>
      <c r="G31" s="22" t="s">
        <v>209</v>
      </c>
      <c r="H31" s="9" t="s">
        <v>57</v>
      </c>
      <c r="I31" s="7"/>
      <c r="J31" s="23" t="s">
        <v>210</v>
      </c>
      <c r="K31" s="24" t="s">
        <v>211</v>
      </c>
      <c r="L31" s="22" t="s">
        <v>212</v>
      </c>
      <c r="M31" s="25"/>
      <c r="N31" s="25"/>
      <c r="O31" s="26"/>
      <c r="P31" s="27"/>
      <c r="Q31" s="28"/>
      <c r="R31" s="28"/>
      <c r="S31" s="26"/>
    </row>
    <row r="32" customFormat="false" ht="15" hidden="false" customHeight="false" outlineLevel="0" collapsed="false">
      <c r="A32" s="7" t="n">
        <v>28</v>
      </c>
      <c r="B32" s="9" t="s">
        <v>13</v>
      </c>
      <c r="C32" s="22" t="s">
        <v>158</v>
      </c>
      <c r="D32" s="9" t="s">
        <v>192</v>
      </c>
      <c r="E32" s="9" t="s">
        <v>47</v>
      </c>
      <c r="F32" s="9" t="s">
        <v>99</v>
      </c>
      <c r="G32" s="22" t="s">
        <v>213</v>
      </c>
      <c r="H32" s="9" t="s">
        <v>56</v>
      </c>
      <c r="I32" s="7"/>
      <c r="J32" s="23" t="s">
        <v>214</v>
      </c>
      <c r="K32" s="24" t="s">
        <v>215</v>
      </c>
      <c r="L32" s="22" t="s">
        <v>216</v>
      </c>
      <c r="M32" s="25"/>
      <c r="N32" s="25"/>
      <c r="O32" s="26"/>
      <c r="P32" s="27"/>
      <c r="Q32" s="28"/>
      <c r="R32" s="28"/>
      <c r="S32" s="26"/>
    </row>
    <row r="33" customFormat="false" ht="15" hidden="false" customHeight="false" outlineLevel="0" collapsed="false">
      <c r="A33" s="7" t="n">
        <v>29</v>
      </c>
      <c r="B33" s="9" t="s">
        <v>13</v>
      </c>
      <c r="C33" s="22" t="s">
        <v>158</v>
      </c>
      <c r="D33" s="9" t="s">
        <v>192</v>
      </c>
      <c r="E33" s="9" t="s">
        <v>47</v>
      </c>
      <c r="F33" s="9" t="s">
        <v>99</v>
      </c>
      <c r="G33" s="22" t="s">
        <v>217</v>
      </c>
      <c r="H33" s="9" t="s">
        <v>57</v>
      </c>
      <c r="I33" s="7"/>
      <c r="J33" s="23" t="s">
        <v>218</v>
      </c>
      <c r="K33" s="24" t="s">
        <v>219</v>
      </c>
      <c r="L33" s="22" t="s">
        <v>220</v>
      </c>
      <c r="M33" s="25"/>
      <c r="N33" s="25"/>
      <c r="O33" s="26"/>
      <c r="P33" s="27"/>
      <c r="Q33" s="28"/>
      <c r="R33" s="28"/>
      <c r="S33" s="26"/>
    </row>
    <row r="34" customFormat="false" ht="15" hidden="false" customHeight="false" outlineLevel="0" collapsed="false">
      <c r="A34" s="7" t="n">
        <v>30</v>
      </c>
      <c r="B34" s="9" t="s">
        <v>13</v>
      </c>
      <c r="C34" s="22" t="s">
        <v>158</v>
      </c>
      <c r="D34" s="9" t="s">
        <v>192</v>
      </c>
      <c r="E34" s="9" t="s">
        <v>47</v>
      </c>
      <c r="F34" s="9" t="s">
        <v>99</v>
      </c>
      <c r="G34" s="22" t="s">
        <v>221</v>
      </c>
      <c r="H34" s="9" t="s">
        <v>56</v>
      </c>
      <c r="I34" s="7"/>
      <c r="J34" s="23" t="s">
        <v>222</v>
      </c>
      <c r="K34" s="24" t="s">
        <v>223</v>
      </c>
      <c r="L34" s="22" t="s">
        <v>224</v>
      </c>
      <c r="M34" s="25"/>
      <c r="N34" s="25"/>
      <c r="O34" s="26"/>
      <c r="P34" s="27"/>
      <c r="Q34" s="28"/>
      <c r="R34" s="28"/>
      <c r="S34" s="26"/>
    </row>
    <row r="35" customFormat="false" ht="15" hidden="false" customHeight="false" outlineLevel="0" collapsed="false">
      <c r="A35" s="7" t="n">
        <v>31</v>
      </c>
      <c r="B35" s="9" t="s">
        <v>13</v>
      </c>
      <c r="C35" s="22" t="s">
        <v>158</v>
      </c>
      <c r="D35" s="9" t="s">
        <v>192</v>
      </c>
      <c r="E35" s="9" t="s">
        <v>48</v>
      </c>
      <c r="F35" s="9" t="s">
        <v>124</v>
      </c>
      <c r="G35" s="22" t="s">
        <v>225</v>
      </c>
      <c r="H35" s="9" t="s">
        <v>57</v>
      </c>
      <c r="I35" s="7"/>
      <c r="J35" s="23" t="s">
        <v>226</v>
      </c>
      <c r="K35" s="24" t="s">
        <v>227</v>
      </c>
      <c r="L35" s="22" t="s">
        <v>228</v>
      </c>
      <c r="M35" s="25"/>
      <c r="N35" s="25"/>
      <c r="O35" s="26"/>
      <c r="P35" s="27"/>
      <c r="Q35" s="28"/>
      <c r="R35" s="28"/>
      <c r="S35" s="26"/>
    </row>
    <row r="36" customFormat="false" ht="15" hidden="false" customHeight="false" outlineLevel="0" collapsed="false">
      <c r="A36" s="7" t="n">
        <v>32</v>
      </c>
      <c r="B36" s="9" t="s">
        <v>13</v>
      </c>
      <c r="C36" s="22" t="s">
        <v>158</v>
      </c>
      <c r="D36" s="9" t="s">
        <v>192</v>
      </c>
      <c r="E36" s="9" t="s">
        <v>48</v>
      </c>
      <c r="F36" s="9" t="s">
        <v>99</v>
      </c>
      <c r="G36" s="22" t="s">
        <v>229</v>
      </c>
      <c r="H36" s="9" t="s">
        <v>57</v>
      </c>
      <c r="I36" s="7"/>
      <c r="J36" s="23" t="s">
        <v>230</v>
      </c>
      <c r="K36" s="24" t="s">
        <v>231</v>
      </c>
      <c r="L36" s="22" t="s">
        <v>232</v>
      </c>
      <c r="M36" s="25"/>
      <c r="N36" s="25"/>
      <c r="O36" s="26"/>
      <c r="P36" s="27"/>
      <c r="Q36" s="28"/>
      <c r="R36" s="28"/>
      <c r="S36" s="26"/>
    </row>
    <row r="37" customFormat="false" ht="15" hidden="false" customHeight="false" outlineLevel="0" collapsed="false">
      <c r="A37" s="7" t="n">
        <v>33</v>
      </c>
      <c r="B37" s="9" t="s">
        <v>13</v>
      </c>
      <c r="C37" s="22" t="s">
        <v>158</v>
      </c>
      <c r="D37" s="9" t="s">
        <v>192</v>
      </c>
      <c r="E37" s="9" t="s">
        <v>48</v>
      </c>
      <c r="F37" s="9" t="s">
        <v>99</v>
      </c>
      <c r="G37" s="22" t="s">
        <v>233</v>
      </c>
      <c r="H37" s="9" t="s">
        <v>56</v>
      </c>
      <c r="I37" s="7"/>
      <c r="J37" s="23" t="s">
        <v>234</v>
      </c>
      <c r="K37" s="24" t="s">
        <v>235</v>
      </c>
      <c r="L37" s="22" t="s">
        <v>236</v>
      </c>
      <c r="M37" s="25"/>
      <c r="N37" s="25"/>
      <c r="O37" s="26"/>
      <c r="P37" s="27"/>
      <c r="Q37" s="28"/>
      <c r="R37" s="28"/>
      <c r="S37" s="26"/>
    </row>
    <row r="38" customFormat="false" ht="15" hidden="false" customHeight="false" outlineLevel="0" collapsed="false">
      <c r="A38" s="7" t="n">
        <v>34</v>
      </c>
      <c r="B38" s="9" t="s">
        <v>13</v>
      </c>
      <c r="C38" s="22" t="s">
        <v>158</v>
      </c>
      <c r="D38" s="9" t="s">
        <v>192</v>
      </c>
      <c r="E38" s="9" t="s">
        <v>48</v>
      </c>
      <c r="F38" s="9" t="s">
        <v>99</v>
      </c>
      <c r="G38" s="22" t="s">
        <v>237</v>
      </c>
      <c r="H38" s="9" t="s">
        <v>57</v>
      </c>
      <c r="I38" s="7"/>
      <c r="J38" s="23" t="s">
        <v>238</v>
      </c>
      <c r="K38" s="24" t="s">
        <v>239</v>
      </c>
      <c r="L38" s="22" t="s">
        <v>240</v>
      </c>
      <c r="M38" s="25"/>
      <c r="N38" s="25"/>
      <c r="O38" s="26"/>
      <c r="P38" s="27"/>
      <c r="Q38" s="28"/>
      <c r="R38" s="28"/>
      <c r="S38" s="26"/>
    </row>
    <row r="39" customFormat="false" ht="15" hidden="false" customHeight="false" outlineLevel="0" collapsed="false">
      <c r="A39" s="7" t="n">
        <v>35</v>
      </c>
      <c r="B39" s="9" t="s">
        <v>13</v>
      </c>
      <c r="C39" s="22" t="s">
        <v>241</v>
      </c>
      <c r="D39" s="9" t="s">
        <v>242</v>
      </c>
      <c r="E39" s="9" t="s">
        <v>47</v>
      </c>
      <c r="F39" s="9" t="s">
        <v>99</v>
      </c>
      <c r="G39" s="22" t="s">
        <v>243</v>
      </c>
      <c r="H39" s="9" t="s">
        <v>56</v>
      </c>
      <c r="I39" s="7"/>
      <c r="J39" s="23" t="s">
        <v>244</v>
      </c>
      <c r="K39" s="24" t="s">
        <v>245</v>
      </c>
      <c r="L39" s="22" t="s">
        <v>246</v>
      </c>
      <c r="M39" s="25"/>
      <c r="N39" s="25"/>
      <c r="O39" s="26"/>
      <c r="P39" s="27"/>
      <c r="Q39" s="28"/>
      <c r="R39" s="28"/>
      <c r="S39" s="26"/>
    </row>
    <row r="40" customFormat="false" ht="15" hidden="false" customHeight="false" outlineLevel="0" collapsed="false">
      <c r="A40" s="7" t="n">
        <v>36</v>
      </c>
      <c r="B40" s="9" t="s">
        <v>13</v>
      </c>
      <c r="C40" s="22" t="s">
        <v>241</v>
      </c>
      <c r="D40" s="9" t="s">
        <v>242</v>
      </c>
      <c r="E40" s="9" t="s">
        <v>47</v>
      </c>
      <c r="F40" s="9" t="s">
        <v>99</v>
      </c>
      <c r="G40" s="22" t="s">
        <v>247</v>
      </c>
      <c r="H40" s="9" t="s">
        <v>57</v>
      </c>
      <c r="I40" s="7"/>
      <c r="J40" s="23" t="s">
        <v>248</v>
      </c>
      <c r="K40" s="24" t="s">
        <v>249</v>
      </c>
      <c r="L40" s="22" t="s">
        <v>250</v>
      </c>
      <c r="M40" s="25"/>
      <c r="N40" s="25"/>
      <c r="O40" s="26"/>
      <c r="P40" s="27"/>
      <c r="Q40" s="28"/>
      <c r="R40" s="28"/>
      <c r="S40" s="26"/>
    </row>
    <row r="41" customFormat="false" ht="15" hidden="false" customHeight="false" outlineLevel="0" collapsed="false">
      <c r="A41" s="7" t="n">
        <v>37</v>
      </c>
      <c r="B41" s="9" t="s">
        <v>13</v>
      </c>
      <c r="C41" s="22" t="s">
        <v>241</v>
      </c>
      <c r="D41" s="9" t="s">
        <v>242</v>
      </c>
      <c r="E41" s="9" t="s">
        <v>47</v>
      </c>
      <c r="F41" s="9" t="s">
        <v>99</v>
      </c>
      <c r="G41" s="22" t="s">
        <v>251</v>
      </c>
      <c r="H41" s="9" t="s">
        <v>56</v>
      </c>
      <c r="I41" s="7"/>
      <c r="J41" s="23" t="s">
        <v>252</v>
      </c>
      <c r="K41" s="24" t="s">
        <v>253</v>
      </c>
      <c r="L41" s="22" t="s">
        <v>254</v>
      </c>
      <c r="M41" s="25"/>
      <c r="N41" s="25"/>
      <c r="O41" s="26"/>
      <c r="P41" s="27"/>
      <c r="Q41" s="28"/>
      <c r="R41" s="28"/>
      <c r="S41" s="26"/>
    </row>
    <row r="42" customFormat="false" ht="15" hidden="false" customHeight="false" outlineLevel="0" collapsed="false">
      <c r="A42" s="7" t="n">
        <v>38</v>
      </c>
      <c r="B42" s="9" t="s">
        <v>13</v>
      </c>
      <c r="C42" s="22" t="s">
        <v>241</v>
      </c>
      <c r="D42" s="9" t="s">
        <v>242</v>
      </c>
      <c r="E42" s="9" t="s">
        <v>47</v>
      </c>
      <c r="F42" s="9" t="s">
        <v>99</v>
      </c>
      <c r="G42" s="22" t="s">
        <v>255</v>
      </c>
      <c r="H42" s="9" t="s">
        <v>57</v>
      </c>
      <c r="I42" s="7"/>
      <c r="J42" s="23" t="s">
        <v>256</v>
      </c>
      <c r="K42" s="24" t="s">
        <v>257</v>
      </c>
      <c r="L42" s="22" t="s">
        <v>258</v>
      </c>
      <c r="M42" s="25"/>
      <c r="N42" s="25"/>
      <c r="O42" s="26"/>
      <c r="P42" s="27"/>
      <c r="Q42" s="28"/>
      <c r="R42" s="28"/>
      <c r="S42" s="26"/>
    </row>
    <row r="43" customFormat="false" ht="15" hidden="false" customHeight="false" outlineLevel="0" collapsed="false">
      <c r="A43" s="7" t="n">
        <v>39</v>
      </c>
      <c r="B43" s="9" t="s">
        <v>13</v>
      </c>
      <c r="C43" s="22" t="s">
        <v>241</v>
      </c>
      <c r="D43" s="9" t="s">
        <v>242</v>
      </c>
      <c r="E43" s="9" t="s">
        <v>47</v>
      </c>
      <c r="F43" s="9" t="s">
        <v>99</v>
      </c>
      <c r="G43" s="22" t="s">
        <v>259</v>
      </c>
      <c r="H43" s="9" t="s">
        <v>56</v>
      </c>
      <c r="I43" s="7"/>
      <c r="J43" s="23" t="s">
        <v>260</v>
      </c>
      <c r="K43" s="24" t="s">
        <v>261</v>
      </c>
      <c r="L43" s="22" t="s">
        <v>262</v>
      </c>
      <c r="M43" s="25"/>
      <c r="N43" s="25"/>
      <c r="O43" s="26"/>
      <c r="P43" s="27"/>
      <c r="Q43" s="28"/>
      <c r="R43" s="28"/>
      <c r="S43" s="26"/>
    </row>
    <row r="44" customFormat="false" ht="15" hidden="false" customHeight="false" outlineLevel="0" collapsed="false">
      <c r="A44" s="7" t="n">
        <v>40</v>
      </c>
      <c r="B44" s="9" t="s">
        <v>13</v>
      </c>
      <c r="C44" s="22" t="s">
        <v>241</v>
      </c>
      <c r="D44" s="9" t="s">
        <v>242</v>
      </c>
      <c r="E44" s="9" t="s">
        <v>48</v>
      </c>
      <c r="F44" s="9" t="s">
        <v>124</v>
      </c>
      <c r="G44" s="22" t="s">
        <v>263</v>
      </c>
      <c r="H44" s="9" t="s">
        <v>57</v>
      </c>
      <c r="I44" s="7"/>
      <c r="J44" s="23" t="s">
        <v>264</v>
      </c>
      <c r="K44" s="24" t="s">
        <v>265</v>
      </c>
      <c r="L44" s="22" t="s">
        <v>266</v>
      </c>
      <c r="M44" s="25"/>
      <c r="N44" s="25"/>
      <c r="O44" s="26"/>
      <c r="P44" s="27"/>
      <c r="Q44" s="28"/>
      <c r="R44" s="28"/>
      <c r="S44" s="26"/>
    </row>
    <row r="45" customFormat="false" ht="15" hidden="false" customHeight="false" outlineLevel="0" collapsed="false">
      <c r="A45" s="7" t="n">
        <v>41</v>
      </c>
      <c r="B45" s="9" t="s">
        <v>13</v>
      </c>
      <c r="C45" s="22" t="s">
        <v>241</v>
      </c>
      <c r="D45" s="9" t="s">
        <v>242</v>
      </c>
      <c r="E45" s="9" t="s">
        <v>48</v>
      </c>
      <c r="F45" s="9" t="s">
        <v>99</v>
      </c>
      <c r="G45" s="22" t="s">
        <v>267</v>
      </c>
      <c r="H45" s="9" t="s">
        <v>56</v>
      </c>
      <c r="I45" s="7"/>
      <c r="J45" s="23" t="s">
        <v>268</v>
      </c>
      <c r="K45" s="24" t="s">
        <v>269</v>
      </c>
      <c r="L45" s="22" t="s">
        <v>270</v>
      </c>
      <c r="M45" s="25"/>
      <c r="N45" s="25"/>
      <c r="O45" s="26"/>
      <c r="P45" s="27"/>
      <c r="Q45" s="28"/>
      <c r="R45" s="28"/>
      <c r="S45" s="26"/>
    </row>
    <row r="46" customFormat="false" ht="15" hidden="false" customHeight="false" outlineLevel="0" collapsed="false">
      <c r="A46" s="7" t="n">
        <v>42</v>
      </c>
      <c r="B46" s="9" t="s">
        <v>13</v>
      </c>
      <c r="C46" s="22" t="s">
        <v>241</v>
      </c>
      <c r="D46" s="9" t="s">
        <v>242</v>
      </c>
      <c r="E46" s="9" t="s">
        <v>48</v>
      </c>
      <c r="F46" s="9" t="s">
        <v>99</v>
      </c>
      <c r="G46" s="22" t="s">
        <v>271</v>
      </c>
      <c r="H46" s="9" t="s">
        <v>57</v>
      </c>
      <c r="I46" s="7"/>
      <c r="J46" s="23" t="s">
        <v>272</v>
      </c>
      <c r="K46" s="24" t="s">
        <v>273</v>
      </c>
      <c r="L46" s="22" t="s">
        <v>274</v>
      </c>
      <c r="M46" s="25"/>
      <c r="N46" s="25"/>
      <c r="O46" s="26"/>
      <c r="P46" s="27"/>
      <c r="Q46" s="28"/>
      <c r="R46" s="28"/>
      <c r="S46" s="26"/>
    </row>
    <row r="47" customFormat="false" ht="15" hidden="false" customHeight="false" outlineLevel="0" collapsed="false">
      <c r="A47" s="7" t="n">
        <v>43</v>
      </c>
      <c r="B47" s="9" t="s">
        <v>13</v>
      </c>
      <c r="C47" s="22" t="s">
        <v>241</v>
      </c>
      <c r="D47" s="9" t="s">
        <v>275</v>
      </c>
      <c r="E47" s="9" t="s">
        <v>47</v>
      </c>
      <c r="F47" s="9" t="s">
        <v>99</v>
      </c>
      <c r="G47" s="22" t="s">
        <v>276</v>
      </c>
      <c r="H47" s="9" t="s">
        <v>57</v>
      </c>
      <c r="I47" s="7"/>
      <c r="J47" s="23" t="s">
        <v>277</v>
      </c>
      <c r="K47" s="24" t="s">
        <v>278</v>
      </c>
      <c r="L47" s="22" t="s">
        <v>279</v>
      </c>
      <c r="M47" s="25"/>
      <c r="N47" s="25"/>
      <c r="O47" s="26"/>
      <c r="P47" s="27"/>
      <c r="Q47" s="28"/>
      <c r="R47" s="28"/>
      <c r="S47" s="26"/>
    </row>
    <row r="48" customFormat="false" ht="15" hidden="false" customHeight="false" outlineLevel="0" collapsed="false">
      <c r="A48" s="7" t="n">
        <v>44</v>
      </c>
      <c r="B48" s="9" t="s">
        <v>13</v>
      </c>
      <c r="C48" s="22" t="s">
        <v>241</v>
      </c>
      <c r="D48" s="9" t="s">
        <v>275</v>
      </c>
      <c r="E48" s="9" t="s">
        <v>47</v>
      </c>
      <c r="F48" s="9" t="s">
        <v>99</v>
      </c>
      <c r="G48" s="22" t="s">
        <v>280</v>
      </c>
      <c r="H48" s="9" t="s">
        <v>57</v>
      </c>
      <c r="I48" s="7"/>
      <c r="J48" s="23" t="s">
        <v>281</v>
      </c>
      <c r="K48" s="24" t="s">
        <v>282</v>
      </c>
      <c r="L48" s="22" t="s">
        <v>283</v>
      </c>
      <c r="M48" s="25"/>
      <c r="N48" s="25"/>
      <c r="O48" s="26"/>
      <c r="P48" s="27"/>
      <c r="Q48" s="28"/>
      <c r="R48" s="28"/>
      <c r="S48" s="26"/>
    </row>
    <row r="49" customFormat="false" ht="15" hidden="false" customHeight="false" outlineLevel="0" collapsed="false">
      <c r="A49" s="7" t="n">
        <v>45</v>
      </c>
      <c r="B49" s="9" t="s">
        <v>13</v>
      </c>
      <c r="C49" s="22" t="s">
        <v>241</v>
      </c>
      <c r="D49" s="9" t="s">
        <v>275</v>
      </c>
      <c r="E49" s="9" t="s">
        <v>47</v>
      </c>
      <c r="F49" s="9" t="s">
        <v>99</v>
      </c>
      <c r="G49" s="22" t="s">
        <v>284</v>
      </c>
      <c r="H49" s="9" t="s">
        <v>56</v>
      </c>
      <c r="I49" s="7"/>
      <c r="J49" s="23" t="s">
        <v>285</v>
      </c>
      <c r="K49" s="24" t="s">
        <v>286</v>
      </c>
      <c r="L49" s="22" t="s">
        <v>287</v>
      </c>
      <c r="M49" s="25"/>
      <c r="N49" s="25"/>
      <c r="O49" s="26"/>
      <c r="P49" s="27"/>
      <c r="Q49" s="28"/>
      <c r="R49" s="28"/>
      <c r="S49" s="26"/>
    </row>
    <row r="50" customFormat="false" ht="15" hidden="false" customHeight="false" outlineLevel="0" collapsed="false">
      <c r="A50" s="7" t="n">
        <v>46</v>
      </c>
      <c r="B50" s="9" t="s">
        <v>13</v>
      </c>
      <c r="C50" s="22" t="s">
        <v>241</v>
      </c>
      <c r="D50" s="9" t="s">
        <v>275</v>
      </c>
      <c r="E50" s="9" t="s">
        <v>48</v>
      </c>
      <c r="F50" s="9" t="s">
        <v>99</v>
      </c>
      <c r="G50" s="22" t="s">
        <v>288</v>
      </c>
      <c r="H50" s="9" t="s">
        <v>56</v>
      </c>
      <c r="I50" s="7"/>
      <c r="J50" s="23" t="s">
        <v>289</v>
      </c>
      <c r="K50" s="24" t="s">
        <v>290</v>
      </c>
      <c r="L50" s="22" t="s">
        <v>291</v>
      </c>
      <c r="M50" s="25"/>
      <c r="N50" s="25"/>
      <c r="O50" s="26"/>
      <c r="P50" s="27"/>
      <c r="Q50" s="28"/>
      <c r="R50" s="28"/>
      <c r="S50" s="26"/>
    </row>
    <row r="51" customFormat="false" ht="15" hidden="false" customHeight="false" outlineLevel="0" collapsed="false">
      <c r="A51" s="7" t="n">
        <v>47</v>
      </c>
      <c r="B51" s="9" t="s">
        <v>13</v>
      </c>
      <c r="C51" s="22" t="s">
        <v>241</v>
      </c>
      <c r="D51" s="9" t="s">
        <v>275</v>
      </c>
      <c r="E51" s="9" t="s">
        <v>48</v>
      </c>
      <c r="F51" s="9" t="s">
        <v>99</v>
      </c>
      <c r="G51" s="22" t="s">
        <v>292</v>
      </c>
      <c r="H51" s="9" t="s">
        <v>57</v>
      </c>
      <c r="I51" s="7"/>
      <c r="J51" s="23" t="s">
        <v>293</v>
      </c>
      <c r="K51" s="24" t="s">
        <v>294</v>
      </c>
      <c r="L51" s="22" t="s">
        <v>295</v>
      </c>
      <c r="M51" s="25"/>
      <c r="N51" s="25"/>
      <c r="O51" s="26"/>
      <c r="P51" s="27"/>
      <c r="Q51" s="28"/>
      <c r="R51" s="28"/>
      <c r="S51" s="26"/>
    </row>
    <row r="52" customFormat="false" ht="15" hidden="false" customHeight="false" outlineLevel="0" collapsed="false">
      <c r="A52" s="7" t="n">
        <v>48</v>
      </c>
      <c r="B52" s="9" t="s">
        <v>13</v>
      </c>
      <c r="C52" s="22" t="s">
        <v>241</v>
      </c>
      <c r="D52" s="9" t="s">
        <v>275</v>
      </c>
      <c r="E52" s="9" t="s">
        <v>48</v>
      </c>
      <c r="F52" s="9" t="s">
        <v>124</v>
      </c>
      <c r="G52" s="22" t="s">
        <v>296</v>
      </c>
      <c r="H52" s="9" t="s">
        <v>57</v>
      </c>
      <c r="I52" s="7"/>
      <c r="J52" s="23" t="s">
        <v>297</v>
      </c>
      <c r="K52" s="24" t="s">
        <v>298</v>
      </c>
      <c r="L52" s="22" t="s">
        <v>299</v>
      </c>
      <c r="M52" s="25"/>
      <c r="N52" s="25"/>
      <c r="O52" s="26"/>
      <c r="P52" s="27"/>
      <c r="Q52" s="28"/>
      <c r="R52" s="28"/>
      <c r="S52" s="26"/>
    </row>
    <row r="53" customFormat="false" ht="15" hidden="false" customHeight="false" outlineLevel="0" collapsed="false">
      <c r="A53" s="7" t="n">
        <v>49</v>
      </c>
      <c r="B53" s="9" t="s">
        <v>13</v>
      </c>
      <c r="C53" s="22" t="s">
        <v>300</v>
      </c>
      <c r="D53" s="9" t="s">
        <v>159</v>
      </c>
      <c r="E53" s="9" t="s">
        <v>49</v>
      </c>
      <c r="F53" s="9" t="s">
        <v>124</v>
      </c>
      <c r="G53" s="22" t="s">
        <v>301</v>
      </c>
      <c r="H53" s="9" t="s">
        <v>56</v>
      </c>
      <c r="I53" s="7"/>
      <c r="J53" s="23" t="s">
        <v>302</v>
      </c>
      <c r="K53" s="24" t="s">
        <v>303</v>
      </c>
      <c r="L53" s="22" t="s">
        <v>304</v>
      </c>
      <c r="M53" s="25"/>
      <c r="N53" s="25"/>
      <c r="O53" s="26"/>
      <c r="P53" s="27"/>
      <c r="Q53" s="28"/>
      <c r="R53" s="28"/>
      <c r="S53" s="26"/>
    </row>
    <row r="54" customFormat="false" ht="15" hidden="false" customHeight="false" outlineLevel="0" collapsed="false">
      <c r="A54" s="7" t="n">
        <v>50</v>
      </c>
      <c r="B54" s="9" t="s">
        <v>13</v>
      </c>
      <c r="C54" s="22" t="s">
        <v>300</v>
      </c>
      <c r="D54" s="9" t="s">
        <v>305</v>
      </c>
      <c r="E54" s="9" t="s">
        <v>49</v>
      </c>
      <c r="F54" s="9" t="s">
        <v>124</v>
      </c>
      <c r="G54" s="22" t="s">
        <v>306</v>
      </c>
      <c r="H54" s="9" t="s">
        <v>56</v>
      </c>
      <c r="I54" s="7"/>
      <c r="J54" s="23" t="s">
        <v>307</v>
      </c>
      <c r="K54" s="24" t="s">
        <v>308</v>
      </c>
      <c r="L54" s="22" t="s">
        <v>309</v>
      </c>
      <c r="M54" s="25"/>
      <c r="N54" s="25"/>
      <c r="O54" s="26"/>
      <c r="P54" s="27"/>
      <c r="Q54" s="28"/>
      <c r="R54" s="28"/>
      <c r="S54" s="26"/>
    </row>
    <row r="55" customFormat="false" ht="15" hidden="false" customHeight="false" outlineLevel="0" collapsed="false">
      <c r="A55" s="7" t="n">
        <v>51</v>
      </c>
      <c r="B55" s="9" t="s">
        <v>13</v>
      </c>
      <c r="C55" s="22" t="s">
        <v>300</v>
      </c>
      <c r="D55" s="9" t="s">
        <v>305</v>
      </c>
      <c r="E55" s="9" t="s">
        <v>49</v>
      </c>
      <c r="F55" s="9" t="s">
        <v>99</v>
      </c>
      <c r="G55" s="22" t="s">
        <v>310</v>
      </c>
      <c r="H55" s="9" t="s">
        <v>57</v>
      </c>
      <c r="I55" s="7"/>
      <c r="J55" s="23" t="s">
        <v>311</v>
      </c>
      <c r="K55" s="24" t="s">
        <v>312</v>
      </c>
      <c r="L55" s="22" t="s">
        <v>313</v>
      </c>
      <c r="M55" s="25"/>
      <c r="N55" s="25"/>
      <c r="O55" s="26"/>
      <c r="P55" s="27"/>
      <c r="Q55" s="28"/>
      <c r="R55" s="28"/>
      <c r="S55" s="26"/>
    </row>
    <row r="56" customFormat="false" ht="15" hidden="false" customHeight="false" outlineLevel="0" collapsed="false">
      <c r="A56" s="7" t="n">
        <v>52</v>
      </c>
      <c r="B56" s="9" t="s">
        <v>13</v>
      </c>
      <c r="C56" s="22" t="s">
        <v>300</v>
      </c>
      <c r="D56" s="9" t="s">
        <v>242</v>
      </c>
      <c r="E56" s="9" t="s">
        <v>49</v>
      </c>
      <c r="F56" s="9" t="s">
        <v>124</v>
      </c>
      <c r="G56" s="22" t="s">
        <v>314</v>
      </c>
      <c r="H56" s="9" t="s">
        <v>56</v>
      </c>
      <c r="I56" s="7"/>
      <c r="J56" s="23" t="s">
        <v>315</v>
      </c>
      <c r="K56" s="24" t="s">
        <v>316</v>
      </c>
      <c r="L56" s="22" t="s">
        <v>317</v>
      </c>
      <c r="M56" s="25"/>
      <c r="N56" s="25"/>
      <c r="O56" s="26"/>
      <c r="P56" s="27"/>
      <c r="Q56" s="28"/>
      <c r="R56" s="28"/>
      <c r="S56" s="26"/>
    </row>
    <row r="57" customFormat="false" ht="15" hidden="false" customHeight="false" outlineLevel="0" collapsed="false">
      <c r="A57" s="7" t="n">
        <v>53</v>
      </c>
      <c r="B57" s="9" t="s">
        <v>13</v>
      </c>
      <c r="C57" s="22" t="s">
        <v>300</v>
      </c>
      <c r="D57" s="9" t="s">
        <v>242</v>
      </c>
      <c r="E57" s="9" t="s">
        <v>49</v>
      </c>
      <c r="F57" s="9" t="s">
        <v>124</v>
      </c>
      <c r="G57" s="22" t="s">
        <v>318</v>
      </c>
      <c r="H57" s="9" t="s">
        <v>56</v>
      </c>
      <c r="I57" s="7"/>
      <c r="J57" s="23" t="s">
        <v>319</v>
      </c>
      <c r="K57" s="24" t="s">
        <v>320</v>
      </c>
      <c r="L57" s="22" t="s">
        <v>321</v>
      </c>
      <c r="M57" s="25"/>
      <c r="N57" s="25"/>
      <c r="O57" s="26"/>
      <c r="P57" s="27"/>
      <c r="Q57" s="28"/>
      <c r="R57" s="28"/>
      <c r="S57" s="26"/>
    </row>
    <row r="58" customFormat="false" ht="15" hidden="false" customHeight="false" outlineLevel="0" collapsed="false">
      <c r="A58" s="7" t="n">
        <v>54</v>
      </c>
      <c r="B58" s="9" t="s">
        <v>13</v>
      </c>
      <c r="C58" s="22" t="s">
        <v>300</v>
      </c>
      <c r="D58" s="9" t="s">
        <v>242</v>
      </c>
      <c r="E58" s="9" t="s">
        <v>49</v>
      </c>
      <c r="F58" s="9" t="s">
        <v>124</v>
      </c>
      <c r="G58" s="22" t="s">
        <v>322</v>
      </c>
      <c r="H58" s="9" t="s">
        <v>57</v>
      </c>
      <c r="I58" s="7"/>
      <c r="J58" s="23" t="s">
        <v>323</v>
      </c>
      <c r="K58" s="24" t="s">
        <v>324</v>
      </c>
      <c r="L58" s="22" t="s">
        <v>325</v>
      </c>
      <c r="M58" s="25"/>
      <c r="N58" s="25"/>
      <c r="O58" s="26"/>
      <c r="P58" s="27"/>
      <c r="Q58" s="28"/>
      <c r="R58" s="28"/>
      <c r="S58" s="26"/>
    </row>
    <row r="59" customFormat="false" ht="15" hidden="false" customHeight="false" outlineLevel="0" collapsed="false">
      <c r="A59" s="7" t="n">
        <v>55</v>
      </c>
      <c r="B59" s="9" t="s">
        <v>13</v>
      </c>
      <c r="C59" s="22" t="s">
        <v>300</v>
      </c>
      <c r="D59" s="9" t="s">
        <v>242</v>
      </c>
      <c r="E59" s="9" t="s">
        <v>326</v>
      </c>
      <c r="F59" s="9" t="s">
        <v>99</v>
      </c>
      <c r="G59" s="22" t="s">
        <v>327</v>
      </c>
      <c r="H59" s="9" t="s">
        <v>56</v>
      </c>
      <c r="I59" s="7"/>
      <c r="J59" s="23" t="s">
        <v>328</v>
      </c>
      <c r="K59" s="24" t="s">
        <v>329</v>
      </c>
      <c r="L59" s="22" t="s">
        <v>330</v>
      </c>
      <c r="M59" s="25"/>
      <c r="N59" s="25"/>
      <c r="O59" s="26"/>
      <c r="P59" s="27"/>
      <c r="Q59" s="28"/>
      <c r="R59" s="28"/>
      <c r="S59" s="26"/>
    </row>
    <row r="60" customFormat="false" ht="15" hidden="false" customHeight="false" outlineLevel="0" collapsed="false">
      <c r="A60" s="7" t="n">
        <v>56</v>
      </c>
      <c r="B60" s="9" t="s">
        <v>13</v>
      </c>
      <c r="C60" s="22" t="s">
        <v>300</v>
      </c>
      <c r="D60" s="9" t="s">
        <v>331</v>
      </c>
      <c r="E60" s="9" t="s">
        <v>49</v>
      </c>
      <c r="F60" s="9" t="s">
        <v>99</v>
      </c>
      <c r="G60" s="22" t="s">
        <v>332</v>
      </c>
      <c r="H60" s="9" t="s">
        <v>56</v>
      </c>
      <c r="I60" s="7"/>
      <c r="J60" s="23" t="s">
        <v>333</v>
      </c>
      <c r="K60" s="24" t="s">
        <v>334</v>
      </c>
      <c r="L60" s="22" t="s">
        <v>335</v>
      </c>
      <c r="M60" s="25"/>
      <c r="N60" s="25"/>
      <c r="O60" s="26"/>
      <c r="P60" s="27"/>
      <c r="Q60" s="28"/>
      <c r="R60" s="28"/>
      <c r="S60" s="26"/>
    </row>
    <row r="61" customFormat="false" ht="15" hidden="false" customHeight="false" outlineLevel="0" collapsed="false">
      <c r="A61" s="7" t="n">
        <v>57</v>
      </c>
      <c r="B61" s="9" t="s">
        <v>13</v>
      </c>
      <c r="C61" s="22" t="s">
        <v>300</v>
      </c>
      <c r="D61" s="9" t="s">
        <v>336</v>
      </c>
      <c r="E61" s="9" t="s">
        <v>49</v>
      </c>
      <c r="F61" s="9" t="s">
        <v>124</v>
      </c>
      <c r="G61" s="22" t="s">
        <v>337</v>
      </c>
      <c r="H61" s="9" t="s">
        <v>57</v>
      </c>
      <c r="I61" s="7"/>
      <c r="J61" s="23" t="s">
        <v>338</v>
      </c>
      <c r="K61" s="24" t="s">
        <v>339</v>
      </c>
      <c r="L61" s="22" t="s">
        <v>340</v>
      </c>
      <c r="M61" s="25"/>
      <c r="N61" s="25"/>
      <c r="O61" s="26"/>
      <c r="P61" s="27"/>
      <c r="Q61" s="28"/>
      <c r="R61" s="28"/>
      <c r="S61" s="26"/>
    </row>
    <row r="62" customFormat="false" ht="15" hidden="false" customHeight="false" outlineLevel="0" collapsed="false">
      <c r="A62" s="7" t="n">
        <v>58</v>
      </c>
      <c r="B62" s="9" t="s">
        <v>13</v>
      </c>
      <c r="C62" s="22" t="s">
        <v>300</v>
      </c>
      <c r="D62" s="9" t="s">
        <v>336</v>
      </c>
      <c r="E62" s="9" t="s">
        <v>49</v>
      </c>
      <c r="F62" s="9" t="s">
        <v>124</v>
      </c>
      <c r="G62" s="22" t="s">
        <v>341</v>
      </c>
      <c r="H62" s="9" t="s">
        <v>56</v>
      </c>
      <c r="I62" s="7"/>
      <c r="J62" s="23" t="s">
        <v>342</v>
      </c>
      <c r="K62" s="24" t="s">
        <v>343</v>
      </c>
      <c r="L62" s="22" t="s">
        <v>344</v>
      </c>
      <c r="M62" s="25"/>
      <c r="N62" s="25"/>
      <c r="O62" s="26"/>
      <c r="P62" s="27"/>
      <c r="Q62" s="28"/>
      <c r="R62" s="28"/>
      <c r="S62" s="26"/>
    </row>
    <row r="63" customFormat="false" ht="15" hidden="false" customHeight="false" outlineLevel="0" collapsed="false">
      <c r="A63" s="7" t="n">
        <v>59</v>
      </c>
      <c r="B63" s="9" t="s">
        <v>13</v>
      </c>
      <c r="C63" s="22" t="s">
        <v>300</v>
      </c>
      <c r="D63" s="9" t="s">
        <v>345</v>
      </c>
      <c r="E63" s="9" t="s">
        <v>49</v>
      </c>
      <c r="F63" s="9" t="s">
        <v>99</v>
      </c>
      <c r="G63" s="22" t="s">
        <v>346</v>
      </c>
      <c r="H63" s="9" t="s">
        <v>57</v>
      </c>
      <c r="I63" s="7"/>
      <c r="J63" s="23" t="s">
        <v>347</v>
      </c>
      <c r="K63" s="24" t="s">
        <v>348</v>
      </c>
      <c r="L63" s="22" t="s">
        <v>349</v>
      </c>
      <c r="M63" s="25"/>
      <c r="N63" s="25"/>
      <c r="O63" s="26"/>
      <c r="P63" s="27"/>
      <c r="Q63" s="28"/>
      <c r="R63" s="28"/>
      <c r="S63" s="26"/>
    </row>
    <row r="64" customFormat="false" ht="15" hidden="false" customHeight="false" outlineLevel="0" collapsed="false">
      <c r="A64" s="7" t="n">
        <v>60</v>
      </c>
      <c r="B64" s="9" t="s">
        <v>13</v>
      </c>
      <c r="C64" s="22" t="s">
        <v>300</v>
      </c>
      <c r="D64" s="9" t="s">
        <v>345</v>
      </c>
      <c r="E64" s="9" t="s">
        <v>49</v>
      </c>
      <c r="F64" s="9" t="s">
        <v>99</v>
      </c>
      <c r="G64" s="22" t="s">
        <v>350</v>
      </c>
      <c r="H64" s="9" t="s">
        <v>57</v>
      </c>
      <c r="I64" s="7"/>
      <c r="J64" s="23" t="s">
        <v>351</v>
      </c>
      <c r="K64" s="24" t="s">
        <v>352</v>
      </c>
      <c r="L64" s="22" t="s">
        <v>353</v>
      </c>
      <c r="M64" s="25"/>
      <c r="N64" s="25"/>
      <c r="O64" s="26"/>
      <c r="P64" s="27"/>
      <c r="Q64" s="28"/>
      <c r="R64" s="28"/>
      <c r="S64" s="26"/>
    </row>
    <row r="65" customFormat="false" ht="15" hidden="false" customHeight="false" outlineLevel="0" collapsed="false">
      <c r="A65" s="7" t="n">
        <v>61</v>
      </c>
      <c r="B65" s="9" t="s">
        <v>13</v>
      </c>
      <c r="C65" s="22" t="s">
        <v>300</v>
      </c>
      <c r="D65" s="9" t="s">
        <v>345</v>
      </c>
      <c r="E65" s="9" t="s">
        <v>49</v>
      </c>
      <c r="F65" s="9" t="s">
        <v>99</v>
      </c>
      <c r="G65" s="22" t="s">
        <v>354</v>
      </c>
      <c r="H65" s="9" t="s">
        <v>57</v>
      </c>
      <c r="I65" s="7"/>
      <c r="J65" s="23" t="s">
        <v>355</v>
      </c>
      <c r="K65" s="24" t="s">
        <v>356</v>
      </c>
      <c r="L65" s="22" t="s">
        <v>357</v>
      </c>
      <c r="M65" s="25"/>
      <c r="N65" s="25"/>
      <c r="O65" s="26"/>
      <c r="P65" s="27"/>
      <c r="Q65" s="28"/>
      <c r="R65" s="28"/>
      <c r="S65" s="26"/>
    </row>
    <row r="66" customFormat="false" ht="15" hidden="false" customHeight="false" outlineLevel="0" collapsed="false">
      <c r="A66" s="7" t="n">
        <v>62</v>
      </c>
      <c r="B66" s="9" t="s">
        <v>13</v>
      </c>
      <c r="C66" s="22" t="s">
        <v>300</v>
      </c>
      <c r="D66" s="9" t="s">
        <v>345</v>
      </c>
      <c r="E66" s="9" t="s">
        <v>326</v>
      </c>
      <c r="F66" s="9" t="s">
        <v>99</v>
      </c>
      <c r="G66" s="22" t="s">
        <v>358</v>
      </c>
      <c r="H66" s="9" t="s">
        <v>57</v>
      </c>
      <c r="I66" s="7"/>
      <c r="J66" s="23" t="s">
        <v>359</v>
      </c>
      <c r="K66" s="24" t="s">
        <v>360</v>
      </c>
      <c r="L66" s="22" t="s">
        <v>361</v>
      </c>
      <c r="M66" s="25"/>
      <c r="N66" s="25"/>
      <c r="O66" s="26"/>
      <c r="P66" s="27"/>
      <c r="Q66" s="28"/>
      <c r="R66" s="28"/>
      <c r="S66" s="26"/>
    </row>
    <row r="67" customFormat="false" ht="15" hidden="false" customHeight="false" outlineLevel="0" collapsed="false">
      <c r="A67" s="7" t="n">
        <v>63</v>
      </c>
      <c r="B67" s="9" t="s">
        <v>13</v>
      </c>
      <c r="C67" s="22" t="s">
        <v>300</v>
      </c>
      <c r="D67" s="9" t="s">
        <v>362</v>
      </c>
      <c r="E67" s="9" t="s">
        <v>49</v>
      </c>
      <c r="F67" s="9" t="s">
        <v>124</v>
      </c>
      <c r="G67" s="22" t="s">
        <v>363</v>
      </c>
      <c r="H67" s="9" t="s">
        <v>56</v>
      </c>
      <c r="I67" s="7"/>
      <c r="J67" s="23" t="s">
        <v>364</v>
      </c>
      <c r="K67" s="24" t="s">
        <v>365</v>
      </c>
      <c r="L67" s="22" t="s">
        <v>366</v>
      </c>
      <c r="M67" s="25"/>
      <c r="N67" s="25"/>
      <c r="O67" s="26"/>
      <c r="P67" s="27"/>
      <c r="Q67" s="28"/>
      <c r="R67" s="28"/>
      <c r="S67" s="26"/>
    </row>
    <row r="68" customFormat="false" ht="15" hidden="false" customHeight="false" outlineLevel="0" collapsed="false">
      <c r="A68" s="7" t="n">
        <v>64</v>
      </c>
      <c r="B68" s="9" t="s">
        <v>13</v>
      </c>
      <c r="C68" s="22" t="s">
        <v>300</v>
      </c>
      <c r="D68" s="9" t="s">
        <v>367</v>
      </c>
      <c r="E68" s="9" t="s">
        <v>49</v>
      </c>
      <c r="F68" s="9" t="s">
        <v>99</v>
      </c>
      <c r="G68" s="22" t="s">
        <v>368</v>
      </c>
      <c r="H68" s="9" t="s">
        <v>57</v>
      </c>
      <c r="I68" s="7"/>
      <c r="J68" s="23" t="s">
        <v>369</v>
      </c>
      <c r="K68" s="24" t="s">
        <v>370</v>
      </c>
      <c r="L68" s="22" t="s">
        <v>371</v>
      </c>
      <c r="M68" s="25"/>
      <c r="N68" s="25"/>
      <c r="O68" s="26"/>
      <c r="P68" s="27"/>
      <c r="Q68" s="28"/>
      <c r="R68" s="28"/>
      <c r="S68" s="26"/>
    </row>
    <row r="69" customFormat="false" ht="15" hidden="false" customHeight="false" outlineLevel="0" collapsed="false">
      <c r="A69" s="7" t="n">
        <v>65</v>
      </c>
      <c r="B69" s="9" t="s">
        <v>13</v>
      </c>
      <c r="C69" s="22" t="s">
        <v>300</v>
      </c>
      <c r="D69" s="9" t="s">
        <v>367</v>
      </c>
      <c r="E69" s="9" t="s">
        <v>49</v>
      </c>
      <c r="F69" s="9" t="s">
        <v>124</v>
      </c>
      <c r="G69" s="22" t="s">
        <v>372</v>
      </c>
      <c r="H69" s="9" t="s">
        <v>56</v>
      </c>
      <c r="I69" s="7"/>
      <c r="J69" s="23" t="s">
        <v>373</v>
      </c>
      <c r="K69" s="24" t="s">
        <v>374</v>
      </c>
      <c r="L69" s="22" t="s">
        <v>375</v>
      </c>
      <c r="M69" s="25"/>
      <c r="N69" s="25"/>
      <c r="O69" s="26"/>
      <c r="P69" s="27"/>
      <c r="Q69" s="28"/>
      <c r="R69" s="28"/>
      <c r="S69" s="26"/>
    </row>
    <row r="70" customFormat="false" ht="15" hidden="false" customHeight="false" outlineLevel="0" collapsed="false">
      <c r="A70" s="7" t="n">
        <v>66</v>
      </c>
      <c r="B70" s="9" t="s">
        <v>13</v>
      </c>
      <c r="C70" s="22" t="s">
        <v>300</v>
      </c>
      <c r="D70" s="9" t="s">
        <v>367</v>
      </c>
      <c r="E70" s="9" t="s">
        <v>49</v>
      </c>
      <c r="F70" s="9" t="s">
        <v>124</v>
      </c>
      <c r="G70" s="22" t="s">
        <v>376</v>
      </c>
      <c r="H70" s="9" t="s">
        <v>56</v>
      </c>
      <c r="I70" s="7"/>
      <c r="J70" s="23" t="s">
        <v>377</v>
      </c>
      <c r="K70" s="24" t="s">
        <v>378</v>
      </c>
      <c r="L70" s="22" t="s">
        <v>379</v>
      </c>
      <c r="M70" s="25"/>
      <c r="N70" s="25"/>
      <c r="O70" s="26"/>
      <c r="P70" s="27"/>
      <c r="Q70" s="28"/>
      <c r="R70" s="28"/>
      <c r="S70" s="26"/>
    </row>
    <row r="71" customFormat="false" ht="15" hidden="false" customHeight="false" outlineLevel="0" collapsed="false">
      <c r="A71" s="7" t="n">
        <v>67</v>
      </c>
      <c r="B71" s="9" t="s">
        <v>13</v>
      </c>
      <c r="C71" s="22" t="s">
        <v>300</v>
      </c>
      <c r="D71" s="9" t="s">
        <v>367</v>
      </c>
      <c r="E71" s="9" t="s">
        <v>49</v>
      </c>
      <c r="F71" s="9" t="s">
        <v>124</v>
      </c>
      <c r="G71" s="22" t="s">
        <v>380</v>
      </c>
      <c r="H71" s="9" t="s">
        <v>56</v>
      </c>
      <c r="I71" s="7"/>
      <c r="J71" s="23" t="s">
        <v>381</v>
      </c>
      <c r="K71" s="24" t="s">
        <v>382</v>
      </c>
      <c r="L71" s="22" t="s">
        <v>383</v>
      </c>
      <c r="M71" s="25"/>
      <c r="N71" s="25"/>
      <c r="O71" s="26"/>
      <c r="P71" s="27"/>
      <c r="Q71" s="28"/>
      <c r="R71" s="28"/>
      <c r="S71" s="26"/>
    </row>
    <row r="72" customFormat="false" ht="15" hidden="false" customHeight="false" outlineLevel="0" collapsed="false">
      <c r="A72" s="7" t="n">
        <v>68</v>
      </c>
      <c r="B72" s="9" t="s">
        <v>13</v>
      </c>
      <c r="C72" s="22" t="s">
        <v>300</v>
      </c>
      <c r="D72" s="9" t="s">
        <v>367</v>
      </c>
      <c r="E72" s="9" t="s">
        <v>49</v>
      </c>
      <c r="F72" s="9" t="s">
        <v>124</v>
      </c>
      <c r="G72" s="22" t="s">
        <v>384</v>
      </c>
      <c r="H72" s="9" t="s">
        <v>56</v>
      </c>
      <c r="I72" s="7"/>
      <c r="J72" s="23" t="s">
        <v>385</v>
      </c>
      <c r="K72" s="24" t="s">
        <v>386</v>
      </c>
      <c r="L72" s="22" t="s">
        <v>387</v>
      </c>
      <c r="M72" s="25"/>
      <c r="N72" s="25"/>
      <c r="O72" s="26"/>
      <c r="P72" s="27"/>
      <c r="Q72" s="28"/>
      <c r="R72" s="28"/>
      <c r="S72" s="26"/>
    </row>
    <row r="73" customFormat="false" ht="15" hidden="false" customHeight="false" outlineLevel="0" collapsed="false">
      <c r="A73" s="7" t="n">
        <v>69</v>
      </c>
      <c r="B73" s="9" t="s">
        <v>13</v>
      </c>
      <c r="C73" s="22" t="s">
        <v>300</v>
      </c>
      <c r="D73" s="9" t="s">
        <v>388</v>
      </c>
      <c r="E73" s="9" t="s">
        <v>49</v>
      </c>
      <c r="F73" s="9" t="s">
        <v>124</v>
      </c>
      <c r="G73" s="22" t="s">
        <v>389</v>
      </c>
      <c r="H73" s="9" t="s">
        <v>56</v>
      </c>
      <c r="I73" s="7"/>
      <c r="J73" s="23" t="s">
        <v>390</v>
      </c>
      <c r="K73" s="24" t="s">
        <v>391</v>
      </c>
      <c r="L73" s="22" t="s">
        <v>392</v>
      </c>
      <c r="M73" s="25"/>
      <c r="N73" s="25"/>
      <c r="O73" s="26"/>
      <c r="P73" s="27"/>
      <c r="Q73" s="28"/>
      <c r="R73" s="28"/>
      <c r="S73" s="26"/>
    </row>
    <row r="74" customFormat="false" ht="15" hidden="false" customHeight="false" outlineLevel="0" collapsed="false">
      <c r="A74" s="7" t="n">
        <v>70</v>
      </c>
      <c r="B74" s="9" t="s">
        <v>13</v>
      </c>
      <c r="C74" s="22" t="s">
        <v>300</v>
      </c>
      <c r="D74" s="9" t="s">
        <v>393</v>
      </c>
      <c r="E74" s="9" t="s">
        <v>49</v>
      </c>
      <c r="F74" s="9" t="s">
        <v>124</v>
      </c>
      <c r="G74" s="22" t="s">
        <v>394</v>
      </c>
      <c r="H74" s="9" t="s">
        <v>56</v>
      </c>
      <c r="I74" s="7"/>
      <c r="J74" s="23" t="s">
        <v>395</v>
      </c>
      <c r="K74" s="24" t="s">
        <v>396</v>
      </c>
      <c r="L74" s="22" t="s">
        <v>397</v>
      </c>
      <c r="M74" s="25"/>
      <c r="N74" s="25"/>
      <c r="O74" s="26"/>
      <c r="P74" s="27"/>
      <c r="Q74" s="28"/>
      <c r="R74" s="28"/>
      <c r="S74" s="26"/>
    </row>
    <row r="75" customFormat="false" ht="15" hidden="false" customHeight="false" outlineLevel="0" collapsed="false">
      <c r="A75" s="7" t="n">
        <v>71</v>
      </c>
      <c r="B75" s="9" t="s">
        <v>13</v>
      </c>
      <c r="C75" s="22" t="s">
        <v>300</v>
      </c>
      <c r="D75" s="9" t="s">
        <v>398</v>
      </c>
      <c r="E75" s="9" t="s">
        <v>49</v>
      </c>
      <c r="F75" s="9" t="s">
        <v>124</v>
      </c>
      <c r="G75" s="22" t="s">
        <v>399</v>
      </c>
      <c r="H75" s="9" t="s">
        <v>56</v>
      </c>
      <c r="I75" s="7"/>
      <c r="J75" s="23" t="s">
        <v>400</v>
      </c>
      <c r="K75" s="24" t="s">
        <v>401</v>
      </c>
      <c r="L75" s="22" t="s">
        <v>402</v>
      </c>
      <c r="M75" s="25"/>
      <c r="N75" s="25"/>
      <c r="O75" s="26"/>
      <c r="P75" s="27"/>
      <c r="Q75" s="28"/>
      <c r="R75" s="28"/>
      <c r="S75" s="26"/>
    </row>
    <row r="76" customFormat="false" ht="15" hidden="false" customHeight="false" outlineLevel="0" collapsed="false">
      <c r="A76" s="7" t="n">
        <v>72</v>
      </c>
      <c r="B76" s="9" t="s">
        <v>13</v>
      </c>
      <c r="C76" s="22" t="s">
        <v>300</v>
      </c>
      <c r="D76" s="9" t="s">
        <v>398</v>
      </c>
      <c r="E76" s="9" t="s">
        <v>49</v>
      </c>
      <c r="F76" s="9" t="s">
        <v>124</v>
      </c>
      <c r="G76" s="22" t="s">
        <v>403</v>
      </c>
      <c r="H76" s="9" t="s">
        <v>56</v>
      </c>
      <c r="I76" s="7"/>
      <c r="J76" s="23" t="s">
        <v>404</v>
      </c>
      <c r="K76" s="24" t="s">
        <v>405</v>
      </c>
      <c r="L76" s="22" t="s">
        <v>406</v>
      </c>
      <c r="M76" s="25"/>
      <c r="N76" s="25"/>
      <c r="O76" s="26"/>
      <c r="P76" s="27"/>
      <c r="Q76" s="28"/>
      <c r="R76" s="28"/>
      <c r="S76" s="26"/>
    </row>
    <row r="77" customFormat="false" ht="15" hidden="false" customHeight="false" outlineLevel="0" collapsed="false">
      <c r="A77" s="7" t="n">
        <v>73</v>
      </c>
      <c r="B77" s="9" t="s">
        <v>13</v>
      </c>
      <c r="C77" s="22" t="s">
        <v>300</v>
      </c>
      <c r="D77" s="9" t="s">
        <v>398</v>
      </c>
      <c r="E77" s="9" t="s">
        <v>49</v>
      </c>
      <c r="F77" s="9" t="s">
        <v>99</v>
      </c>
      <c r="G77" s="22" t="s">
        <v>407</v>
      </c>
      <c r="H77" s="9" t="s">
        <v>57</v>
      </c>
      <c r="I77" s="7"/>
      <c r="J77" s="23" t="s">
        <v>408</v>
      </c>
      <c r="K77" s="24" t="s">
        <v>409</v>
      </c>
      <c r="L77" s="22" t="s">
        <v>410</v>
      </c>
      <c r="M77" s="25"/>
      <c r="N77" s="25"/>
      <c r="O77" s="26"/>
      <c r="P77" s="27"/>
      <c r="Q77" s="28"/>
      <c r="R77" s="28"/>
      <c r="S77" s="26"/>
    </row>
    <row r="78" customFormat="false" ht="15" hidden="false" customHeight="false" outlineLevel="0" collapsed="false">
      <c r="A78" s="7" t="n">
        <v>74</v>
      </c>
      <c r="B78" s="9" t="s">
        <v>13</v>
      </c>
      <c r="C78" s="22" t="s">
        <v>300</v>
      </c>
      <c r="D78" s="9" t="s">
        <v>398</v>
      </c>
      <c r="E78" s="9" t="s">
        <v>49</v>
      </c>
      <c r="F78" s="9" t="s">
        <v>124</v>
      </c>
      <c r="G78" s="22" t="s">
        <v>411</v>
      </c>
      <c r="H78" s="9" t="s">
        <v>57</v>
      </c>
      <c r="I78" s="7"/>
      <c r="J78" s="23" t="s">
        <v>412</v>
      </c>
      <c r="K78" s="24" t="s">
        <v>413</v>
      </c>
      <c r="L78" s="22" t="s">
        <v>414</v>
      </c>
      <c r="M78" s="25"/>
      <c r="N78" s="25"/>
      <c r="O78" s="26"/>
      <c r="P78" s="27"/>
      <c r="Q78" s="28"/>
      <c r="R78" s="28"/>
      <c r="S78" s="26"/>
    </row>
    <row r="79" customFormat="false" ht="15" hidden="false" customHeight="false" outlineLevel="0" collapsed="false">
      <c r="A79" s="7" t="n">
        <v>75</v>
      </c>
      <c r="B79" s="9" t="s">
        <v>13</v>
      </c>
      <c r="C79" s="22" t="s">
        <v>300</v>
      </c>
      <c r="D79" s="9" t="s">
        <v>415</v>
      </c>
      <c r="E79" s="9" t="s">
        <v>49</v>
      </c>
      <c r="F79" s="9" t="s">
        <v>99</v>
      </c>
      <c r="G79" s="22" t="s">
        <v>416</v>
      </c>
      <c r="H79" s="9" t="s">
        <v>55</v>
      </c>
      <c r="I79" s="7"/>
      <c r="J79" s="23" t="s">
        <v>417</v>
      </c>
      <c r="K79" s="24" t="s">
        <v>418</v>
      </c>
      <c r="L79" s="22" t="s">
        <v>419</v>
      </c>
      <c r="M79" s="25"/>
      <c r="N79" s="25"/>
      <c r="O79" s="26"/>
      <c r="P79" s="27"/>
      <c r="Q79" s="28"/>
      <c r="R79" s="28"/>
      <c r="S79" s="26"/>
    </row>
    <row r="80" customFormat="false" ht="15" hidden="false" customHeight="false" outlineLevel="0" collapsed="false">
      <c r="A80" s="7" t="n">
        <v>76</v>
      </c>
      <c r="B80" s="9" t="s">
        <v>13</v>
      </c>
      <c r="C80" s="22" t="s">
        <v>300</v>
      </c>
      <c r="D80" s="9" t="s">
        <v>415</v>
      </c>
      <c r="E80" s="9" t="s">
        <v>49</v>
      </c>
      <c r="F80" s="9" t="s">
        <v>124</v>
      </c>
      <c r="G80" s="22" t="s">
        <v>420</v>
      </c>
      <c r="H80" s="9" t="s">
        <v>56</v>
      </c>
      <c r="I80" s="7"/>
      <c r="J80" s="23" t="s">
        <v>421</v>
      </c>
      <c r="K80" s="24" t="s">
        <v>422</v>
      </c>
      <c r="L80" s="22" t="s">
        <v>423</v>
      </c>
      <c r="M80" s="25"/>
      <c r="N80" s="25"/>
      <c r="O80" s="26"/>
      <c r="P80" s="27"/>
      <c r="Q80" s="28"/>
      <c r="R80" s="28"/>
      <c r="S80" s="26"/>
    </row>
    <row r="81" customFormat="false" ht="15" hidden="false" customHeight="false" outlineLevel="0" collapsed="false">
      <c r="A81" s="7" t="n">
        <v>77</v>
      </c>
      <c r="B81" s="9" t="s">
        <v>13</v>
      </c>
      <c r="C81" s="22" t="s">
        <v>300</v>
      </c>
      <c r="D81" s="9" t="s">
        <v>424</v>
      </c>
      <c r="E81" s="9" t="s">
        <v>49</v>
      </c>
      <c r="F81" s="9" t="s">
        <v>99</v>
      </c>
      <c r="G81" s="22" t="s">
        <v>425</v>
      </c>
      <c r="H81" s="9" t="s">
        <v>56</v>
      </c>
      <c r="I81" s="7"/>
      <c r="J81" s="23" t="s">
        <v>426</v>
      </c>
      <c r="K81" s="24" t="s">
        <v>427</v>
      </c>
      <c r="L81" s="22" t="s">
        <v>428</v>
      </c>
      <c r="M81" s="25"/>
      <c r="N81" s="25"/>
      <c r="O81" s="26"/>
      <c r="P81" s="27"/>
      <c r="Q81" s="28"/>
      <c r="R81" s="28"/>
      <c r="S81" s="26"/>
    </row>
    <row r="82" customFormat="false" ht="15" hidden="false" customHeight="false" outlineLevel="0" collapsed="false">
      <c r="A82" s="7" t="n">
        <v>78</v>
      </c>
      <c r="B82" s="9" t="s">
        <v>13</v>
      </c>
      <c r="C82" s="22" t="s">
        <v>300</v>
      </c>
      <c r="D82" s="9" t="s">
        <v>129</v>
      </c>
      <c r="E82" s="9" t="s">
        <v>49</v>
      </c>
      <c r="F82" s="9" t="s">
        <v>124</v>
      </c>
      <c r="G82" s="22" t="s">
        <v>429</v>
      </c>
      <c r="H82" s="9" t="s">
        <v>57</v>
      </c>
      <c r="I82" s="7"/>
      <c r="J82" s="23" t="s">
        <v>430</v>
      </c>
      <c r="K82" s="24" t="s">
        <v>431</v>
      </c>
      <c r="L82" s="22" t="s">
        <v>432</v>
      </c>
      <c r="M82" s="25"/>
      <c r="N82" s="25"/>
      <c r="O82" s="26"/>
      <c r="P82" s="27"/>
      <c r="Q82" s="28"/>
      <c r="R82" s="28"/>
      <c r="S82" s="26"/>
    </row>
    <row r="83" customFormat="false" ht="15" hidden="false" customHeight="false" outlineLevel="0" collapsed="false">
      <c r="A83" s="7" t="n">
        <v>79</v>
      </c>
      <c r="B83" s="9" t="s">
        <v>13</v>
      </c>
      <c r="C83" s="22" t="s">
        <v>300</v>
      </c>
      <c r="D83" s="9" t="s">
        <v>129</v>
      </c>
      <c r="E83" s="9" t="s">
        <v>49</v>
      </c>
      <c r="F83" s="9" t="s">
        <v>99</v>
      </c>
      <c r="G83" s="22" t="s">
        <v>433</v>
      </c>
      <c r="H83" s="9" t="s">
        <v>55</v>
      </c>
      <c r="I83" s="7"/>
      <c r="J83" s="23" t="s">
        <v>434</v>
      </c>
      <c r="K83" s="24" t="s">
        <v>435</v>
      </c>
      <c r="L83" s="22" t="s">
        <v>436</v>
      </c>
      <c r="M83" s="25"/>
      <c r="N83" s="25"/>
      <c r="O83" s="26"/>
      <c r="P83" s="27"/>
      <c r="Q83" s="28"/>
      <c r="R83" s="28"/>
      <c r="S83" s="26"/>
    </row>
    <row r="84" customFormat="false" ht="15" hidden="false" customHeight="false" outlineLevel="0" collapsed="false">
      <c r="A84" s="7" t="n">
        <v>80</v>
      </c>
      <c r="B84" s="9" t="s">
        <v>13</v>
      </c>
      <c r="C84" s="22" t="s">
        <v>300</v>
      </c>
      <c r="D84" s="9" t="s">
        <v>129</v>
      </c>
      <c r="E84" s="9" t="s">
        <v>49</v>
      </c>
      <c r="F84" s="9" t="s">
        <v>99</v>
      </c>
      <c r="G84" s="22" t="s">
        <v>437</v>
      </c>
      <c r="H84" s="9" t="s">
        <v>57</v>
      </c>
      <c r="I84" s="7"/>
      <c r="J84" s="23" t="s">
        <v>438</v>
      </c>
      <c r="K84" s="24" t="s">
        <v>439</v>
      </c>
      <c r="L84" s="22" t="s">
        <v>440</v>
      </c>
      <c r="M84" s="25"/>
      <c r="N84" s="25"/>
      <c r="O84" s="26"/>
      <c r="P84" s="27"/>
      <c r="Q84" s="28"/>
      <c r="R84" s="28"/>
      <c r="S84" s="26"/>
    </row>
    <row r="85" customFormat="false" ht="15" hidden="false" customHeight="false" outlineLevel="0" collapsed="false">
      <c r="A85" s="7" t="n">
        <v>81</v>
      </c>
      <c r="B85" s="9" t="s">
        <v>13</v>
      </c>
      <c r="C85" s="22" t="s">
        <v>300</v>
      </c>
      <c r="D85" s="9" t="s">
        <v>129</v>
      </c>
      <c r="E85" s="9" t="s">
        <v>49</v>
      </c>
      <c r="F85" s="9" t="s">
        <v>99</v>
      </c>
      <c r="G85" s="22" t="s">
        <v>441</v>
      </c>
      <c r="H85" s="9" t="s">
        <v>55</v>
      </c>
      <c r="I85" s="7"/>
      <c r="J85" s="23" t="s">
        <v>442</v>
      </c>
      <c r="K85" s="24" t="s">
        <v>443</v>
      </c>
      <c r="L85" s="22" t="s">
        <v>444</v>
      </c>
      <c r="M85" s="25"/>
      <c r="N85" s="25"/>
      <c r="O85" s="26"/>
      <c r="P85" s="27"/>
      <c r="Q85" s="28"/>
      <c r="R85" s="28"/>
      <c r="S85" s="26"/>
    </row>
    <row r="86" customFormat="false" ht="15" hidden="false" customHeight="false" outlineLevel="0" collapsed="false">
      <c r="A86" s="7" t="n">
        <v>82</v>
      </c>
      <c r="B86" s="9" t="s">
        <v>13</v>
      </c>
      <c r="C86" s="22" t="s">
        <v>300</v>
      </c>
      <c r="D86" s="9" t="s">
        <v>445</v>
      </c>
      <c r="E86" s="9" t="s">
        <v>49</v>
      </c>
      <c r="F86" s="9" t="s">
        <v>99</v>
      </c>
      <c r="G86" s="22" t="s">
        <v>446</v>
      </c>
      <c r="H86" s="9" t="s">
        <v>57</v>
      </c>
      <c r="I86" s="7"/>
      <c r="J86" s="23" t="s">
        <v>447</v>
      </c>
      <c r="K86" s="24" t="s">
        <v>448</v>
      </c>
      <c r="L86" s="22" t="s">
        <v>449</v>
      </c>
      <c r="M86" s="25"/>
      <c r="N86" s="25"/>
      <c r="O86" s="26"/>
      <c r="P86" s="27"/>
      <c r="Q86" s="28"/>
      <c r="R86" s="28"/>
      <c r="S86" s="26"/>
    </row>
    <row r="87" customFormat="false" ht="15" hidden="false" customHeight="false" outlineLevel="0" collapsed="false">
      <c r="A87" s="7" t="n">
        <v>83</v>
      </c>
      <c r="B87" s="9" t="s">
        <v>13</v>
      </c>
      <c r="C87" s="22" t="s">
        <v>300</v>
      </c>
      <c r="D87" s="9" t="s">
        <v>445</v>
      </c>
      <c r="E87" s="9" t="s">
        <v>49</v>
      </c>
      <c r="F87" s="9" t="s">
        <v>124</v>
      </c>
      <c r="G87" s="22" t="s">
        <v>450</v>
      </c>
      <c r="H87" s="9" t="s">
        <v>56</v>
      </c>
      <c r="I87" s="7"/>
      <c r="J87" s="23" t="s">
        <v>451</v>
      </c>
      <c r="K87" s="24" t="s">
        <v>452</v>
      </c>
      <c r="L87" s="22" t="s">
        <v>453</v>
      </c>
      <c r="M87" s="25"/>
      <c r="N87" s="25"/>
      <c r="O87" s="26"/>
      <c r="P87" s="27"/>
      <c r="Q87" s="28"/>
      <c r="R87" s="28"/>
      <c r="S87" s="26"/>
    </row>
    <row r="88" customFormat="false" ht="15" hidden="false" customHeight="false" outlineLevel="0" collapsed="false">
      <c r="A88" s="7" t="n">
        <v>84</v>
      </c>
      <c r="B88" s="9" t="s">
        <v>13</v>
      </c>
      <c r="C88" s="22" t="s">
        <v>300</v>
      </c>
      <c r="D88" s="9" t="s">
        <v>454</v>
      </c>
      <c r="E88" s="9" t="s">
        <v>49</v>
      </c>
      <c r="F88" s="9" t="s">
        <v>124</v>
      </c>
      <c r="G88" s="22" t="s">
        <v>455</v>
      </c>
      <c r="H88" s="9" t="s">
        <v>56</v>
      </c>
      <c r="I88" s="7"/>
      <c r="J88" s="23" t="s">
        <v>456</v>
      </c>
      <c r="K88" s="24" t="s">
        <v>457</v>
      </c>
      <c r="L88" s="22" t="s">
        <v>458</v>
      </c>
      <c r="M88" s="25"/>
      <c r="N88" s="25"/>
      <c r="O88" s="26"/>
      <c r="P88" s="27"/>
      <c r="Q88" s="28"/>
      <c r="R88" s="28"/>
      <c r="S88" s="26"/>
    </row>
    <row r="89" customFormat="false" ht="15" hidden="false" customHeight="false" outlineLevel="0" collapsed="false">
      <c r="A89" s="7" t="n">
        <v>85</v>
      </c>
      <c r="B89" s="9" t="s">
        <v>13</v>
      </c>
      <c r="C89" s="22" t="s">
        <v>300</v>
      </c>
      <c r="D89" s="9" t="s">
        <v>454</v>
      </c>
      <c r="E89" s="9" t="s">
        <v>49</v>
      </c>
      <c r="F89" s="9" t="s">
        <v>124</v>
      </c>
      <c r="G89" s="22" t="s">
        <v>459</v>
      </c>
      <c r="H89" s="9" t="s">
        <v>57</v>
      </c>
      <c r="I89" s="7"/>
      <c r="J89" s="23" t="s">
        <v>460</v>
      </c>
      <c r="K89" s="24" t="s">
        <v>461</v>
      </c>
      <c r="L89" s="22" t="s">
        <v>462</v>
      </c>
      <c r="M89" s="25"/>
      <c r="N89" s="25"/>
      <c r="O89" s="26"/>
      <c r="P89" s="27"/>
      <c r="Q89" s="28"/>
      <c r="R89" s="28"/>
      <c r="S89" s="26"/>
    </row>
    <row r="90" customFormat="false" ht="15" hidden="false" customHeight="false" outlineLevel="0" collapsed="false">
      <c r="A90" s="7" t="n">
        <v>86</v>
      </c>
      <c r="B90" s="9" t="s">
        <v>13</v>
      </c>
      <c r="C90" s="22" t="s">
        <v>300</v>
      </c>
      <c r="D90" s="9" t="s">
        <v>454</v>
      </c>
      <c r="E90" s="9" t="s">
        <v>49</v>
      </c>
      <c r="F90" s="9" t="s">
        <v>99</v>
      </c>
      <c r="G90" s="22" t="s">
        <v>463</v>
      </c>
      <c r="H90" s="9" t="s">
        <v>56</v>
      </c>
      <c r="I90" s="7"/>
      <c r="J90" s="23" t="s">
        <v>464</v>
      </c>
      <c r="K90" s="24" t="s">
        <v>465</v>
      </c>
      <c r="L90" s="22" t="s">
        <v>466</v>
      </c>
      <c r="M90" s="25"/>
      <c r="N90" s="25"/>
      <c r="O90" s="26"/>
      <c r="P90" s="27"/>
      <c r="Q90" s="28"/>
      <c r="R90" s="28"/>
      <c r="S90" s="26"/>
    </row>
    <row r="91" customFormat="false" ht="15" hidden="false" customHeight="false" outlineLevel="0" collapsed="false">
      <c r="A91" s="7" t="n">
        <v>87</v>
      </c>
      <c r="B91" s="9" t="s">
        <v>13</v>
      </c>
      <c r="C91" s="22" t="s">
        <v>300</v>
      </c>
      <c r="D91" s="9" t="s">
        <v>454</v>
      </c>
      <c r="E91" s="9" t="s">
        <v>49</v>
      </c>
      <c r="F91" s="9" t="s">
        <v>124</v>
      </c>
      <c r="G91" s="22" t="s">
        <v>467</v>
      </c>
      <c r="H91" s="9" t="s">
        <v>56</v>
      </c>
      <c r="I91" s="7"/>
      <c r="J91" s="23" t="s">
        <v>468</v>
      </c>
      <c r="K91" s="24" t="s">
        <v>469</v>
      </c>
      <c r="L91" s="22" t="s">
        <v>470</v>
      </c>
      <c r="M91" s="25"/>
      <c r="N91" s="25"/>
      <c r="O91" s="26"/>
      <c r="P91" s="27"/>
      <c r="Q91" s="28"/>
      <c r="R91" s="28"/>
      <c r="S91" s="26"/>
    </row>
    <row r="92" customFormat="false" ht="15" hidden="false" customHeight="false" outlineLevel="0" collapsed="false">
      <c r="A92" s="7" t="n">
        <v>88</v>
      </c>
      <c r="B92" s="9" t="s">
        <v>13</v>
      </c>
      <c r="C92" s="22" t="s">
        <v>300</v>
      </c>
      <c r="D92" s="9" t="s">
        <v>454</v>
      </c>
      <c r="E92" s="9" t="s">
        <v>49</v>
      </c>
      <c r="F92" s="9" t="s">
        <v>124</v>
      </c>
      <c r="G92" s="22" t="s">
        <v>471</v>
      </c>
      <c r="H92" s="9" t="s">
        <v>56</v>
      </c>
      <c r="I92" s="7"/>
      <c r="J92" s="23" t="s">
        <v>472</v>
      </c>
      <c r="K92" s="24" t="s">
        <v>473</v>
      </c>
      <c r="L92" s="22" t="s">
        <v>474</v>
      </c>
      <c r="M92" s="25"/>
      <c r="N92" s="25"/>
      <c r="O92" s="26"/>
      <c r="P92" s="27"/>
      <c r="Q92" s="28"/>
      <c r="R92" s="28"/>
      <c r="S92" s="26"/>
    </row>
    <row r="93" customFormat="false" ht="15" hidden="false" customHeight="false" outlineLevel="0" collapsed="false">
      <c r="A93" s="7" t="n">
        <v>89</v>
      </c>
      <c r="B93" s="9" t="s">
        <v>13</v>
      </c>
      <c r="C93" s="22" t="s">
        <v>300</v>
      </c>
      <c r="D93" s="9" t="s">
        <v>192</v>
      </c>
      <c r="E93" s="9" t="s">
        <v>49</v>
      </c>
      <c r="F93" s="9" t="s">
        <v>124</v>
      </c>
      <c r="G93" s="22" t="s">
        <v>475</v>
      </c>
      <c r="H93" s="9" t="s">
        <v>57</v>
      </c>
      <c r="I93" s="7"/>
      <c r="J93" s="23" t="s">
        <v>476</v>
      </c>
      <c r="K93" s="24" t="s">
        <v>477</v>
      </c>
      <c r="L93" s="22" t="s">
        <v>478</v>
      </c>
      <c r="M93" s="25"/>
      <c r="N93" s="25"/>
      <c r="O93" s="26"/>
      <c r="P93" s="27"/>
      <c r="Q93" s="28"/>
      <c r="R93" s="28"/>
      <c r="S93" s="26"/>
    </row>
    <row r="94" customFormat="false" ht="15" hidden="false" customHeight="false" outlineLevel="0" collapsed="false">
      <c r="A94" s="7" t="n">
        <v>90</v>
      </c>
      <c r="B94" s="9" t="s">
        <v>13</v>
      </c>
      <c r="C94" s="22" t="s">
        <v>300</v>
      </c>
      <c r="D94" s="9" t="s">
        <v>192</v>
      </c>
      <c r="E94" s="9" t="s">
        <v>49</v>
      </c>
      <c r="F94" s="9" t="s">
        <v>99</v>
      </c>
      <c r="G94" s="22" t="s">
        <v>479</v>
      </c>
      <c r="H94" s="9" t="s">
        <v>56</v>
      </c>
      <c r="I94" s="7"/>
      <c r="J94" s="23" t="s">
        <v>480</v>
      </c>
      <c r="K94" s="24" t="s">
        <v>481</v>
      </c>
      <c r="L94" s="22" t="s">
        <v>482</v>
      </c>
      <c r="M94" s="25"/>
      <c r="N94" s="25"/>
      <c r="O94" s="26"/>
      <c r="P94" s="27"/>
      <c r="Q94" s="28"/>
      <c r="R94" s="28"/>
      <c r="S94" s="26"/>
    </row>
    <row r="95" customFormat="false" ht="15" hidden="false" customHeight="false" outlineLevel="0" collapsed="false">
      <c r="A95" s="7" t="n">
        <v>91</v>
      </c>
      <c r="B95" s="9" t="s">
        <v>13</v>
      </c>
      <c r="C95" s="22" t="s">
        <v>300</v>
      </c>
      <c r="D95" s="9" t="s">
        <v>275</v>
      </c>
      <c r="E95" s="9" t="s">
        <v>49</v>
      </c>
      <c r="F95" s="9" t="s">
        <v>124</v>
      </c>
      <c r="G95" s="22" t="s">
        <v>483</v>
      </c>
      <c r="H95" s="9" t="s">
        <v>56</v>
      </c>
      <c r="I95" s="7"/>
      <c r="J95" s="23" t="s">
        <v>484</v>
      </c>
      <c r="K95" s="24" t="s">
        <v>485</v>
      </c>
      <c r="L95" s="22" t="s">
        <v>486</v>
      </c>
      <c r="M95" s="25"/>
      <c r="N95" s="25"/>
      <c r="O95" s="26"/>
      <c r="P95" s="27"/>
      <c r="Q95" s="28"/>
      <c r="R95" s="28"/>
      <c r="S95" s="26"/>
    </row>
    <row r="96" customFormat="false" ht="15" hidden="false" customHeight="false" outlineLevel="0" collapsed="false">
      <c r="A96" s="7" t="n">
        <v>92</v>
      </c>
      <c r="B96" s="9" t="s">
        <v>13</v>
      </c>
      <c r="C96" s="22" t="s">
        <v>300</v>
      </c>
      <c r="D96" s="9" t="s">
        <v>275</v>
      </c>
      <c r="E96" s="9" t="s">
        <v>49</v>
      </c>
      <c r="F96" s="9" t="s">
        <v>124</v>
      </c>
      <c r="G96" s="22" t="s">
        <v>487</v>
      </c>
      <c r="H96" s="9" t="s">
        <v>57</v>
      </c>
      <c r="I96" s="7"/>
      <c r="J96" s="23" t="s">
        <v>488</v>
      </c>
      <c r="K96" s="24" t="s">
        <v>489</v>
      </c>
      <c r="L96" s="22" t="s">
        <v>490</v>
      </c>
      <c r="M96" s="25"/>
      <c r="N96" s="25"/>
      <c r="O96" s="26"/>
      <c r="P96" s="27"/>
      <c r="Q96" s="28"/>
      <c r="R96" s="28"/>
      <c r="S96" s="26"/>
    </row>
    <row r="97" customFormat="false" ht="15" hidden="false" customHeight="false" outlineLevel="0" collapsed="false">
      <c r="A97" s="7" t="n">
        <v>93</v>
      </c>
      <c r="B97" s="9" t="s">
        <v>13</v>
      </c>
      <c r="C97" s="22" t="s">
        <v>300</v>
      </c>
      <c r="D97" s="9" t="s">
        <v>491</v>
      </c>
      <c r="E97" s="9" t="s">
        <v>49</v>
      </c>
      <c r="F97" s="9" t="s">
        <v>99</v>
      </c>
      <c r="G97" s="22" t="s">
        <v>492</v>
      </c>
      <c r="H97" s="9" t="s">
        <v>56</v>
      </c>
      <c r="I97" s="7"/>
      <c r="J97" s="23" t="s">
        <v>493</v>
      </c>
      <c r="K97" s="24" t="s">
        <v>494</v>
      </c>
      <c r="L97" s="22" t="s">
        <v>495</v>
      </c>
      <c r="M97" s="25"/>
      <c r="N97" s="25"/>
      <c r="O97" s="26"/>
      <c r="P97" s="27"/>
      <c r="Q97" s="28"/>
      <c r="R97" s="28"/>
      <c r="S97" s="26"/>
    </row>
    <row r="98" customFormat="false" ht="15" hidden="false" customHeight="false" outlineLevel="0" collapsed="false">
      <c r="A98" s="7" t="n">
        <v>94</v>
      </c>
      <c r="B98" s="9" t="s">
        <v>13</v>
      </c>
      <c r="C98" s="22" t="s">
        <v>300</v>
      </c>
      <c r="D98" s="9" t="s">
        <v>496</v>
      </c>
      <c r="E98" s="9" t="s">
        <v>49</v>
      </c>
      <c r="F98" s="9" t="s">
        <v>124</v>
      </c>
      <c r="G98" s="22" t="s">
        <v>497</v>
      </c>
      <c r="H98" s="9" t="s">
        <v>57</v>
      </c>
      <c r="I98" s="7"/>
      <c r="J98" s="23" t="s">
        <v>498</v>
      </c>
      <c r="K98" s="24" t="s">
        <v>499</v>
      </c>
      <c r="L98" s="22" t="s">
        <v>500</v>
      </c>
      <c r="M98" s="25"/>
      <c r="N98" s="25"/>
      <c r="O98" s="26"/>
      <c r="P98" s="27"/>
      <c r="Q98" s="28"/>
      <c r="R98" s="28"/>
      <c r="S98" s="26"/>
    </row>
    <row r="99" customFormat="false" ht="15" hidden="false" customHeight="false" outlineLevel="0" collapsed="false">
      <c r="A99" s="7" t="n">
        <v>95</v>
      </c>
      <c r="B99" s="9" t="s">
        <v>13</v>
      </c>
      <c r="C99" s="22" t="s">
        <v>300</v>
      </c>
      <c r="D99" s="9" t="s">
        <v>496</v>
      </c>
      <c r="E99" s="9" t="s">
        <v>49</v>
      </c>
      <c r="F99" s="9" t="s">
        <v>124</v>
      </c>
      <c r="G99" s="22" t="s">
        <v>501</v>
      </c>
      <c r="H99" s="9" t="s">
        <v>56</v>
      </c>
      <c r="I99" s="7"/>
      <c r="J99" s="23" t="s">
        <v>502</v>
      </c>
      <c r="K99" s="24" t="s">
        <v>503</v>
      </c>
      <c r="L99" s="22" t="s">
        <v>504</v>
      </c>
      <c r="M99" s="25"/>
      <c r="N99" s="25"/>
      <c r="O99" s="26"/>
      <c r="P99" s="27"/>
      <c r="Q99" s="28"/>
      <c r="R99" s="28"/>
      <c r="S99" s="26"/>
    </row>
    <row r="100" customFormat="false" ht="15" hidden="false" customHeight="false" outlineLevel="0" collapsed="false">
      <c r="A100" s="7" t="n">
        <v>96</v>
      </c>
      <c r="B100" s="9" t="s">
        <v>13</v>
      </c>
      <c r="C100" s="22" t="s">
        <v>300</v>
      </c>
      <c r="D100" s="9" t="s">
        <v>496</v>
      </c>
      <c r="E100" s="9" t="s">
        <v>49</v>
      </c>
      <c r="F100" s="9" t="s">
        <v>99</v>
      </c>
      <c r="G100" s="22" t="s">
        <v>505</v>
      </c>
      <c r="H100" s="9" t="s">
        <v>56</v>
      </c>
      <c r="I100" s="7"/>
      <c r="J100" s="23" t="s">
        <v>506</v>
      </c>
      <c r="K100" s="24" t="s">
        <v>507</v>
      </c>
      <c r="L100" s="22" t="s">
        <v>508</v>
      </c>
      <c r="M100" s="25"/>
      <c r="N100" s="25"/>
      <c r="O100" s="26"/>
      <c r="P100" s="27"/>
      <c r="Q100" s="28"/>
      <c r="R100" s="28"/>
      <c r="S100" s="26"/>
    </row>
    <row r="101" customFormat="false" ht="15" hidden="false" customHeight="false" outlineLevel="0" collapsed="false">
      <c r="A101" s="7" t="n">
        <v>97</v>
      </c>
      <c r="B101" s="9" t="s">
        <v>13</v>
      </c>
      <c r="C101" s="22" t="s">
        <v>300</v>
      </c>
      <c r="D101" s="9" t="s">
        <v>509</v>
      </c>
      <c r="E101" s="9" t="s">
        <v>49</v>
      </c>
      <c r="F101" s="9" t="s">
        <v>124</v>
      </c>
      <c r="G101" s="22" t="s">
        <v>510</v>
      </c>
      <c r="H101" s="9" t="s">
        <v>57</v>
      </c>
      <c r="I101" s="7"/>
      <c r="J101" s="23" t="s">
        <v>511</v>
      </c>
      <c r="K101" s="24" t="s">
        <v>512</v>
      </c>
      <c r="L101" s="22" t="s">
        <v>513</v>
      </c>
      <c r="M101" s="25"/>
      <c r="N101" s="25"/>
      <c r="O101" s="26"/>
      <c r="P101" s="27"/>
      <c r="Q101" s="28"/>
      <c r="R101" s="28"/>
      <c r="S101" s="26"/>
    </row>
    <row r="102" customFormat="false" ht="15" hidden="false" customHeight="false" outlineLevel="0" collapsed="false">
      <c r="A102" s="7" t="n">
        <v>98</v>
      </c>
      <c r="B102" s="9" t="s">
        <v>13</v>
      </c>
      <c r="C102" s="22" t="s">
        <v>300</v>
      </c>
      <c r="D102" s="9" t="s">
        <v>509</v>
      </c>
      <c r="E102" s="9" t="s">
        <v>49</v>
      </c>
      <c r="F102" s="9" t="s">
        <v>124</v>
      </c>
      <c r="G102" s="22" t="s">
        <v>514</v>
      </c>
      <c r="H102" s="9" t="s">
        <v>57</v>
      </c>
      <c r="I102" s="7"/>
      <c r="J102" s="23" t="s">
        <v>515</v>
      </c>
      <c r="K102" s="24" t="s">
        <v>516</v>
      </c>
      <c r="L102" s="22" t="s">
        <v>517</v>
      </c>
      <c r="M102" s="25"/>
      <c r="N102" s="25"/>
      <c r="O102" s="26"/>
      <c r="P102" s="27"/>
      <c r="Q102" s="28"/>
      <c r="R102" s="28"/>
      <c r="S102" s="26"/>
    </row>
    <row r="103" customFormat="false" ht="15" hidden="false" customHeight="false" outlineLevel="0" collapsed="false">
      <c r="A103" s="7" t="n">
        <v>99</v>
      </c>
      <c r="B103" s="9" t="s">
        <v>13</v>
      </c>
      <c r="C103" s="22" t="s">
        <v>300</v>
      </c>
      <c r="D103" s="9" t="s">
        <v>509</v>
      </c>
      <c r="E103" s="9" t="s">
        <v>49</v>
      </c>
      <c r="F103" s="9" t="s">
        <v>124</v>
      </c>
      <c r="G103" s="22" t="s">
        <v>518</v>
      </c>
      <c r="H103" s="9" t="s">
        <v>57</v>
      </c>
      <c r="I103" s="7"/>
      <c r="J103" s="23" t="s">
        <v>519</v>
      </c>
      <c r="K103" s="24" t="s">
        <v>520</v>
      </c>
      <c r="L103" s="22" t="s">
        <v>521</v>
      </c>
      <c r="M103" s="25"/>
      <c r="N103" s="25"/>
      <c r="O103" s="26"/>
      <c r="P103" s="27"/>
      <c r="Q103" s="28"/>
      <c r="R103" s="28"/>
      <c r="S103" s="26"/>
    </row>
    <row r="104" customFormat="false" ht="15" hidden="false" customHeight="false" outlineLevel="0" collapsed="false">
      <c r="A104" s="7" t="n">
        <v>100</v>
      </c>
      <c r="B104" s="9" t="s">
        <v>13</v>
      </c>
      <c r="C104" s="22" t="s">
        <v>300</v>
      </c>
      <c r="D104" s="9" t="s">
        <v>509</v>
      </c>
      <c r="E104" s="9" t="s">
        <v>326</v>
      </c>
      <c r="F104" s="9" t="s">
        <v>99</v>
      </c>
      <c r="G104" s="22" t="s">
        <v>522</v>
      </c>
      <c r="H104" s="9" t="s">
        <v>57</v>
      </c>
      <c r="I104" s="7"/>
      <c r="J104" s="23" t="s">
        <v>523</v>
      </c>
      <c r="K104" s="24" t="s">
        <v>524</v>
      </c>
      <c r="L104" s="22" t="s">
        <v>525</v>
      </c>
      <c r="M104" s="25"/>
      <c r="N104" s="25"/>
      <c r="O104" s="26"/>
      <c r="P104" s="27"/>
      <c r="Q104" s="28"/>
      <c r="R104" s="28"/>
      <c r="S104" s="26"/>
    </row>
    <row r="105" customFormat="false" ht="15" hidden="false" customHeight="false" outlineLevel="0" collapsed="false">
      <c r="A105" s="7" t="n">
        <v>101</v>
      </c>
      <c r="B105" s="9" t="s">
        <v>13</v>
      </c>
      <c r="C105" s="22" t="s">
        <v>300</v>
      </c>
      <c r="D105" s="9" t="s">
        <v>526</v>
      </c>
      <c r="E105" s="9" t="s">
        <v>49</v>
      </c>
      <c r="F105" s="9" t="s">
        <v>124</v>
      </c>
      <c r="G105" s="22" t="s">
        <v>527</v>
      </c>
      <c r="H105" s="9" t="s">
        <v>57</v>
      </c>
      <c r="I105" s="7"/>
      <c r="J105" s="23" t="s">
        <v>528</v>
      </c>
      <c r="K105" s="24" t="s">
        <v>529</v>
      </c>
      <c r="L105" s="22" t="s">
        <v>530</v>
      </c>
      <c r="M105" s="25"/>
      <c r="N105" s="25"/>
      <c r="O105" s="26"/>
      <c r="P105" s="27"/>
      <c r="Q105" s="28"/>
      <c r="R105" s="28"/>
      <c r="S105" s="26"/>
    </row>
    <row r="106" customFormat="false" ht="15" hidden="false" customHeight="false" outlineLevel="0" collapsed="false">
      <c r="A106" s="7" t="n">
        <v>102</v>
      </c>
      <c r="B106" s="9" t="s">
        <v>13</v>
      </c>
      <c r="C106" s="22" t="s">
        <v>300</v>
      </c>
      <c r="D106" s="9" t="s">
        <v>526</v>
      </c>
      <c r="E106" s="9" t="s">
        <v>49</v>
      </c>
      <c r="F106" s="9" t="s">
        <v>124</v>
      </c>
      <c r="G106" s="22" t="s">
        <v>531</v>
      </c>
      <c r="H106" s="9" t="s">
        <v>56</v>
      </c>
      <c r="I106" s="7"/>
      <c r="J106" s="23" t="s">
        <v>532</v>
      </c>
      <c r="K106" s="24" t="s">
        <v>533</v>
      </c>
      <c r="L106" s="22" t="s">
        <v>534</v>
      </c>
      <c r="M106" s="25"/>
      <c r="N106" s="25"/>
      <c r="O106" s="26"/>
      <c r="P106" s="27"/>
      <c r="Q106" s="28"/>
      <c r="R106" s="28"/>
      <c r="S106" s="26"/>
    </row>
    <row r="107" customFormat="false" ht="15" hidden="false" customHeight="false" outlineLevel="0" collapsed="false">
      <c r="A107" s="7" t="n">
        <v>103</v>
      </c>
      <c r="B107" s="9" t="s">
        <v>13</v>
      </c>
      <c r="C107" s="22" t="s">
        <v>300</v>
      </c>
      <c r="D107" s="9" t="s">
        <v>535</v>
      </c>
      <c r="E107" s="9" t="s">
        <v>49</v>
      </c>
      <c r="F107" s="9" t="s">
        <v>99</v>
      </c>
      <c r="G107" s="22" t="s">
        <v>536</v>
      </c>
      <c r="H107" s="9" t="s">
        <v>56</v>
      </c>
      <c r="I107" s="7"/>
      <c r="J107" s="23" t="s">
        <v>537</v>
      </c>
      <c r="K107" s="24" t="s">
        <v>538</v>
      </c>
      <c r="L107" s="22" t="s">
        <v>539</v>
      </c>
      <c r="M107" s="25"/>
      <c r="N107" s="25"/>
      <c r="O107" s="26"/>
      <c r="P107" s="27"/>
      <c r="Q107" s="28"/>
      <c r="R107" s="28"/>
      <c r="S107" s="26"/>
    </row>
    <row r="108" customFormat="false" ht="15" hidden="false" customHeight="false" outlineLevel="0" collapsed="false">
      <c r="A108" s="7" t="n">
        <v>104</v>
      </c>
      <c r="B108" s="9" t="s">
        <v>13</v>
      </c>
      <c r="C108" s="22" t="s">
        <v>300</v>
      </c>
      <c r="D108" s="9" t="s">
        <v>535</v>
      </c>
      <c r="E108" s="9" t="s">
        <v>49</v>
      </c>
      <c r="F108" s="9" t="s">
        <v>124</v>
      </c>
      <c r="G108" s="22" t="s">
        <v>540</v>
      </c>
      <c r="H108" s="9" t="s">
        <v>56</v>
      </c>
      <c r="I108" s="7"/>
      <c r="J108" s="23" t="s">
        <v>541</v>
      </c>
      <c r="K108" s="24" t="s">
        <v>542</v>
      </c>
      <c r="L108" s="22" t="s">
        <v>543</v>
      </c>
      <c r="M108" s="25"/>
      <c r="N108" s="25"/>
      <c r="O108" s="26"/>
      <c r="P108" s="27"/>
      <c r="Q108" s="28"/>
      <c r="R108" s="28"/>
      <c r="S108" s="26"/>
    </row>
    <row r="109" customFormat="false" ht="15" hidden="false" customHeight="false" outlineLevel="0" collapsed="false">
      <c r="A109" s="7" t="n">
        <v>105</v>
      </c>
      <c r="B109" s="9" t="s">
        <v>13</v>
      </c>
      <c r="C109" s="22" t="s">
        <v>300</v>
      </c>
      <c r="D109" s="9" t="s">
        <v>535</v>
      </c>
      <c r="E109" s="9" t="s">
        <v>49</v>
      </c>
      <c r="F109" s="9" t="s">
        <v>99</v>
      </c>
      <c r="G109" s="22" t="s">
        <v>544</v>
      </c>
      <c r="H109" s="9" t="s">
        <v>56</v>
      </c>
      <c r="I109" s="7"/>
      <c r="J109" s="23" t="s">
        <v>545</v>
      </c>
      <c r="K109" s="24" t="s">
        <v>546</v>
      </c>
      <c r="L109" s="22" t="s">
        <v>547</v>
      </c>
      <c r="M109" s="25"/>
      <c r="N109" s="25"/>
      <c r="O109" s="26"/>
      <c r="P109" s="27"/>
      <c r="Q109" s="28"/>
      <c r="R109" s="28"/>
      <c r="S109" s="26"/>
    </row>
    <row r="110" customFormat="false" ht="15" hidden="false" customHeight="false" outlineLevel="0" collapsed="false">
      <c r="A110" s="7" t="n">
        <v>106</v>
      </c>
      <c r="B110" s="9" t="s">
        <v>13</v>
      </c>
      <c r="C110" s="22" t="s">
        <v>300</v>
      </c>
      <c r="D110" s="9" t="s">
        <v>535</v>
      </c>
      <c r="E110" s="9" t="s">
        <v>49</v>
      </c>
      <c r="F110" s="9" t="s">
        <v>99</v>
      </c>
      <c r="G110" s="22" t="s">
        <v>548</v>
      </c>
      <c r="H110" s="9" t="s">
        <v>55</v>
      </c>
      <c r="I110" s="7"/>
      <c r="J110" s="23" t="s">
        <v>549</v>
      </c>
      <c r="K110" s="24" t="s">
        <v>550</v>
      </c>
      <c r="L110" s="22" t="s">
        <v>551</v>
      </c>
      <c r="M110" s="25"/>
      <c r="N110" s="25"/>
      <c r="O110" s="26"/>
      <c r="P110" s="27"/>
      <c r="Q110" s="28"/>
      <c r="R110" s="28"/>
      <c r="S110" s="26"/>
    </row>
    <row r="111" customFormat="false" ht="15" hidden="false" customHeight="false" outlineLevel="0" collapsed="false">
      <c r="A111" s="7" t="n">
        <v>107</v>
      </c>
      <c r="B111" s="9" t="s">
        <v>13</v>
      </c>
      <c r="C111" s="22" t="s">
        <v>552</v>
      </c>
      <c r="D111" s="9" t="s">
        <v>454</v>
      </c>
      <c r="E111" s="9" t="s">
        <v>48</v>
      </c>
      <c r="F111" s="9" t="s">
        <v>553</v>
      </c>
      <c r="G111" s="22" t="s">
        <v>554</v>
      </c>
      <c r="H111" s="9" t="s">
        <v>57</v>
      </c>
      <c r="I111" s="7"/>
      <c r="J111" s="23" t="s">
        <v>555</v>
      </c>
      <c r="K111" s="24" t="s">
        <v>556</v>
      </c>
      <c r="L111" s="22" t="s">
        <v>557</v>
      </c>
      <c r="M111" s="25"/>
      <c r="N111" s="25"/>
      <c r="O111" s="26"/>
      <c r="P111" s="27"/>
      <c r="Q111" s="28"/>
      <c r="R111" s="28"/>
      <c r="S111" s="26"/>
    </row>
    <row r="112" customFormat="false" ht="15" hidden="false" customHeight="false" outlineLevel="0" collapsed="false">
      <c r="A112" s="7" t="n">
        <v>108</v>
      </c>
      <c r="B112" s="9" t="s">
        <v>13</v>
      </c>
      <c r="C112" s="22" t="s">
        <v>552</v>
      </c>
      <c r="D112" s="9" t="s">
        <v>509</v>
      </c>
      <c r="E112" s="9" t="s">
        <v>48</v>
      </c>
      <c r="F112" s="9" t="s">
        <v>553</v>
      </c>
      <c r="G112" s="22" t="s">
        <v>558</v>
      </c>
      <c r="H112" s="9" t="s">
        <v>56</v>
      </c>
      <c r="I112" s="7"/>
      <c r="J112" s="23" t="s">
        <v>559</v>
      </c>
      <c r="K112" s="24" t="s">
        <v>560</v>
      </c>
      <c r="L112" s="22" t="s">
        <v>561</v>
      </c>
      <c r="M112" s="25"/>
      <c r="N112" s="25"/>
      <c r="O112" s="26"/>
      <c r="P112" s="27"/>
      <c r="Q112" s="28"/>
      <c r="R112" s="28"/>
      <c r="S112" s="26"/>
    </row>
    <row r="113" customFormat="false" ht="15" hidden="false" customHeight="false" outlineLevel="0" collapsed="false">
      <c r="A113" s="7" t="n">
        <v>109</v>
      </c>
      <c r="B113" s="9" t="s">
        <v>13</v>
      </c>
      <c r="C113" s="22" t="s">
        <v>562</v>
      </c>
      <c r="D113" s="9" t="s">
        <v>345</v>
      </c>
      <c r="E113" s="9" t="s">
        <v>47</v>
      </c>
      <c r="F113" s="9" t="s">
        <v>99</v>
      </c>
      <c r="G113" s="22" t="s">
        <v>563</v>
      </c>
      <c r="H113" s="9" t="s">
        <v>56</v>
      </c>
      <c r="I113" s="7"/>
      <c r="J113" s="23" t="s">
        <v>564</v>
      </c>
      <c r="K113" s="24" t="s">
        <v>565</v>
      </c>
      <c r="L113" s="22" t="s">
        <v>566</v>
      </c>
      <c r="M113" s="25"/>
      <c r="N113" s="25"/>
      <c r="O113" s="26"/>
      <c r="P113" s="27"/>
      <c r="Q113" s="28"/>
      <c r="R113" s="28"/>
      <c r="S113" s="26"/>
    </row>
    <row r="114" customFormat="false" ht="15" hidden="false" customHeight="false" outlineLevel="0" collapsed="false">
      <c r="A114" s="7" t="n">
        <v>110</v>
      </c>
      <c r="B114" s="9" t="s">
        <v>13</v>
      </c>
      <c r="C114" s="22" t="s">
        <v>562</v>
      </c>
      <c r="D114" s="9" t="s">
        <v>345</v>
      </c>
      <c r="E114" s="9" t="s">
        <v>47</v>
      </c>
      <c r="F114" s="9" t="s">
        <v>99</v>
      </c>
      <c r="G114" s="22" t="s">
        <v>567</v>
      </c>
      <c r="H114" s="9" t="s">
        <v>56</v>
      </c>
      <c r="I114" s="7"/>
      <c r="J114" s="23" t="s">
        <v>568</v>
      </c>
      <c r="K114" s="24" t="s">
        <v>569</v>
      </c>
      <c r="L114" s="22" t="s">
        <v>570</v>
      </c>
      <c r="M114" s="25"/>
      <c r="N114" s="25"/>
      <c r="O114" s="26"/>
      <c r="P114" s="27"/>
      <c r="Q114" s="28"/>
      <c r="R114" s="28"/>
      <c r="S114" s="26"/>
    </row>
    <row r="115" customFormat="false" ht="15" hidden="false" customHeight="false" outlineLevel="0" collapsed="false">
      <c r="A115" s="7" t="n">
        <v>111</v>
      </c>
      <c r="B115" s="9" t="s">
        <v>13</v>
      </c>
      <c r="C115" s="22" t="s">
        <v>562</v>
      </c>
      <c r="D115" s="9" t="s">
        <v>345</v>
      </c>
      <c r="E115" s="9" t="s">
        <v>47</v>
      </c>
      <c r="F115" s="9" t="s">
        <v>99</v>
      </c>
      <c r="G115" s="22" t="s">
        <v>571</v>
      </c>
      <c r="H115" s="9" t="s">
        <v>56</v>
      </c>
      <c r="I115" s="7"/>
      <c r="J115" s="23" t="s">
        <v>572</v>
      </c>
      <c r="K115" s="24" t="s">
        <v>573</v>
      </c>
      <c r="L115" s="22" t="s">
        <v>574</v>
      </c>
      <c r="M115" s="25"/>
      <c r="N115" s="25"/>
      <c r="O115" s="26"/>
      <c r="P115" s="27"/>
      <c r="Q115" s="28"/>
      <c r="R115" s="28"/>
      <c r="S115" s="26"/>
    </row>
    <row r="116" customFormat="false" ht="15" hidden="false" customHeight="false" outlineLevel="0" collapsed="false">
      <c r="A116" s="7" t="n">
        <v>112</v>
      </c>
      <c r="B116" s="9" t="s">
        <v>13</v>
      </c>
      <c r="C116" s="22" t="s">
        <v>562</v>
      </c>
      <c r="D116" s="9" t="s">
        <v>345</v>
      </c>
      <c r="E116" s="9" t="s">
        <v>47</v>
      </c>
      <c r="F116" s="9" t="s">
        <v>99</v>
      </c>
      <c r="G116" s="22" t="s">
        <v>575</v>
      </c>
      <c r="H116" s="9" t="s">
        <v>57</v>
      </c>
      <c r="I116" s="7"/>
      <c r="J116" s="23" t="s">
        <v>576</v>
      </c>
      <c r="K116" s="24" t="s">
        <v>577</v>
      </c>
      <c r="L116" s="22" t="s">
        <v>578</v>
      </c>
      <c r="M116" s="25"/>
      <c r="N116" s="25"/>
      <c r="O116" s="26"/>
      <c r="P116" s="27"/>
      <c r="Q116" s="28"/>
      <c r="R116" s="28"/>
      <c r="S116" s="26"/>
    </row>
    <row r="117" customFormat="false" ht="15" hidden="false" customHeight="false" outlineLevel="0" collapsed="false">
      <c r="A117" s="7" t="n">
        <v>113</v>
      </c>
      <c r="B117" s="9" t="s">
        <v>13</v>
      </c>
      <c r="C117" s="22" t="s">
        <v>562</v>
      </c>
      <c r="D117" s="9" t="s">
        <v>345</v>
      </c>
      <c r="E117" s="9" t="s">
        <v>47</v>
      </c>
      <c r="F117" s="9" t="s">
        <v>99</v>
      </c>
      <c r="G117" s="22" t="s">
        <v>579</v>
      </c>
      <c r="H117" s="9" t="s">
        <v>57</v>
      </c>
      <c r="I117" s="7"/>
      <c r="J117" s="23" t="s">
        <v>580</v>
      </c>
      <c r="K117" s="24" t="s">
        <v>581</v>
      </c>
      <c r="L117" s="22" t="s">
        <v>582</v>
      </c>
      <c r="M117" s="25"/>
      <c r="N117" s="25"/>
      <c r="O117" s="26"/>
      <c r="P117" s="27"/>
      <c r="Q117" s="28"/>
      <c r="R117" s="28"/>
      <c r="S117" s="26"/>
    </row>
    <row r="118" customFormat="false" ht="15" hidden="false" customHeight="false" outlineLevel="0" collapsed="false">
      <c r="A118" s="7" t="n">
        <v>114</v>
      </c>
      <c r="B118" s="9" t="s">
        <v>13</v>
      </c>
      <c r="C118" s="22" t="s">
        <v>562</v>
      </c>
      <c r="D118" s="9" t="s">
        <v>362</v>
      </c>
      <c r="E118" s="9" t="s">
        <v>47</v>
      </c>
      <c r="F118" s="9" t="s">
        <v>99</v>
      </c>
      <c r="G118" s="22" t="s">
        <v>583</v>
      </c>
      <c r="H118" s="9" t="s">
        <v>56</v>
      </c>
      <c r="I118" s="7"/>
      <c r="J118" s="23" t="s">
        <v>584</v>
      </c>
      <c r="K118" s="24" t="s">
        <v>585</v>
      </c>
      <c r="L118" s="22" t="s">
        <v>586</v>
      </c>
      <c r="M118" s="25"/>
      <c r="N118" s="25"/>
      <c r="O118" s="26"/>
      <c r="P118" s="27"/>
      <c r="Q118" s="28"/>
      <c r="R118" s="28"/>
      <c r="S118" s="26"/>
    </row>
    <row r="119" customFormat="false" ht="15" hidden="false" customHeight="false" outlineLevel="0" collapsed="false">
      <c r="A119" s="7" t="n">
        <v>115</v>
      </c>
      <c r="B119" s="9" t="s">
        <v>13</v>
      </c>
      <c r="C119" s="22" t="s">
        <v>562</v>
      </c>
      <c r="D119" s="9" t="s">
        <v>362</v>
      </c>
      <c r="E119" s="9" t="s">
        <v>47</v>
      </c>
      <c r="F119" s="9" t="s">
        <v>99</v>
      </c>
      <c r="G119" s="22" t="s">
        <v>587</v>
      </c>
      <c r="H119" s="9" t="s">
        <v>56</v>
      </c>
      <c r="I119" s="7"/>
      <c r="J119" s="23" t="s">
        <v>588</v>
      </c>
      <c r="K119" s="24" t="s">
        <v>589</v>
      </c>
      <c r="L119" s="22" t="s">
        <v>590</v>
      </c>
      <c r="M119" s="25"/>
      <c r="N119" s="25"/>
      <c r="O119" s="26"/>
      <c r="P119" s="27"/>
      <c r="Q119" s="28"/>
      <c r="R119" s="28"/>
      <c r="S119" s="26"/>
    </row>
    <row r="120" customFormat="false" ht="15" hidden="false" customHeight="false" outlineLevel="0" collapsed="false">
      <c r="A120" s="7" t="n">
        <v>116</v>
      </c>
      <c r="B120" s="9" t="s">
        <v>13</v>
      </c>
      <c r="C120" s="22" t="s">
        <v>562</v>
      </c>
      <c r="D120" s="9" t="s">
        <v>491</v>
      </c>
      <c r="E120" s="9" t="s">
        <v>47</v>
      </c>
      <c r="F120" s="9" t="s">
        <v>99</v>
      </c>
      <c r="G120" s="22" t="s">
        <v>591</v>
      </c>
      <c r="H120" s="9" t="s">
        <v>56</v>
      </c>
      <c r="I120" s="7"/>
      <c r="J120" s="23" t="s">
        <v>592</v>
      </c>
      <c r="K120" s="24" t="s">
        <v>593</v>
      </c>
      <c r="L120" s="22" t="s">
        <v>594</v>
      </c>
      <c r="M120" s="25"/>
      <c r="N120" s="25"/>
      <c r="O120" s="26"/>
      <c r="P120" s="27"/>
      <c r="Q120" s="28"/>
      <c r="R120" s="28"/>
      <c r="S120" s="26"/>
    </row>
    <row r="121" customFormat="false" ht="15" hidden="false" customHeight="false" outlineLevel="0" collapsed="false">
      <c r="A121" s="7" t="n">
        <v>117</v>
      </c>
      <c r="B121" s="9" t="s">
        <v>13</v>
      </c>
      <c r="C121" s="22" t="s">
        <v>562</v>
      </c>
      <c r="D121" s="9" t="s">
        <v>491</v>
      </c>
      <c r="E121" s="9" t="s">
        <v>47</v>
      </c>
      <c r="F121" s="9" t="s">
        <v>99</v>
      </c>
      <c r="G121" s="22" t="s">
        <v>595</v>
      </c>
      <c r="H121" s="9" t="s">
        <v>57</v>
      </c>
      <c r="I121" s="7"/>
      <c r="J121" s="23" t="s">
        <v>596</v>
      </c>
      <c r="K121" s="24" t="s">
        <v>597</v>
      </c>
      <c r="L121" s="22" t="s">
        <v>598</v>
      </c>
      <c r="M121" s="25"/>
      <c r="N121" s="25"/>
      <c r="O121" s="26"/>
      <c r="P121" s="27"/>
      <c r="Q121" s="28"/>
      <c r="R121" s="28"/>
      <c r="S121" s="26"/>
    </row>
    <row r="122" customFormat="false" ht="15" hidden="false" customHeight="false" outlineLevel="0" collapsed="false">
      <c r="A122" s="7" t="n">
        <v>118</v>
      </c>
      <c r="B122" s="9" t="s">
        <v>13</v>
      </c>
      <c r="C122" s="22" t="s">
        <v>562</v>
      </c>
      <c r="D122" s="9" t="s">
        <v>491</v>
      </c>
      <c r="E122" s="9" t="s">
        <v>48</v>
      </c>
      <c r="F122" s="9" t="s">
        <v>99</v>
      </c>
      <c r="G122" s="22" t="s">
        <v>599</v>
      </c>
      <c r="H122" s="9" t="s">
        <v>57</v>
      </c>
      <c r="I122" s="7"/>
      <c r="J122" s="23" t="s">
        <v>600</v>
      </c>
      <c r="K122" s="24" t="s">
        <v>601</v>
      </c>
      <c r="L122" s="22" t="s">
        <v>602</v>
      </c>
      <c r="M122" s="25"/>
      <c r="N122" s="25"/>
      <c r="O122" s="26"/>
      <c r="P122" s="27"/>
      <c r="Q122" s="28"/>
      <c r="R122" s="28"/>
      <c r="S122" s="26"/>
    </row>
    <row r="123" customFormat="false" ht="15" hidden="false" customHeight="false" outlineLevel="0" collapsed="false">
      <c r="A123" s="7" t="n">
        <v>119</v>
      </c>
      <c r="B123" s="9" t="s">
        <v>13</v>
      </c>
      <c r="C123" s="22" t="s">
        <v>562</v>
      </c>
      <c r="D123" s="9" t="s">
        <v>491</v>
      </c>
      <c r="E123" s="9" t="s">
        <v>48</v>
      </c>
      <c r="F123" s="9" t="s">
        <v>99</v>
      </c>
      <c r="G123" s="22" t="s">
        <v>603</v>
      </c>
      <c r="H123" s="9" t="s">
        <v>57</v>
      </c>
      <c r="I123" s="7"/>
      <c r="J123" s="23" t="s">
        <v>604</v>
      </c>
      <c r="K123" s="24" t="s">
        <v>605</v>
      </c>
      <c r="L123" s="22" t="s">
        <v>606</v>
      </c>
      <c r="M123" s="25"/>
      <c r="N123" s="25"/>
      <c r="O123" s="26"/>
      <c r="P123" s="27"/>
      <c r="Q123" s="28"/>
      <c r="R123" s="28"/>
      <c r="S123" s="26"/>
    </row>
    <row r="124" customFormat="false" ht="15" hidden="false" customHeight="false" outlineLevel="0" collapsed="false">
      <c r="A124" s="7" t="n">
        <v>120</v>
      </c>
      <c r="B124" s="9" t="s">
        <v>13</v>
      </c>
      <c r="C124" s="22" t="s">
        <v>562</v>
      </c>
      <c r="D124" s="9" t="s">
        <v>491</v>
      </c>
      <c r="E124" s="9" t="s">
        <v>48</v>
      </c>
      <c r="F124" s="9" t="s">
        <v>99</v>
      </c>
      <c r="G124" s="22" t="s">
        <v>607</v>
      </c>
      <c r="H124" s="9" t="s">
        <v>57</v>
      </c>
      <c r="I124" s="7"/>
      <c r="J124" s="23" t="s">
        <v>608</v>
      </c>
      <c r="K124" s="24" t="s">
        <v>609</v>
      </c>
      <c r="L124" s="22" t="s">
        <v>610</v>
      </c>
      <c r="M124" s="25"/>
      <c r="N124" s="25"/>
      <c r="O124" s="26"/>
      <c r="P124" s="27"/>
      <c r="Q124" s="28"/>
      <c r="R124" s="28"/>
      <c r="S124" s="26"/>
    </row>
    <row r="125" customFormat="false" ht="15" hidden="false" customHeight="false" outlineLevel="0" collapsed="false">
      <c r="A125" s="7" t="n">
        <v>121</v>
      </c>
      <c r="B125" s="9" t="s">
        <v>13</v>
      </c>
      <c r="C125" s="22" t="s">
        <v>611</v>
      </c>
      <c r="D125" s="9" t="s">
        <v>393</v>
      </c>
      <c r="E125" s="9" t="s">
        <v>47</v>
      </c>
      <c r="F125" s="9" t="s">
        <v>99</v>
      </c>
      <c r="G125" s="22" t="s">
        <v>612</v>
      </c>
      <c r="H125" s="9" t="s">
        <v>56</v>
      </c>
      <c r="I125" s="7"/>
      <c r="J125" s="23" t="s">
        <v>613</v>
      </c>
      <c r="K125" s="24" t="s">
        <v>614</v>
      </c>
      <c r="L125" s="22" t="s">
        <v>615</v>
      </c>
      <c r="M125" s="25"/>
      <c r="N125" s="25"/>
      <c r="O125" s="26"/>
      <c r="P125" s="27"/>
      <c r="Q125" s="28"/>
      <c r="R125" s="28"/>
      <c r="S125" s="26"/>
    </row>
    <row r="126" customFormat="false" ht="15" hidden="false" customHeight="false" outlineLevel="0" collapsed="false">
      <c r="A126" s="7" t="n">
        <v>122</v>
      </c>
      <c r="B126" s="9" t="s">
        <v>13</v>
      </c>
      <c r="C126" s="22" t="s">
        <v>611</v>
      </c>
      <c r="D126" s="9" t="s">
        <v>393</v>
      </c>
      <c r="E126" s="9" t="s">
        <v>48</v>
      </c>
      <c r="F126" s="9" t="s">
        <v>124</v>
      </c>
      <c r="G126" s="22" t="s">
        <v>616</v>
      </c>
      <c r="H126" s="9" t="s">
        <v>57</v>
      </c>
      <c r="I126" s="7"/>
      <c r="J126" s="23" t="s">
        <v>617</v>
      </c>
      <c r="K126" s="24" t="s">
        <v>618</v>
      </c>
      <c r="L126" s="22" t="s">
        <v>619</v>
      </c>
      <c r="M126" s="25"/>
      <c r="N126" s="25"/>
      <c r="O126" s="26"/>
      <c r="P126" s="27"/>
      <c r="Q126" s="28"/>
      <c r="R126" s="28"/>
      <c r="S126" s="26"/>
    </row>
    <row r="127" customFormat="false" ht="15" hidden="false" customHeight="false" outlineLevel="0" collapsed="false">
      <c r="A127" s="7" t="n">
        <v>123</v>
      </c>
      <c r="B127" s="9" t="s">
        <v>13</v>
      </c>
      <c r="C127" s="22" t="s">
        <v>611</v>
      </c>
      <c r="D127" s="9" t="s">
        <v>393</v>
      </c>
      <c r="E127" s="9" t="s">
        <v>48</v>
      </c>
      <c r="F127" s="9" t="s">
        <v>99</v>
      </c>
      <c r="G127" s="22" t="s">
        <v>620</v>
      </c>
      <c r="H127" s="9" t="s">
        <v>56</v>
      </c>
      <c r="I127" s="7"/>
      <c r="J127" s="23" t="s">
        <v>621</v>
      </c>
      <c r="K127" s="24" t="s">
        <v>622</v>
      </c>
      <c r="L127" s="22" t="s">
        <v>623</v>
      </c>
      <c r="M127" s="25"/>
      <c r="N127" s="25"/>
      <c r="O127" s="26"/>
      <c r="P127" s="27"/>
      <c r="Q127" s="28"/>
      <c r="R127" s="28"/>
      <c r="S127" s="26"/>
    </row>
    <row r="128" customFormat="false" ht="15" hidden="false" customHeight="false" outlineLevel="0" collapsed="false">
      <c r="A128" s="7" t="n">
        <v>124</v>
      </c>
      <c r="B128" s="9" t="s">
        <v>13</v>
      </c>
      <c r="C128" s="22" t="s">
        <v>611</v>
      </c>
      <c r="D128" s="9" t="s">
        <v>535</v>
      </c>
      <c r="E128" s="9" t="s">
        <v>47</v>
      </c>
      <c r="F128" s="9" t="s">
        <v>99</v>
      </c>
      <c r="G128" s="22" t="s">
        <v>624</v>
      </c>
      <c r="H128" s="9" t="s">
        <v>57</v>
      </c>
      <c r="I128" s="7"/>
      <c r="J128" s="23" t="s">
        <v>625</v>
      </c>
      <c r="K128" s="24" t="s">
        <v>626</v>
      </c>
      <c r="L128" s="22" t="s">
        <v>627</v>
      </c>
      <c r="M128" s="25"/>
      <c r="N128" s="25"/>
      <c r="O128" s="26"/>
      <c r="P128" s="27"/>
      <c r="Q128" s="28"/>
      <c r="R128" s="28"/>
      <c r="S128" s="26"/>
    </row>
    <row r="129" customFormat="false" ht="15" hidden="false" customHeight="false" outlineLevel="0" collapsed="false">
      <c r="A129" s="7" t="n">
        <v>125</v>
      </c>
      <c r="B129" s="9" t="s">
        <v>13</v>
      </c>
      <c r="C129" s="22" t="s">
        <v>611</v>
      </c>
      <c r="D129" s="9" t="s">
        <v>535</v>
      </c>
      <c r="E129" s="9" t="s">
        <v>48</v>
      </c>
      <c r="F129" s="9" t="s">
        <v>99</v>
      </c>
      <c r="G129" s="22" t="s">
        <v>628</v>
      </c>
      <c r="H129" s="9" t="s">
        <v>57</v>
      </c>
      <c r="I129" s="7"/>
      <c r="J129" s="23" t="s">
        <v>629</v>
      </c>
      <c r="K129" s="24" t="s">
        <v>630</v>
      </c>
      <c r="L129" s="22" t="s">
        <v>631</v>
      </c>
      <c r="M129" s="25"/>
      <c r="N129" s="25"/>
      <c r="O129" s="26"/>
      <c r="P129" s="27"/>
      <c r="Q129" s="28"/>
      <c r="R129" s="28"/>
      <c r="S129" s="26"/>
    </row>
    <row r="130" customFormat="false" ht="15" hidden="false" customHeight="false" outlineLevel="0" collapsed="false">
      <c r="A130" s="7" t="n">
        <v>126</v>
      </c>
      <c r="B130" s="9" t="s">
        <v>13</v>
      </c>
      <c r="C130" s="22" t="s">
        <v>632</v>
      </c>
      <c r="D130" s="9" t="s">
        <v>331</v>
      </c>
      <c r="E130" s="9" t="s">
        <v>47</v>
      </c>
      <c r="F130" s="9" t="s">
        <v>99</v>
      </c>
      <c r="G130" s="22" t="s">
        <v>633</v>
      </c>
      <c r="H130" s="9" t="s">
        <v>57</v>
      </c>
      <c r="I130" s="7"/>
      <c r="J130" s="23" t="s">
        <v>634</v>
      </c>
      <c r="K130" s="24" t="s">
        <v>635</v>
      </c>
      <c r="L130" s="22" t="s">
        <v>636</v>
      </c>
      <c r="M130" s="25"/>
      <c r="N130" s="25"/>
      <c r="O130" s="26"/>
      <c r="P130" s="27"/>
      <c r="Q130" s="28"/>
      <c r="R130" s="28"/>
      <c r="S130" s="26"/>
    </row>
    <row r="131" customFormat="false" ht="15" hidden="false" customHeight="false" outlineLevel="0" collapsed="false">
      <c r="A131" s="7" t="n">
        <v>127</v>
      </c>
      <c r="B131" s="9" t="s">
        <v>13</v>
      </c>
      <c r="C131" s="22" t="s">
        <v>632</v>
      </c>
      <c r="D131" s="9" t="s">
        <v>331</v>
      </c>
      <c r="E131" s="9" t="s">
        <v>47</v>
      </c>
      <c r="F131" s="9" t="s">
        <v>99</v>
      </c>
      <c r="G131" s="22" t="s">
        <v>637</v>
      </c>
      <c r="H131" s="9" t="s">
        <v>56</v>
      </c>
      <c r="I131" s="7"/>
      <c r="J131" s="23" t="s">
        <v>638</v>
      </c>
      <c r="K131" s="24" t="s">
        <v>639</v>
      </c>
      <c r="L131" s="22" t="s">
        <v>640</v>
      </c>
      <c r="M131" s="25"/>
      <c r="N131" s="25"/>
      <c r="O131" s="26"/>
      <c r="P131" s="27"/>
      <c r="Q131" s="28"/>
      <c r="R131" s="28"/>
      <c r="S131" s="26"/>
    </row>
    <row r="132" customFormat="false" ht="15" hidden="false" customHeight="false" outlineLevel="0" collapsed="false">
      <c r="A132" s="7" t="n">
        <v>128</v>
      </c>
      <c r="B132" s="9" t="s">
        <v>13</v>
      </c>
      <c r="C132" s="22" t="s">
        <v>632</v>
      </c>
      <c r="D132" s="9" t="s">
        <v>331</v>
      </c>
      <c r="E132" s="9" t="s">
        <v>47</v>
      </c>
      <c r="F132" s="9" t="s">
        <v>99</v>
      </c>
      <c r="G132" s="22" t="s">
        <v>641</v>
      </c>
      <c r="H132" s="9" t="s">
        <v>56</v>
      </c>
      <c r="I132" s="7"/>
      <c r="J132" s="23" t="s">
        <v>642</v>
      </c>
      <c r="K132" s="24" t="s">
        <v>643</v>
      </c>
      <c r="L132" s="22" t="s">
        <v>644</v>
      </c>
      <c r="M132" s="25"/>
      <c r="N132" s="25"/>
      <c r="O132" s="26"/>
      <c r="P132" s="27"/>
      <c r="Q132" s="28"/>
      <c r="R132" s="28"/>
      <c r="S132" s="26"/>
    </row>
    <row r="133" customFormat="false" ht="15" hidden="false" customHeight="false" outlineLevel="0" collapsed="false">
      <c r="A133" s="7" t="n">
        <v>129</v>
      </c>
      <c r="B133" s="9" t="s">
        <v>13</v>
      </c>
      <c r="C133" s="22" t="s">
        <v>632</v>
      </c>
      <c r="D133" s="9" t="s">
        <v>398</v>
      </c>
      <c r="E133" s="9" t="s">
        <v>47</v>
      </c>
      <c r="F133" s="9" t="s">
        <v>99</v>
      </c>
      <c r="G133" s="22" t="s">
        <v>645</v>
      </c>
      <c r="H133" s="9" t="s">
        <v>57</v>
      </c>
      <c r="I133" s="7"/>
      <c r="J133" s="23" t="s">
        <v>646</v>
      </c>
      <c r="K133" s="24" t="s">
        <v>647</v>
      </c>
      <c r="L133" s="22" t="s">
        <v>648</v>
      </c>
      <c r="M133" s="25"/>
      <c r="N133" s="25"/>
      <c r="O133" s="26"/>
      <c r="P133" s="27"/>
      <c r="Q133" s="28"/>
      <c r="R133" s="28"/>
      <c r="S133" s="26"/>
    </row>
    <row r="134" customFormat="false" ht="15" hidden="false" customHeight="false" outlineLevel="0" collapsed="false">
      <c r="A134" s="7" t="n">
        <v>130</v>
      </c>
      <c r="B134" s="9" t="s">
        <v>13</v>
      </c>
      <c r="C134" s="22" t="s">
        <v>632</v>
      </c>
      <c r="D134" s="9" t="s">
        <v>398</v>
      </c>
      <c r="E134" s="9" t="s">
        <v>47</v>
      </c>
      <c r="F134" s="9" t="s">
        <v>99</v>
      </c>
      <c r="G134" s="22" t="s">
        <v>649</v>
      </c>
      <c r="H134" s="9" t="s">
        <v>56</v>
      </c>
      <c r="I134" s="7"/>
      <c r="J134" s="23" t="s">
        <v>650</v>
      </c>
      <c r="K134" s="24" t="s">
        <v>651</v>
      </c>
      <c r="L134" s="22" t="s">
        <v>652</v>
      </c>
      <c r="M134" s="25"/>
      <c r="N134" s="25"/>
      <c r="O134" s="26"/>
      <c r="P134" s="27"/>
      <c r="Q134" s="28"/>
      <c r="R134" s="28"/>
      <c r="S134" s="26"/>
    </row>
    <row r="135" customFormat="false" ht="15" hidden="false" customHeight="false" outlineLevel="0" collapsed="false">
      <c r="A135" s="7" t="n">
        <v>131</v>
      </c>
      <c r="B135" s="9" t="s">
        <v>13</v>
      </c>
      <c r="C135" s="22" t="s">
        <v>632</v>
      </c>
      <c r="D135" s="9" t="s">
        <v>398</v>
      </c>
      <c r="E135" s="9" t="s">
        <v>47</v>
      </c>
      <c r="F135" s="9" t="s">
        <v>99</v>
      </c>
      <c r="G135" s="22" t="s">
        <v>653</v>
      </c>
      <c r="H135" s="9" t="s">
        <v>56</v>
      </c>
      <c r="I135" s="7"/>
      <c r="J135" s="23" t="s">
        <v>654</v>
      </c>
      <c r="K135" s="24" t="s">
        <v>655</v>
      </c>
      <c r="L135" s="22" t="s">
        <v>656</v>
      </c>
      <c r="M135" s="25"/>
      <c r="N135" s="25"/>
      <c r="O135" s="26"/>
      <c r="P135" s="27"/>
      <c r="Q135" s="28"/>
      <c r="R135" s="28"/>
      <c r="S135" s="26"/>
    </row>
    <row r="136" customFormat="false" ht="15" hidden="false" customHeight="false" outlineLevel="0" collapsed="false">
      <c r="A136" s="7" t="n">
        <v>132</v>
      </c>
      <c r="B136" s="9" t="s">
        <v>13</v>
      </c>
      <c r="C136" s="22" t="s">
        <v>632</v>
      </c>
      <c r="D136" s="9" t="s">
        <v>398</v>
      </c>
      <c r="E136" s="9" t="s">
        <v>48</v>
      </c>
      <c r="F136" s="9" t="s">
        <v>124</v>
      </c>
      <c r="G136" s="22" t="s">
        <v>657</v>
      </c>
      <c r="H136" s="9" t="s">
        <v>57</v>
      </c>
      <c r="I136" s="7"/>
      <c r="J136" s="23" t="s">
        <v>658</v>
      </c>
      <c r="K136" s="24" t="s">
        <v>659</v>
      </c>
      <c r="L136" s="22" t="s">
        <v>660</v>
      </c>
      <c r="M136" s="25"/>
      <c r="N136" s="25"/>
      <c r="O136" s="26"/>
      <c r="P136" s="27"/>
      <c r="Q136" s="28"/>
      <c r="R136" s="28"/>
      <c r="S136" s="26"/>
    </row>
    <row r="137" customFormat="false" ht="15" hidden="false" customHeight="false" outlineLevel="0" collapsed="false">
      <c r="A137" s="7" t="n">
        <v>133</v>
      </c>
      <c r="B137" s="9" t="s">
        <v>13</v>
      </c>
      <c r="C137" s="22" t="s">
        <v>632</v>
      </c>
      <c r="D137" s="9" t="s">
        <v>398</v>
      </c>
      <c r="E137" s="9" t="s">
        <v>48</v>
      </c>
      <c r="F137" s="9" t="s">
        <v>99</v>
      </c>
      <c r="G137" s="22" t="s">
        <v>661</v>
      </c>
      <c r="H137" s="9" t="s">
        <v>57</v>
      </c>
      <c r="I137" s="7"/>
      <c r="J137" s="23" t="s">
        <v>662</v>
      </c>
      <c r="K137" s="24" t="s">
        <v>663</v>
      </c>
      <c r="L137" s="22" t="s">
        <v>664</v>
      </c>
      <c r="M137" s="25"/>
      <c r="N137" s="25"/>
      <c r="O137" s="26"/>
      <c r="P137" s="27"/>
      <c r="Q137" s="28"/>
      <c r="R137" s="28"/>
      <c r="S137" s="26"/>
    </row>
    <row r="138" customFormat="false" ht="15" hidden="false" customHeight="false" outlineLevel="0" collapsed="false">
      <c r="A138" s="7" t="n">
        <v>134</v>
      </c>
      <c r="B138" s="9" t="s">
        <v>13</v>
      </c>
      <c r="C138" s="22" t="s">
        <v>632</v>
      </c>
      <c r="D138" s="9" t="s">
        <v>398</v>
      </c>
      <c r="E138" s="9" t="s">
        <v>48</v>
      </c>
      <c r="F138" s="9" t="s">
        <v>99</v>
      </c>
      <c r="G138" s="22" t="s">
        <v>665</v>
      </c>
      <c r="H138" s="9" t="s">
        <v>57</v>
      </c>
      <c r="I138" s="7"/>
      <c r="J138" s="23" t="s">
        <v>666</v>
      </c>
      <c r="K138" s="24" t="s">
        <v>667</v>
      </c>
      <c r="L138" s="22" t="s">
        <v>668</v>
      </c>
      <c r="M138" s="25"/>
      <c r="N138" s="25"/>
      <c r="O138" s="26"/>
      <c r="P138" s="27"/>
      <c r="Q138" s="28"/>
      <c r="R138" s="28"/>
      <c r="S138" s="26"/>
    </row>
    <row r="139" customFormat="false" ht="15" hidden="false" customHeight="false" outlineLevel="0" collapsed="false">
      <c r="A139" s="7" t="n">
        <v>135</v>
      </c>
      <c r="B139" s="9" t="s">
        <v>13</v>
      </c>
      <c r="C139" s="22" t="s">
        <v>669</v>
      </c>
      <c r="D139" s="9" t="s">
        <v>367</v>
      </c>
      <c r="E139" s="9" t="s">
        <v>47</v>
      </c>
      <c r="F139" s="9" t="s">
        <v>99</v>
      </c>
      <c r="G139" s="22" t="s">
        <v>670</v>
      </c>
      <c r="H139" s="9" t="s">
        <v>57</v>
      </c>
      <c r="I139" s="7"/>
      <c r="J139" s="23" t="s">
        <v>671</v>
      </c>
      <c r="K139" s="24" t="s">
        <v>672</v>
      </c>
      <c r="L139" s="22" t="s">
        <v>673</v>
      </c>
      <c r="M139" s="25"/>
      <c r="N139" s="25"/>
      <c r="O139" s="26"/>
      <c r="P139" s="27"/>
      <c r="Q139" s="28"/>
      <c r="R139" s="28"/>
      <c r="S139" s="26"/>
    </row>
    <row r="140" customFormat="false" ht="15" hidden="false" customHeight="false" outlineLevel="0" collapsed="false">
      <c r="A140" s="7" t="n">
        <v>136</v>
      </c>
      <c r="B140" s="9" t="s">
        <v>13</v>
      </c>
      <c r="C140" s="22" t="s">
        <v>669</v>
      </c>
      <c r="D140" s="9" t="s">
        <v>367</v>
      </c>
      <c r="E140" s="9" t="s">
        <v>47</v>
      </c>
      <c r="F140" s="9" t="s">
        <v>99</v>
      </c>
      <c r="G140" s="22" t="s">
        <v>674</v>
      </c>
      <c r="H140" s="9" t="s">
        <v>57</v>
      </c>
      <c r="I140" s="7"/>
      <c r="J140" s="23" t="s">
        <v>675</v>
      </c>
      <c r="K140" s="24" t="s">
        <v>676</v>
      </c>
      <c r="L140" s="22" t="s">
        <v>677</v>
      </c>
      <c r="M140" s="25"/>
      <c r="N140" s="25"/>
      <c r="O140" s="26"/>
      <c r="P140" s="27"/>
      <c r="Q140" s="28"/>
      <c r="R140" s="28"/>
      <c r="S140" s="26"/>
    </row>
    <row r="141" customFormat="false" ht="15" hidden="false" customHeight="false" outlineLevel="0" collapsed="false">
      <c r="A141" s="7" t="n">
        <v>137</v>
      </c>
      <c r="B141" s="9" t="s">
        <v>13</v>
      </c>
      <c r="C141" s="22" t="s">
        <v>669</v>
      </c>
      <c r="D141" s="9" t="s">
        <v>367</v>
      </c>
      <c r="E141" s="9" t="s">
        <v>47</v>
      </c>
      <c r="F141" s="9" t="s">
        <v>99</v>
      </c>
      <c r="G141" s="22" t="s">
        <v>678</v>
      </c>
      <c r="H141" s="9" t="s">
        <v>56</v>
      </c>
      <c r="I141" s="7"/>
      <c r="J141" s="23" t="s">
        <v>679</v>
      </c>
      <c r="K141" s="24" t="s">
        <v>680</v>
      </c>
      <c r="L141" s="22" t="s">
        <v>681</v>
      </c>
      <c r="M141" s="25"/>
      <c r="N141" s="25"/>
      <c r="O141" s="26"/>
      <c r="P141" s="27"/>
      <c r="Q141" s="28"/>
      <c r="R141" s="28"/>
      <c r="S141" s="26"/>
    </row>
    <row r="142" customFormat="false" ht="15" hidden="false" customHeight="false" outlineLevel="0" collapsed="false">
      <c r="A142" s="7" t="n">
        <v>138</v>
      </c>
      <c r="B142" s="9" t="s">
        <v>13</v>
      </c>
      <c r="C142" s="22" t="s">
        <v>669</v>
      </c>
      <c r="D142" s="9" t="s">
        <v>367</v>
      </c>
      <c r="E142" s="9" t="s">
        <v>47</v>
      </c>
      <c r="F142" s="9" t="s">
        <v>99</v>
      </c>
      <c r="G142" s="22" t="s">
        <v>682</v>
      </c>
      <c r="H142" s="9" t="s">
        <v>56</v>
      </c>
      <c r="I142" s="7"/>
      <c r="J142" s="23" t="s">
        <v>683</v>
      </c>
      <c r="K142" s="24" t="s">
        <v>684</v>
      </c>
      <c r="L142" s="22" t="s">
        <v>685</v>
      </c>
      <c r="M142" s="25"/>
      <c r="N142" s="25"/>
      <c r="O142" s="26"/>
      <c r="P142" s="27"/>
      <c r="Q142" s="28"/>
      <c r="R142" s="28"/>
      <c r="S142" s="26"/>
    </row>
    <row r="143" customFormat="false" ht="15" hidden="false" customHeight="false" outlineLevel="0" collapsed="false">
      <c r="A143" s="7" t="n">
        <v>139</v>
      </c>
      <c r="B143" s="9" t="s">
        <v>13</v>
      </c>
      <c r="C143" s="22" t="s">
        <v>669</v>
      </c>
      <c r="D143" s="9" t="s">
        <v>367</v>
      </c>
      <c r="E143" s="9" t="s">
        <v>47</v>
      </c>
      <c r="F143" s="9" t="s">
        <v>99</v>
      </c>
      <c r="G143" s="22" t="s">
        <v>686</v>
      </c>
      <c r="H143" s="9" t="s">
        <v>57</v>
      </c>
      <c r="I143" s="7"/>
      <c r="J143" s="23" t="s">
        <v>687</v>
      </c>
      <c r="K143" s="24" t="s">
        <v>688</v>
      </c>
      <c r="L143" s="22" t="s">
        <v>689</v>
      </c>
      <c r="M143" s="25"/>
      <c r="N143" s="25"/>
      <c r="O143" s="26"/>
      <c r="P143" s="27"/>
      <c r="Q143" s="28"/>
      <c r="R143" s="28"/>
      <c r="S143" s="26"/>
    </row>
    <row r="144" customFormat="false" ht="15" hidden="false" customHeight="false" outlineLevel="0" collapsed="false">
      <c r="A144" s="7" t="n">
        <v>140</v>
      </c>
      <c r="B144" s="9" t="s">
        <v>13</v>
      </c>
      <c r="C144" s="22" t="s">
        <v>669</v>
      </c>
      <c r="D144" s="9" t="s">
        <v>367</v>
      </c>
      <c r="E144" s="9" t="s">
        <v>47</v>
      </c>
      <c r="F144" s="9" t="s">
        <v>99</v>
      </c>
      <c r="G144" s="22" t="s">
        <v>690</v>
      </c>
      <c r="H144" s="9" t="s">
        <v>57</v>
      </c>
      <c r="I144" s="7"/>
      <c r="J144" s="23" t="s">
        <v>691</v>
      </c>
      <c r="K144" s="24" t="s">
        <v>692</v>
      </c>
      <c r="L144" s="22" t="s">
        <v>693</v>
      </c>
      <c r="M144" s="25"/>
      <c r="N144" s="25"/>
      <c r="O144" s="26"/>
      <c r="P144" s="27"/>
      <c r="Q144" s="28"/>
      <c r="R144" s="28"/>
      <c r="S144" s="26"/>
    </row>
    <row r="145" customFormat="false" ht="15" hidden="false" customHeight="false" outlineLevel="0" collapsed="false">
      <c r="A145" s="7" t="n">
        <v>141</v>
      </c>
      <c r="B145" s="9" t="s">
        <v>13</v>
      </c>
      <c r="C145" s="22" t="s">
        <v>669</v>
      </c>
      <c r="D145" s="9" t="s">
        <v>367</v>
      </c>
      <c r="E145" s="9" t="s">
        <v>47</v>
      </c>
      <c r="F145" s="9" t="s">
        <v>124</v>
      </c>
      <c r="G145" s="22" t="s">
        <v>694</v>
      </c>
      <c r="H145" s="9" t="s">
        <v>57</v>
      </c>
      <c r="I145" s="7"/>
      <c r="J145" s="23" t="s">
        <v>695</v>
      </c>
      <c r="K145" s="24" t="s">
        <v>696</v>
      </c>
      <c r="L145" s="22" t="s">
        <v>387</v>
      </c>
      <c r="M145" s="25"/>
      <c r="N145" s="25"/>
      <c r="O145" s="26"/>
      <c r="P145" s="27"/>
      <c r="Q145" s="28"/>
      <c r="R145" s="28"/>
      <c r="S145" s="26"/>
    </row>
    <row r="146" customFormat="false" ht="15" hidden="false" customHeight="false" outlineLevel="0" collapsed="false">
      <c r="A146" s="7" t="n">
        <v>142</v>
      </c>
      <c r="B146" s="9" t="s">
        <v>13</v>
      </c>
      <c r="C146" s="22" t="s">
        <v>669</v>
      </c>
      <c r="D146" s="9" t="s">
        <v>367</v>
      </c>
      <c r="E146" s="9" t="s">
        <v>48</v>
      </c>
      <c r="F146" s="9" t="s">
        <v>99</v>
      </c>
      <c r="G146" s="22" t="s">
        <v>697</v>
      </c>
      <c r="H146" s="9" t="s">
        <v>57</v>
      </c>
      <c r="I146" s="7"/>
      <c r="J146" s="23" t="s">
        <v>698</v>
      </c>
      <c r="K146" s="24" t="s">
        <v>699</v>
      </c>
      <c r="L146" s="22" t="s">
        <v>700</v>
      </c>
      <c r="M146" s="25"/>
      <c r="N146" s="25"/>
      <c r="O146" s="26"/>
      <c r="P146" s="27"/>
      <c r="Q146" s="28"/>
      <c r="R146" s="28"/>
      <c r="S146" s="26"/>
    </row>
    <row r="147" customFormat="false" ht="15" hidden="false" customHeight="false" outlineLevel="0" collapsed="false">
      <c r="A147" s="7" t="n">
        <v>143</v>
      </c>
      <c r="B147" s="9" t="s">
        <v>13</v>
      </c>
      <c r="C147" s="22" t="s">
        <v>669</v>
      </c>
      <c r="D147" s="9" t="s">
        <v>367</v>
      </c>
      <c r="E147" s="9" t="s">
        <v>48</v>
      </c>
      <c r="F147" s="9" t="s">
        <v>99</v>
      </c>
      <c r="G147" s="22" t="s">
        <v>701</v>
      </c>
      <c r="H147" s="9" t="s">
        <v>57</v>
      </c>
      <c r="I147" s="7"/>
      <c r="J147" s="23" t="s">
        <v>702</v>
      </c>
      <c r="K147" s="24" t="s">
        <v>703</v>
      </c>
      <c r="L147" s="22" t="s">
        <v>704</v>
      </c>
      <c r="M147" s="25"/>
      <c r="N147" s="25"/>
      <c r="O147" s="26"/>
      <c r="P147" s="27"/>
      <c r="Q147" s="28"/>
      <c r="R147" s="28"/>
      <c r="S147" s="26"/>
    </row>
    <row r="148" customFormat="false" ht="15" hidden="false" customHeight="false" outlineLevel="0" collapsed="false">
      <c r="A148" s="7" t="n">
        <v>144</v>
      </c>
      <c r="B148" s="9" t="s">
        <v>13</v>
      </c>
      <c r="C148" s="22" t="s">
        <v>669</v>
      </c>
      <c r="D148" s="9" t="s">
        <v>367</v>
      </c>
      <c r="E148" s="9" t="s">
        <v>48</v>
      </c>
      <c r="F148" s="9" t="s">
        <v>124</v>
      </c>
      <c r="G148" s="22" t="s">
        <v>705</v>
      </c>
      <c r="H148" s="9" t="s">
        <v>57</v>
      </c>
      <c r="I148" s="7"/>
      <c r="J148" s="23" t="s">
        <v>706</v>
      </c>
      <c r="K148" s="24" t="s">
        <v>707</v>
      </c>
      <c r="L148" s="22" t="s">
        <v>708</v>
      </c>
      <c r="M148" s="25"/>
      <c r="N148" s="25"/>
      <c r="O148" s="26"/>
      <c r="P148" s="27"/>
      <c r="Q148" s="28"/>
      <c r="R148" s="28"/>
      <c r="S148" s="26"/>
    </row>
    <row r="149" customFormat="false" ht="15" hidden="false" customHeight="false" outlineLevel="0" collapsed="false">
      <c r="A149" s="7" t="n">
        <v>145</v>
      </c>
      <c r="B149" s="9" t="s">
        <v>13</v>
      </c>
      <c r="C149" s="22" t="s">
        <v>669</v>
      </c>
      <c r="D149" s="9" t="s">
        <v>367</v>
      </c>
      <c r="E149" s="9" t="s">
        <v>48</v>
      </c>
      <c r="F149" s="9" t="s">
        <v>99</v>
      </c>
      <c r="G149" s="22" t="s">
        <v>709</v>
      </c>
      <c r="H149" s="9" t="s">
        <v>57</v>
      </c>
      <c r="I149" s="7"/>
      <c r="J149" s="23" t="s">
        <v>710</v>
      </c>
      <c r="K149" s="24" t="s">
        <v>711</v>
      </c>
      <c r="L149" s="22" t="s">
        <v>712</v>
      </c>
      <c r="M149" s="25"/>
      <c r="N149" s="25"/>
      <c r="O149" s="26"/>
      <c r="P149" s="27"/>
      <c r="Q149" s="28"/>
      <c r="R149" s="28"/>
      <c r="S149" s="26"/>
    </row>
    <row r="150" customFormat="false" ht="15" hidden="false" customHeight="false" outlineLevel="0" collapsed="false">
      <c r="A150" s="7" t="n">
        <v>146</v>
      </c>
      <c r="B150" s="9" t="s">
        <v>13</v>
      </c>
      <c r="C150" s="22" t="s">
        <v>669</v>
      </c>
      <c r="D150" s="9" t="s">
        <v>388</v>
      </c>
      <c r="E150" s="9" t="s">
        <v>47</v>
      </c>
      <c r="F150" s="9" t="s">
        <v>99</v>
      </c>
      <c r="G150" s="22" t="s">
        <v>713</v>
      </c>
      <c r="H150" s="9" t="s">
        <v>56</v>
      </c>
      <c r="I150" s="7"/>
      <c r="J150" s="23" t="s">
        <v>714</v>
      </c>
      <c r="K150" s="24" t="s">
        <v>715</v>
      </c>
      <c r="L150" s="22" t="s">
        <v>716</v>
      </c>
      <c r="M150" s="25"/>
      <c r="N150" s="25"/>
      <c r="O150" s="26"/>
      <c r="P150" s="27"/>
      <c r="Q150" s="28"/>
      <c r="R150" s="28"/>
      <c r="S150" s="26"/>
    </row>
    <row r="151" customFormat="false" ht="15" hidden="false" customHeight="false" outlineLevel="0" collapsed="false">
      <c r="A151" s="7" t="n">
        <v>147</v>
      </c>
      <c r="B151" s="9" t="s">
        <v>13</v>
      </c>
      <c r="C151" s="22" t="s">
        <v>669</v>
      </c>
      <c r="D151" s="9" t="s">
        <v>388</v>
      </c>
      <c r="E151" s="9" t="s">
        <v>47</v>
      </c>
      <c r="F151" s="9" t="s">
        <v>99</v>
      </c>
      <c r="G151" s="22" t="s">
        <v>717</v>
      </c>
      <c r="H151" s="9" t="s">
        <v>56</v>
      </c>
      <c r="I151" s="7"/>
      <c r="J151" s="23" t="s">
        <v>718</v>
      </c>
      <c r="K151" s="24" t="s">
        <v>719</v>
      </c>
      <c r="L151" s="22" t="s">
        <v>720</v>
      </c>
      <c r="M151" s="25"/>
      <c r="N151" s="25"/>
      <c r="O151" s="26"/>
      <c r="P151" s="27"/>
      <c r="Q151" s="28"/>
      <c r="R151" s="28"/>
      <c r="S151" s="26"/>
    </row>
    <row r="152" customFormat="false" ht="15" hidden="false" customHeight="false" outlineLevel="0" collapsed="false">
      <c r="A152" s="7" t="n">
        <v>148</v>
      </c>
      <c r="B152" s="9" t="s">
        <v>13</v>
      </c>
      <c r="C152" s="22" t="s">
        <v>669</v>
      </c>
      <c r="D152" s="9" t="s">
        <v>388</v>
      </c>
      <c r="E152" s="9" t="s">
        <v>47</v>
      </c>
      <c r="F152" s="9" t="s">
        <v>99</v>
      </c>
      <c r="G152" s="22" t="s">
        <v>721</v>
      </c>
      <c r="H152" s="9" t="s">
        <v>56</v>
      </c>
      <c r="I152" s="7"/>
      <c r="J152" s="23" t="s">
        <v>722</v>
      </c>
      <c r="K152" s="24" t="s">
        <v>723</v>
      </c>
      <c r="L152" s="22" t="s">
        <v>724</v>
      </c>
      <c r="M152" s="25"/>
      <c r="N152" s="25"/>
      <c r="O152" s="26"/>
      <c r="P152" s="27"/>
      <c r="Q152" s="28"/>
      <c r="R152" s="28"/>
      <c r="S152" s="26"/>
    </row>
    <row r="153" customFormat="false" ht="15" hidden="false" customHeight="false" outlineLevel="0" collapsed="false">
      <c r="A153" s="7" t="n">
        <v>149</v>
      </c>
      <c r="B153" s="9" t="s">
        <v>13</v>
      </c>
      <c r="C153" s="22" t="s">
        <v>725</v>
      </c>
      <c r="D153" s="9" t="s">
        <v>415</v>
      </c>
      <c r="E153" s="9" t="s">
        <v>47</v>
      </c>
      <c r="F153" s="9" t="s">
        <v>99</v>
      </c>
      <c r="G153" s="22" t="s">
        <v>726</v>
      </c>
      <c r="H153" s="9" t="s">
        <v>56</v>
      </c>
      <c r="I153" s="7"/>
      <c r="J153" s="23" t="s">
        <v>727</v>
      </c>
      <c r="K153" s="24" t="s">
        <v>728</v>
      </c>
      <c r="L153" s="22" t="s">
        <v>729</v>
      </c>
      <c r="M153" s="25"/>
      <c r="N153" s="25"/>
      <c r="O153" s="26"/>
      <c r="P153" s="27"/>
      <c r="Q153" s="28"/>
      <c r="R153" s="28"/>
      <c r="S153" s="26"/>
    </row>
    <row r="154" customFormat="false" ht="15" hidden="false" customHeight="false" outlineLevel="0" collapsed="false">
      <c r="A154" s="7" t="n">
        <v>150</v>
      </c>
      <c r="B154" s="9" t="s">
        <v>13</v>
      </c>
      <c r="C154" s="22" t="s">
        <v>725</v>
      </c>
      <c r="D154" s="9" t="s">
        <v>415</v>
      </c>
      <c r="E154" s="9" t="s">
        <v>48</v>
      </c>
      <c r="F154" s="9" t="s">
        <v>124</v>
      </c>
      <c r="G154" s="22" t="s">
        <v>730</v>
      </c>
      <c r="H154" s="9" t="s">
        <v>57</v>
      </c>
      <c r="I154" s="7"/>
      <c r="J154" s="23" t="s">
        <v>731</v>
      </c>
      <c r="K154" s="24" t="s">
        <v>732</v>
      </c>
      <c r="L154" s="22" t="s">
        <v>423</v>
      </c>
      <c r="M154" s="25"/>
      <c r="N154" s="25"/>
      <c r="O154" s="26"/>
      <c r="P154" s="27"/>
      <c r="Q154" s="28"/>
      <c r="R154" s="28"/>
      <c r="S154" s="26"/>
    </row>
    <row r="155" customFormat="false" ht="15" hidden="false" customHeight="false" outlineLevel="0" collapsed="false">
      <c r="A155" s="7" t="n">
        <v>151</v>
      </c>
      <c r="B155" s="9" t="s">
        <v>13</v>
      </c>
      <c r="C155" s="22" t="s">
        <v>725</v>
      </c>
      <c r="D155" s="9" t="s">
        <v>424</v>
      </c>
      <c r="E155" s="9" t="s">
        <v>47</v>
      </c>
      <c r="F155" s="9" t="s">
        <v>99</v>
      </c>
      <c r="G155" s="22" t="s">
        <v>733</v>
      </c>
      <c r="H155" s="9" t="s">
        <v>56</v>
      </c>
      <c r="I155" s="7"/>
      <c r="J155" s="23" t="s">
        <v>734</v>
      </c>
      <c r="K155" s="24" t="s">
        <v>735</v>
      </c>
      <c r="L155" s="22" t="s">
        <v>736</v>
      </c>
      <c r="M155" s="25"/>
      <c r="N155" s="25"/>
      <c r="O155" s="26"/>
      <c r="P155" s="27"/>
      <c r="Q155" s="28"/>
      <c r="R155" s="28"/>
      <c r="S155" s="26"/>
    </row>
    <row r="156" customFormat="false" ht="15" hidden="false" customHeight="false" outlineLevel="0" collapsed="false">
      <c r="A156" s="7" t="n">
        <v>152</v>
      </c>
      <c r="B156" s="9" t="s">
        <v>13</v>
      </c>
      <c r="C156" s="22" t="s">
        <v>725</v>
      </c>
      <c r="D156" s="9" t="s">
        <v>737</v>
      </c>
      <c r="E156" s="9" t="s">
        <v>47</v>
      </c>
      <c r="F156" s="9" t="s">
        <v>99</v>
      </c>
      <c r="G156" s="22" t="s">
        <v>738</v>
      </c>
      <c r="H156" s="9" t="s">
        <v>57</v>
      </c>
      <c r="I156" s="7"/>
      <c r="J156" s="23" t="s">
        <v>739</v>
      </c>
      <c r="K156" s="24" t="s">
        <v>740</v>
      </c>
      <c r="L156" s="22" t="s">
        <v>741</v>
      </c>
      <c r="M156" s="25"/>
      <c r="N156" s="25"/>
      <c r="O156" s="26"/>
      <c r="P156" s="27"/>
      <c r="Q156" s="28"/>
      <c r="R156" s="28"/>
      <c r="S156" s="26"/>
    </row>
    <row r="157" customFormat="false" ht="15" hidden="false" customHeight="false" outlineLevel="0" collapsed="false">
      <c r="A157" s="7" t="n">
        <v>153</v>
      </c>
      <c r="B157" s="9" t="s">
        <v>13</v>
      </c>
      <c r="C157" s="22" t="s">
        <v>725</v>
      </c>
      <c r="D157" s="9" t="s">
        <v>737</v>
      </c>
      <c r="E157" s="9" t="s">
        <v>47</v>
      </c>
      <c r="F157" s="9" t="s">
        <v>99</v>
      </c>
      <c r="G157" s="22" t="s">
        <v>742</v>
      </c>
      <c r="H157" s="9" t="s">
        <v>57</v>
      </c>
      <c r="I157" s="7"/>
      <c r="J157" s="23" t="s">
        <v>743</v>
      </c>
      <c r="K157" s="24" t="s">
        <v>744</v>
      </c>
      <c r="L157" s="22" t="s">
        <v>745</v>
      </c>
      <c r="M157" s="25"/>
      <c r="N157" s="25"/>
      <c r="O157" s="26"/>
      <c r="P157" s="27"/>
      <c r="Q157" s="28"/>
      <c r="R157" s="28"/>
      <c r="S157" s="26"/>
    </row>
    <row r="158" customFormat="false" ht="15" hidden="false" customHeight="false" outlineLevel="0" collapsed="false">
      <c r="A158" s="7" t="n">
        <v>154</v>
      </c>
      <c r="B158" s="9" t="s">
        <v>13</v>
      </c>
      <c r="C158" s="22" t="s">
        <v>725</v>
      </c>
      <c r="D158" s="9" t="s">
        <v>737</v>
      </c>
      <c r="E158" s="9" t="s">
        <v>47</v>
      </c>
      <c r="F158" s="9" t="s">
        <v>99</v>
      </c>
      <c r="G158" s="22" t="s">
        <v>746</v>
      </c>
      <c r="H158" s="9" t="s">
        <v>56</v>
      </c>
      <c r="I158" s="7"/>
      <c r="J158" s="23" t="s">
        <v>747</v>
      </c>
      <c r="K158" s="24" t="s">
        <v>748</v>
      </c>
      <c r="L158" s="22" t="s">
        <v>749</v>
      </c>
      <c r="M158" s="25"/>
      <c r="N158" s="25"/>
      <c r="O158" s="26"/>
      <c r="P158" s="27"/>
      <c r="Q158" s="28"/>
      <c r="R158" s="28"/>
      <c r="S158" s="26"/>
    </row>
    <row r="159" customFormat="false" ht="15" hidden="false" customHeight="false" outlineLevel="0" collapsed="false">
      <c r="A159" s="7" t="n">
        <v>155</v>
      </c>
      <c r="B159" s="9" t="s">
        <v>13</v>
      </c>
      <c r="C159" s="22" t="s">
        <v>725</v>
      </c>
      <c r="D159" s="9" t="s">
        <v>737</v>
      </c>
      <c r="E159" s="9" t="s">
        <v>47</v>
      </c>
      <c r="F159" s="9" t="s">
        <v>99</v>
      </c>
      <c r="G159" s="22" t="s">
        <v>750</v>
      </c>
      <c r="H159" s="9" t="s">
        <v>56</v>
      </c>
      <c r="I159" s="7"/>
      <c r="J159" s="23" t="s">
        <v>751</v>
      </c>
      <c r="K159" s="24" t="s">
        <v>752</v>
      </c>
      <c r="L159" s="22" t="s">
        <v>753</v>
      </c>
      <c r="M159" s="25"/>
      <c r="N159" s="25"/>
      <c r="O159" s="26"/>
      <c r="P159" s="27"/>
      <c r="Q159" s="28"/>
      <c r="R159" s="28"/>
      <c r="S159" s="26"/>
    </row>
    <row r="160" customFormat="false" ht="15" hidden="false" customHeight="false" outlineLevel="0" collapsed="false">
      <c r="A160" s="7" t="n">
        <v>156</v>
      </c>
      <c r="B160" s="9" t="s">
        <v>13</v>
      </c>
      <c r="C160" s="22" t="s">
        <v>725</v>
      </c>
      <c r="D160" s="9" t="s">
        <v>737</v>
      </c>
      <c r="E160" s="9" t="s">
        <v>48</v>
      </c>
      <c r="F160" s="9" t="s">
        <v>124</v>
      </c>
      <c r="G160" s="22" t="s">
        <v>754</v>
      </c>
      <c r="H160" s="9" t="s">
        <v>56</v>
      </c>
      <c r="I160" s="7"/>
      <c r="J160" s="23" t="s">
        <v>755</v>
      </c>
      <c r="K160" s="24" t="s">
        <v>756</v>
      </c>
      <c r="L160" s="22" t="s">
        <v>757</v>
      </c>
      <c r="M160" s="25"/>
      <c r="N160" s="25"/>
      <c r="O160" s="26"/>
      <c r="P160" s="27"/>
      <c r="Q160" s="28"/>
      <c r="R160" s="28"/>
      <c r="S160" s="26"/>
    </row>
    <row r="161" customFormat="false" ht="15" hidden="false" customHeight="false" outlineLevel="0" collapsed="false">
      <c r="A161" s="7" t="n">
        <v>157</v>
      </c>
      <c r="B161" s="9" t="s">
        <v>13</v>
      </c>
      <c r="C161" s="22" t="s">
        <v>758</v>
      </c>
      <c r="D161" s="9" t="s">
        <v>336</v>
      </c>
      <c r="E161" s="9" t="s">
        <v>47</v>
      </c>
      <c r="F161" s="9" t="s">
        <v>99</v>
      </c>
      <c r="G161" s="22" t="s">
        <v>759</v>
      </c>
      <c r="H161" s="9" t="s">
        <v>56</v>
      </c>
      <c r="I161" s="7"/>
      <c r="J161" s="23" t="s">
        <v>760</v>
      </c>
      <c r="K161" s="24" t="s">
        <v>761</v>
      </c>
      <c r="L161" s="22" t="s">
        <v>762</v>
      </c>
      <c r="M161" s="25"/>
      <c r="N161" s="25"/>
      <c r="O161" s="26"/>
      <c r="P161" s="27"/>
      <c r="Q161" s="28"/>
      <c r="R161" s="28"/>
      <c r="S161" s="26"/>
    </row>
    <row r="162" customFormat="false" ht="15" hidden="false" customHeight="false" outlineLevel="0" collapsed="false">
      <c r="A162" s="7" t="n">
        <v>158</v>
      </c>
      <c r="B162" s="9" t="s">
        <v>13</v>
      </c>
      <c r="C162" s="22" t="s">
        <v>758</v>
      </c>
      <c r="D162" s="9" t="s">
        <v>336</v>
      </c>
      <c r="E162" s="9" t="s">
        <v>47</v>
      </c>
      <c r="F162" s="9" t="s">
        <v>99</v>
      </c>
      <c r="G162" s="22" t="s">
        <v>763</v>
      </c>
      <c r="H162" s="9" t="s">
        <v>56</v>
      </c>
      <c r="I162" s="7"/>
      <c r="J162" s="23" t="s">
        <v>764</v>
      </c>
      <c r="K162" s="24" t="s">
        <v>765</v>
      </c>
      <c r="L162" s="22" t="s">
        <v>766</v>
      </c>
      <c r="M162" s="25"/>
      <c r="N162" s="25"/>
      <c r="O162" s="26"/>
      <c r="P162" s="27"/>
      <c r="Q162" s="28"/>
      <c r="R162" s="28"/>
      <c r="S162" s="26"/>
    </row>
    <row r="163" customFormat="false" ht="15" hidden="false" customHeight="false" outlineLevel="0" collapsed="false">
      <c r="A163" s="7" t="n">
        <v>159</v>
      </c>
      <c r="B163" s="9" t="s">
        <v>13</v>
      </c>
      <c r="C163" s="22" t="s">
        <v>758</v>
      </c>
      <c r="D163" s="9" t="s">
        <v>336</v>
      </c>
      <c r="E163" s="9" t="s">
        <v>47</v>
      </c>
      <c r="F163" s="9" t="s">
        <v>99</v>
      </c>
      <c r="G163" s="22" t="s">
        <v>767</v>
      </c>
      <c r="H163" s="9" t="s">
        <v>57</v>
      </c>
      <c r="I163" s="7"/>
      <c r="J163" s="23" t="s">
        <v>768</v>
      </c>
      <c r="K163" s="24" t="s">
        <v>769</v>
      </c>
      <c r="L163" s="22" t="s">
        <v>770</v>
      </c>
      <c r="M163" s="25"/>
      <c r="N163" s="25"/>
      <c r="O163" s="26"/>
      <c r="P163" s="27"/>
      <c r="Q163" s="28"/>
      <c r="R163" s="28"/>
      <c r="S163" s="26"/>
    </row>
    <row r="164" customFormat="false" ht="15" hidden="false" customHeight="false" outlineLevel="0" collapsed="false">
      <c r="A164" s="7" t="n">
        <v>160</v>
      </c>
      <c r="B164" s="9" t="s">
        <v>13</v>
      </c>
      <c r="C164" s="22" t="s">
        <v>758</v>
      </c>
      <c r="D164" s="9" t="s">
        <v>336</v>
      </c>
      <c r="E164" s="9" t="s">
        <v>47</v>
      </c>
      <c r="F164" s="9" t="s">
        <v>99</v>
      </c>
      <c r="G164" s="22" t="s">
        <v>771</v>
      </c>
      <c r="H164" s="9" t="s">
        <v>56</v>
      </c>
      <c r="I164" s="7"/>
      <c r="J164" s="23" t="s">
        <v>772</v>
      </c>
      <c r="K164" s="24" t="s">
        <v>773</v>
      </c>
      <c r="L164" s="22" t="s">
        <v>774</v>
      </c>
      <c r="M164" s="25"/>
      <c r="N164" s="25"/>
      <c r="O164" s="26"/>
      <c r="P164" s="27"/>
      <c r="Q164" s="28"/>
      <c r="R164" s="28"/>
      <c r="S164" s="26"/>
    </row>
    <row r="165" customFormat="false" ht="15" hidden="false" customHeight="false" outlineLevel="0" collapsed="false">
      <c r="A165" s="7" t="n">
        <v>161</v>
      </c>
      <c r="B165" s="9" t="s">
        <v>13</v>
      </c>
      <c r="C165" s="22" t="s">
        <v>758</v>
      </c>
      <c r="D165" s="9" t="s">
        <v>336</v>
      </c>
      <c r="E165" s="9" t="s">
        <v>47</v>
      </c>
      <c r="F165" s="9" t="s">
        <v>99</v>
      </c>
      <c r="G165" s="22" t="s">
        <v>775</v>
      </c>
      <c r="H165" s="9" t="s">
        <v>56</v>
      </c>
      <c r="I165" s="7"/>
      <c r="J165" s="23" t="s">
        <v>776</v>
      </c>
      <c r="K165" s="24" t="s">
        <v>777</v>
      </c>
      <c r="L165" s="22" t="s">
        <v>778</v>
      </c>
      <c r="M165" s="25"/>
      <c r="N165" s="25"/>
      <c r="O165" s="26"/>
      <c r="P165" s="27"/>
      <c r="Q165" s="28"/>
      <c r="R165" s="28"/>
      <c r="S165" s="26"/>
    </row>
    <row r="166" customFormat="false" ht="15" hidden="false" customHeight="false" outlineLevel="0" collapsed="false">
      <c r="A166" s="7" t="n">
        <v>162</v>
      </c>
      <c r="B166" s="9" t="s">
        <v>13</v>
      </c>
      <c r="C166" s="22" t="s">
        <v>758</v>
      </c>
      <c r="D166" s="9" t="s">
        <v>336</v>
      </c>
      <c r="E166" s="9" t="s">
        <v>48</v>
      </c>
      <c r="F166" s="9" t="s">
        <v>99</v>
      </c>
      <c r="G166" s="22" t="s">
        <v>779</v>
      </c>
      <c r="H166" s="9" t="s">
        <v>57</v>
      </c>
      <c r="I166" s="7"/>
      <c r="J166" s="23" t="s">
        <v>780</v>
      </c>
      <c r="K166" s="24" t="s">
        <v>781</v>
      </c>
      <c r="L166" s="22" t="s">
        <v>782</v>
      </c>
      <c r="M166" s="25"/>
      <c r="N166" s="25"/>
      <c r="O166" s="26"/>
      <c r="P166" s="27"/>
      <c r="Q166" s="28"/>
      <c r="R166" s="28"/>
      <c r="S166" s="26"/>
    </row>
    <row r="167" customFormat="false" ht="15" hidden="false" customHeight="false" outlineLevel="0" collapsed="false">
      <c r="A167" s="7" t="n">
        <v>163</v>
      </c>
      <c r="B167" s="9" t="s">
        <v>13</v>
      </c>
      <c r="C167" s="22" t="s">
        <v>758</v>
      </c>
      <c r="D167" s="9" t="s">
        <v>445</v>
      </c>
      <c r="E167" s="9" t="s">
        <v>47</v>
      </c>
      <c r="F167" s="9" t="s">
        <v>99</v>
      </c>
      <c r="G167" s="22" t="s">
        <v>783</v>
      </c>
      <c r="H167" s="9" t="s">
        <v>57</v>
      </c>
      <c r="I167" s="7"/>
      <c r="J167" s="23" t="s">
        <v>784</v>
      </c>
      <c r="K167" s="24" t="s">
        <v>785</v>
      </c>
      <c r="L167" s="22" t="s">
        <v>786</v>
      </c>
      <c r="M167" s="25"/>
      <c r="N167" s="25"/>
      <c r="O167" s="26"/>
      <c r="P167" s="27"/>
      <c r="Q167" s="28"/>
      <c r="R167" s="28"/>
      <c r="S167" s="26"/>
    </row>
    <row r="168" customFormat="false" ht="15" hidden="false" customHeight="false" outlineLevel="0" collapsed="false">
      <c r="A168" s="7" t="n">
        <v>164</v>
      </c>
      <c r="B168" s="9" t="s">
        <v>13</v>
      </c>
      <c r="C168" s="22" t="s">
        <v>758</v>
      </c>
      <c r="D168" s="9" t="s">
        <v>445</v>
      </c>
      <c r="E168" s="9" t="s">
        <v>47</v>
      </c>
      <c r="F168" s="9" t="s">
        <v>124</v>
      </c>
      <c r="G168" s="22" t="s">
        <v>787</v>
      </c>
      <c r="H168" s="9" t="s">
        <v>56</v>
      </c>
      <c r="I168" s="7"/>
      <c r="J168" s="23" t="s">
        <v>788</v>
      </c>
      <c r="K168" s="24" t="s">
        <v>789</v>
      </c>
      <c r="L168" s="22" t="s">
        <v>790</v>
      </c>
      <c r="M168" s="25"/>
      <c r="N168" s="25"/>
      <c r="O168" s="26"/>
      <c r="P168" s="27"/>
      <c r="Q168" s="28"/>
      <c r="R168" s="28"/>
      <c r="S168" s="26"/>
    </row>
    <row r="169" customFormat="false" ht="15" hidden="false" customHeight="false" outlineLevel="0" collapsed="false">
      <c r="A169" s="7" t="n">
        <v>165</v>
      </c>
      <c r="B169" s="9" t="s">
        <v>13</v>
      </c>
      <c r="C169" s="22" t="s">
        <v>758</v>
      </c>
      <c r="D169" s="9" t="s">
        <v>445</v>
      </c>
      <c r="E169" s="9" t="s">
        <v>48</v>
      </c>
      <c r="F169" s="9" t="s">
        <v>99</v>
      </c>
      <c r="G169" s="22" t="s">
        <v>791</v>
      </c>
      <c r="H169" s="9" t="s">
        <v>57</v>
      </c>
      <c r="I169" s="7"/>
      <c r="J169" s="23" t="s">
        <v>792</v>
      </c>
      <c r="K169" s="24" t="s">
        <v>793</v>
      </c>
      <c r="L169" s="22" t="s">
        <v>794</v>
      </c>
      <c r="M169" s="25"/>
      <c r="N169" s="25"/>
      <c r="O169" s="26"/>
      <c r="P169" s="27"/>
      <c r="Q169" s="28"/>
      <c r="R169" s="28"/>
      <c r="S169" s="26"/>
    </row>
    <row r="170" customFormat="false" ht="15" hidden="false" customHeight="false" outlineLevel="0" collapsed="false">
      <c r="A170" s="7" t="n">
        <v>166</v>
      </c>
      <c r="B170" s="9" t="s">
        <v>13</v>
      </c>
      <c r="C170" s="22" t="s">
        <v>758</v>
      </c>
      <c r="D170" s="9" t="s">
        <v>445</v>
      </c>
      <c r="E170" s="9" t="s">
        <v>48</v>
      </c>
      <c r="F170" s="9" t="s">
        <v>99</v>
      </c>
      <c r="G170" s="22" t="s">
        <v>795</v>
      </c>
      <c r="H170" s="9" t="s">
        <v>57</v>
      </c>
      <c r="I170" s="7"/>
      <c r="J170" s="23" t="s">
        <v>796</v>
      </c>
      <c r="K170" s="24" t="s">
        <v>797</v>
      </c>
      <c r="L170" s="22" t="s">
        <v>798</v>
      </c>
      <c r="M170" s="25"/>
      <c r="N170" s="25"/>
      <c r="O170" s="26"/>
      <c r="P170" s="27"/>
      <c r="Q170" s="28"/>
      <c r="R170" s="28"/>
      <c r="S170" s="26"/>
    </row>
    <row r="171" customFormat="false" ht="15" hidden="false" customHeight="false" outlineLevel="0" collapsed="false">
      <c r="A171" s="7" t="n">
        <v>167</v>
      </c>
      <c r="B171" s="9" t="s">
        <v>13</v>
      </c>
      <c r="C171" s="22" t="s">
        <v>799</v>
      </c>
      <c r="D171" s="9" t="s">
        <v>305</v>
      </c>
      <c r="E171" s="9" t="s">
        <v>47</v>
      </c>
      <c r="F171" s="9" t="s">
        <v>99</v>
      </c>
      <c r="G171" s="22" t="s">
        <v>800</v>
      </c>
      <c r="H171" s="9" t="s">
        <v>56</v>
      </c>
      <c r="I171" s="7"/>
      <c r="J171" s="23" t="s">
        <v>801</v>
      </c>
      <c r="K171" s="24" t="s">
        <v>802</v>
      </c>
      <c r="L171" s="22" t="s">
        <v>803</v>
      </c>
      <c r="M171" s="25"/>
      <c r="N171" s="25"/>
      <c r="O171" s="26"/>
      <c r="P171" s="27"/>
      <c r="Q171" s="28"/>
      <c r="R171" s="28"/>
      <c r="S171" s="26"/>
    </row>
    <row r="172" customFormat="false" ht="15" hidden="false" customHeight="false" outlineLevel="0" collapsed="false">
      <c r="A172" s="7" t="n">
        <v>168</v>
      </c>
      <c r="B172" s="9" t="s">
        <v>13</v>
      </c>
      <c r="C172" s="22" t="s">
        <v>799</v>
      </c>
      <c r="D172" s="9" t="s">
        <v>305</v>
      </c>
      <c r="E172" s="9" t="s">
        <v>48</v>
      </c>
      <c r="F172" s="9" t="s">
        <v>124</v>
      </c>
      <c r="G172" s="22" t="s">
        <v>804</v>
      </c>
      <c r="H172" s="9" t="s">
        <v>57</v>
      </c>
      <c r="I172" s="7"/>
      <c r="J172" s="23" t="s">
        <v>805</v>
      </c>
      <c r="K172" s="24" t="s">
        <v>806</v>
      </c>
      <c r="L172" s="22" t="s">
        <v>807</v>
      </c>
      <c r="M172" s="25"/>
      <c r="N172" s="25"/>
      <c r="O172" s="26"/>
      <c r="P172" s="27"/>
      <c r="Q172" s="28"/>
      <c r="R172" s="28"/>
      <c r="S172" s="26"/>
    </row>
    <row r="173" customFormat="false" ht="15" hidden="false" customHeight="false" outlineLevel="0" collapsed="false">
      <c r="A173" s="7" t="n">
        <v>169</v>
      </c>
      <c r="B173" s="9" t="s">
        <v>13</v>
      </c>
      <c r="C173" s="22" t="s">
        <v>799</v>
      </c>
      <c r="D173" s="9" t="s">
        <v>454</v>
      </c>
      <c r="E173" s="9" t="s">
        <v>47</v>
      </c>
      <c r="F173" s="9" t="s">
        <v>124</v>
      </c>
      <c r="G173" s="22" t="s">
        <v>808</v>
      </c>
      <c r="H173" s="9" t="s">
        <v>56</v>
      </c>
      <c r="I173" s="7"/>
      <c r="J173" s="23" t="s">
        <v>809</v>
      </c>
      <c r="K173" s="24" t="s">
        <v>810</v>
      </c>
      <c r="L173" s="22" t="s">
        <v>811</v>
      </c>
      <c r="M173" s="25"/>
      <c r="N173" s="25"/>
      <c r="O173" s="26"/>
      <c r="P173" s="27"/>
      <c r="Q173" s="28"/>
      <c r="R173" s="28"/>
      <c r="S173" s="26"/>
    </row>
    <row r="174" customFormat="false" ht="15" hidden="false" customHeight="false" outlineLevel="0" collapsed="false">
      <c r="A174" s="7" t="n">
        <v>170</v>
      </c>
      <c r="B174" s="9" t="s">
        <v>13</v>
      </c>
      <c r="C174" s="22" t="s">
        <v>799</v>
      </c>
      <c r="D174" s="9" t="s">
        <v>454</v>
      </c>
      <c r="E174" s="9" t="s">
        <v>47</v>
      </c>
      <c r="F174" s="9" t="s">
        <v>99</v>
      </c>
      <c r="G174" s="22" t="s">
        <v>812</v>
      </c>
      <c r="H174" s="9" t="s">
        <v>56</v>
      </c>
      <c r="I174" s="7"/>
      <c r="J174" s="23" t="s">
        <v>813</v>
      </c>
      <c r="K174" s="24" t="s">
        <v>814</v>
      </c>
      <c r="L174" s="22" t="s">
        <v>815</v>
      </c>
      <c r="M174" s="25"/>
      <c r="N174" s="25"/>
      <c r="O174" s="26"/>
      <c r="P174" s="27"/>
      <c r="Q174" s="28"/>
      <c r="R174" s="28"/>
      <c r="S174" s="26"/>
    </row>
    <row r="175" customFormat="false" ht="15" hidden="false" customHeight="false" outlineLevel="0" collapsed="false">
      <c r="A175" s="7" t="n">
        <v>171</v>
      </c>
      <c r="B175" s="9" t="s">
        <v>13</v>
      </c>
      <c r="C175" s="22" t="s">
        <v>799</v>
      </c>
      <c r="D175" s="9" t="s">
        <v>454</v>
      </c>
      <c r="E175" s="9" t="s">
        <v>47</v>
      </c>
      <c r="F175" s="9" t="s">
        <v>99</v>
      </c>
      <c r="G175" s="22" t="s">
        <v>816</v>
      </c>
      <c r="H175" s="9" t="s">
        <v>57</v>
      </c>
      <c r="I175" s="7"/>
      <c r="J175" s="23" t="s">
        <v>817</v>
      </c>
      <c r="K175" s="24" t="s">
        <v>818</v>
      </c>
      <c r="L175" s="22" t="s">
        <v>819</v>
      </c>
      <c r="M175" s="25"/>
      <c r="N175" s="25"/>
      <c r="O175" s="26"/>
      <c r="P175" s="27"/>
      <c r="Q175" s="28"/>
      <c r="R175" s="28"/>
      <c r="S175" s="26"/>
    </row>
    <row r="176" customFormat="false" ht="15" hidden="false" customHeight="false" outlineLevel="0" collapsed="false">
      <c r="A176" s="7" t="n">
        <v>172</v>
      </c>
      <c r="B176" s="9" t="s">
        <v>13</v>
      </c>
      <c r="C176" s="22" t="s">
        <v>799</v>
      </c>
      <c r="D176" s="9" t="s">
        <v>454</v>
      </c>
      <c r="E176" s="9" t="s">
        <v>48</v>
      </c>
      <c r="F176" s="9" t="s">
        <v>124</v>
      </c>
      <c r="G176" s="22" t="s">
        <v>820</v>
      </c>
      <c r="H176" s="9" t="s">
        <v>56</v>
      </c>
      <c r="I176" s="7"/>
      <c r="J176" s="23" t="s">
        <v>821</v>
      </c>
      <c r="K176" s="24" t="s">
        <v>822</v>
      </c>
      <c r="L176" s="22" t="s">
        <v>823</v>
      </c>
      <c r="M176" s="25"/>
      <c r="N176" s="25"/>
      <c r="O176" s="26"/>
      <c r="P176" s="27"/>
      <c r="Q176" s="28"/>
      <c r="R176" s="28"/>
      <c r="S176" s="26"/>
    </row>
    <row r="177" customFormat="false" ht="15" hidden="false" customHeight="false" outlineLevel="0" collapsed="false">
      <c r="A177" s="7" t="n">
        <v>173</v>
      </c>
      <c r="B177" s="9" t="s">
        <v>13</v>
      </c>
      <c r="C177" s="22" t="s">
        <v>799</v>
      </c>
      <c r="D177" s="9" t="s">
        <v>454</v>
      </c>
      <c r="E177" s="9" t="s">
        <v>48</v>
      </c>
      <c r="F177" s="9" t="s">
        <v>124</v>
      </c>
      <c r="G177" s="22" t="s">
        <v>824</v>
      </c>
      <c r="H177" s="9" t="s">
        <v>56</v>
      </c>
      <c r="I177" s="7"/>
      <c r="J177" s="23" t="s">
        <v>825</v>
      </c>
      <c r="K177" s="24" t="s">
        <v>826</v>
      </c>
      <c r="L177" s="22" t="s">
        <v>827</v>
      </c>
      <c r="M177" s="25"/>
      <c r="N177" s="25"/>
      <c r="O177" s="26"/>
      <c r="P177" s="27"/>
      <c r="Q177" s="28"/>
      <c r="R177" s="28"/>
      <c r="S177" s="26"/>
    </row>
    <row r="178" customFormat="false" ht="15" hidden="false" customHeight="false" outlineLevel="0" collapsed="false">
      <c r="A178" s="7" t="n">
        <v>174</v>
      </c>
      <c r="B178" s="9" t="s">
        <v>13</v>
      </c>
      <c r="C178" s="22" t="s">
        <v>799</v>
      </c>
      <c r="D178" s="9" t="s">
        <v>454</v>
      </c>
      <c r="E178" s="9" t="s">
        <v>48</v>
      </c>
      <c r="F178" s="9" t="s">
        <v>99</v>
      </c>
      <c r="G178" s="22" t="s">
        <v>828</v>
      </c>
      <c r="H178" s="9" t="s">
        <v>56</v>
      </c>
      <c r="I178" s="7"/>
      <c r="J178" s="23" t="s">
        <v>829</v>
      </c>
      <c r="K178" s="24" t="s">
        <v>830</v>
      </c>
      <c r="L178" s="22" t="s">
        <v>831</v>
      </c>
      <c r="M178" s="25"/>
      <c r="N178" s="25"/>
      <c r="O178" s="26"/>
      <c r="P178" s="27"/>
      <c r="Q178" s="28"/>
      <c r="R178" s="28"/>
      <c r="S178" s="26"/>
    </row>
    <row r="179" customFormat="false" ht="15" hidden="false" customHeight="false" outlineLevel="0" collapsed="false">
      <c r="A179" s="7" t="n">
        <v>175</v>
      </c>
      <c r="B179" s="9" t="s">
        <v>13</v>
      </c>
      <c r="C179" s="22" t="s">
        <v>799</v>
      </c>
      <c r="D179" s="9" t="s">
        <v>454</v>
      </c>
      <c r="E179" s="9" t="s">
        <v>48</v>
      </c>
      <c r="F179" s="9" t="s">
        <v>99</v>
      </c>
      <c r="G179" s="22" t="s">
        <v>832</v>
      </c>
      <c r="H179" s="9" t="s">
        <v>57</v>
      </c>
      <c r="I179" s="7"/>
      <c r="J179" s="23" t="s">
        <v>833</v>
      </c>
      <c r="K179" s="24" t="s">
        <v>834</v>
      </c>
      <c r="L179" s="22" t="s">
        <v>835</v>
      </c>
      <c r="M179" s="25"/>
      <c r="N179" s="25"/>
      <c r="O179" s="26"/>
      <c r="P179" s="27"/>
      <c r="Q179" s="28"/>
      <c r="R179" s="28"/>
      <c r="S179" s="26"/>
    </row>
    <row r="180" customFormat="false" ht="15" hidden="false" customHeight="false" outlineLevel="0" collapsed="false">
      <c r="A180" s="7" t="n">
        <v>176</v>
      </c>
      <c r="B180" s="9" t="s">
        <v>13</v>
      </c>
      <c r="C180" s="22" t="s">
        <v>799</v>
      </c>
      <c r="D180" s="9" t="s">
        <v>454</v>
      </c>
      <c r="E180" s="9" t="s">
        <v>48</v>
      </c>
      <c r="F180" s="9" t="s">
        <v>124</v>
      </c>
      <c r="G180" s="22" t="s">
        <v>836</v>
      </c>
      <c r="H180" s="9" t="s">
        <v>56</v>
      </c>
      <c r="I180" s="7"/>
      <c r="J180" s="23" t="s">
        <v>837</v>
      </c>
      <c r="K180" s="24" t="s">
        <v>838</v>
      </c>
      <c r="L180" s="22" t="s">
        <v>470</v>
      </c>
      <c r="M180" s="25"/>
      <c r="N180" s="25"/>
      <c r="O180" s="26"/>
      <c r="P180" s="27"/>
      <c r="Q180" s="28"/>
      <c r="R180" s="28"/>
      <c r="S180" s="26"/>
    </row>
    <row r="181" customFormat="false" ht="15" hidden="false" customHeight="false" outlineLevel="0" collapsed="false">
      <c r="A181" s="7" t="n">
        <v>177</v>
      </c>
      <c r="B181" s="9" t="s">
        <v>13</v>
      </c>
      <c r="C181" s="22" t="s">
        <v>839</v>
      </c>
      <c r="D181" s="9" t="s">
        <v>496</v>
      </c>
      <c r="E181" s="9" t="s">
        <v>47</v>
      </c>
      <c r="F181" s="9" t="s">
        <v>99</v>
      </c>
      <c r="G181" s="22" t="s">
        <v>840</v>
      </c>
      <c r="H181" s="9" t="s">
        <v>56</v>
      </c>
      <c r="I181" s="7"/>
      <c r="J181" s="23" t="s">
        <v>841</v>
      </c>
      <c r="K181" s="24" t="s">
        <v>842</v>
      </c>
      <c r="L181" s="22" t="s">
        <v>843</v>
      </c>
      <c r="M181" s="25"/>
      <c r="N181" s="25"/>
      <c r="O181" s="26"/>
      <c r="P181" s="27"/>
      <c r="Q181" s="28"/>
      <c r="R181" s="28"/>
      <c r="S181" s="26"/>
    </row>
    <row r="182" customFormat="false" ht="15" hidden="false" customHeight="false" outlineLevel="0" collapsed="false">
      <c r="A182" s="7" t="n">
        <v>178</v>
      </c>
      <c r="B182" s="9" t="s">
        <v>13</v>
      </c>
      <c r="C182" s="22" t="s">
        <v>839</v>
      </c>
      <c r="D182" s="9" t="s">
        <v>496</v>
      </c>
      <c r="E182" s="9" t="s">
        <v>47</v>
      </c>
      <c r="F182" s="9" t="s">
        <v>99</v>
      </c>
      <c r="G182" s="22" t="s">
        <v>844</v>
      </c>
      <c r="H182" s="9" t="s">
        <v>57</v>
      </c>
      <c r="I182" s="7"/>
      <c r="J182" s="23" t="s">
        <v>845</v>
      </c>
      <c r="K182" s="24" t="s">
        <v>846</v>
      </c>
      <c r="L182" s="22" t="s">
        <v>847</v>
      </c>
      <c r="M182" s="25"/>
      <c r="N182" s="25"/>
      <c r="O182" s="26"/>
      <c r="P182" s="27"/>
      <c r="Q182" s="28"/>
      <c r="R182" s="28"/>
      <c r="S182" s="26"/>
    </row>
    <row r="183" customFormat="false" ht="15" hidden="false" customHeight="false" outlineLevel="0" collapsed="false">
      <c r="A183" s="7" t="n">
        <v>179</v>
      </c>
      <c r="B183" s="9" t="s">
        <v>13</v>
      </c>
      <c r="C183" s="22" t="s">
        <v>839</v>
      </c>
      <c r="D183" s="9" t="s">
        <v>496</v>
      </c>
      <c r="E183" s="9" t="s">
        <v>47</v>
      </c>
      <c r="F183" s="9" t="s">
        <v>124</v>
      </c>
      <c r="G183" s="22" t="s">
        <v>848</v>
      </c>
      <c r="H183" s="9" t="s">
        <v>56</v>
      </c>
      <c r="I183" s="7"/>
      <c r="J183" s="23" t="s">
        <v>849</v>
      </c>
      <c r="K183" s="24" t="s">
        <v>850</v>
      </c>
      <c r="L183" s="22" t="s">
        <v>851</v>
      </c>
      <c r="M183" s="25"/>
      <c r="N183" s="25"/>
      <c r="O183" s="26"/>
      <c r="P183" s="27"/>
      <c r="Q183" s="28"/>
      <c r="R183" s="28"/>
      <c r="S183" s="26"/>
    </row>
    <row r="184" customFormat="false" ht="15" hidden="false" customHeight="false" outlineLevel="0" collapsed="false">
      <c r="A184" s="7" t="n">
        <v>180</v>
      </c>
      <c r="B184" s="9" t="s">
        <v>13</v>
      </c>
      <c r="C184" s="22" t="s">
        <v>839</v>
      </c>
      <c r="D184" s="9" t="s">
        <v>509</v>
      </c>
      <c r="E184" s="9" t="s">
        <v>47</v>
      </c>
      <c r="F184" s="9" t="s">
        <v>124</v>
      </c>
      <c r="G184" s="22" t="s">
        <v>852</v>
      </c>
      <c r="H184" s="9" t="s">
        <v>56</v>
      </c>
      <c r="I184" s="7"/>
      <c r="J184" s="23" t="s">
        <v>853</v>
      </c>
      <c r="K184" s="24" t="s">
        <v>854</v>
      </c>
      <c r="L184" s="22" t="s">
        <v>855</v>
      </c>
      <c r="M184" s="25"/>
      <c r="N184" s="25"/>
      <c r="O184" s="26"/>
      <c r="P184" s="27"/>
      <c r="Q184" s="28"/>
      <c r="R184" s="28"/>
      <c r="S184" s="26"/>
    </row>
    <row r="185" customFormat="false" ht="15" hidden="false" customHeight="false" outlineLevel="0" collapsed="false">
      <c r="A185" s="7" t="n">
        <v>181</v>
      </c>
      <c r="B185" s="9" t="s">
        <v>13</v>
      </c>
      <c r="C185" s="22" t="s">
        <v>839</v>
      </c>
      <c r="D185" s="9" t="s">
        <v>509</v>
      </c>
      <c r="E185" s="9" t="s">
        <v>48</v>
      </c>
      <c r="F185" s="9" t="s">
        <v>124</v>
      </c>
      <c r="G185" s="22" t="s">
        <v>856</v>
      </c>
      <c r="H185" s="9" t="s">
        <v>57</v>
      </c>
      <c r="I185" s="7"/>
      <c r="J185" s="23" t="s">
        <v>857</v>
      </c>
      <c r="K185" s="24" t="s">
        <v>858</v>
      </c>
      <c r="L185" s="22" t="s">
        <v>859</v>
      </c>
      <c r="M185" s="25"/>
      <c r="N185" s="25"/>
      <c r="O185" s="26"/>
      <c r="P185" s="27"/>
      <c r="Q185" s="28"/>
      <c r="R185" s="28"/>
      <c r="S185" s="26"/>
    </row>
    <row r="186" customFormat="false" ht="15" hidden="false" customHeight="false" outlineLevel="0" collapsed="false">
      <c r="A186" s="7" t="n">
        <v>182</v>
      </c>
      <c r="B186" s="9" t="s">
        <v>13</v>
      </c>
      <c r="C186" s="22" t="s">
        <v>839</v>
      </c>
      <c r="D186" s="9" t="s">
        <v>509</v>
      </c>
      <c r="E186" s="9" t="s">
        <v>48</v>
      </c>
      <c r="F186" s="9" t="s">
        <v>124</v>
      </c>
      <c r="G186" s="22" t="s">
        <v>860</v>
      </c>
      <c r="H186" s="9" t="s">
        <v>56</v>
      </c>
      <c r="I186" s="7"/>
      <c r="J186" s="23" t="s">
        <v>861</v>
      </c>
      <c r="K186" s="24" t="s">
        <v>862</v>
      </c>
      <c r="L186" s="22" t="s">
        <v>517</v>
      </c>
      <c r="M186" s="25"/>
      <c r="N186" s="25"/>
      <c r="O186" s="26"/>
      <c r="P186" s="27"/>
      <c r="Q186" s="28"/>
      <c r="R186" s="28"/>
      <c r="S186" s="26"/>
    </row>
    <row r="187" customFormat="false" ht="15" hidden="false" customHeight="false" outlineLevel="0" collapsed="false">
      <c r="A187" s="7" t="n">
        <v>183</v>
      </c>
      <c r="B187" s="9" t="s">
        <v>16</v>
      </c>
      <c r="C187" s="22" t="s">
        <v>300</v>
      </c>
      <c r="D187" s="9" t="s">
        <v>242</v>
      </c>
      <c r="E187" s="9" t="s">
        <v>326</v>
      </c>
      <c r="F187" s="9" t="s">
        <v>99</v>
      </c>
      <c r="G187" s="22" t="s">
        <v>863</v>
      </c>
      <c r="H187" s="9" t="s">
        <v>57</v>
      </c>
      <c r="I187" s="7"/>
      <c r="J187" s="23" t="s">
        <v>864</v>
      </c>
      <c r="K187" s="24" t="s">
        <v>865</v>
      </c>
      <c r="L187" s="22" t="s">
        <v>866</v>
      </c>
      <c r="M187" s="25"/>
      <c r="N187" s="25"/>
      <c r="O187" s="26"/>
      <c r="P187" s="27"/>
      <c r="Q187" s="28"/>
      <c r="R187" s="28"/>
      <c r="S187" s="26"/>
    </row>
    <row r="188" customFormat="false" ht="15" hidden="false" customHeight="false" outlineLevel="0" collapsed="false">
      <c r="A188" s="7" t="n">
        <v>184</v>
      </c>
      <c r="B188" s="9" t="s">
        <v>16</v>
      </c>
      <c r="C188" s="22" t="s">
        <v>300</v>
      </c>
      <c r="D188" s="9" t="s">
        <v>867</v>
      </c>
      <c r="E188" s="9" t="s">
        <v>49</v>
      </c>
      <c r="F188" s="9" t="s">
        <v>124</v>
      </c>
      <c r="G188" s="22" t="s">
        <v>868</v>
      </c>
      <c r="H188" s="9" t="s">
        <v>55</v>
      </c>
      <c r="I188" s="7" t="s">
        <v>869</v>
      </c>
      <c r="J188" s="23" t="s">
        <v>870</v>
      </c>
      <c r="K188" s="24" t="s">
        <v>871</v>
      </c>
      <c r="L188" s="22" t="s">
        <v>872</v>
      </c>
      <c r="M188" s="25"/>
      <c r="N188" s="25"/>
      <c r="O188" s="26"/>
      <c r="P188" s="27"/>
      <c r="Q188" s="28"/>
      <c r="R188" s="28"/>
      <c r="S188" s="26"/>
    </row>
    <row r="189" customFormat="false" ht="15" hidden="false" customHeight="false" outlineLevel="0" collapsed="false">
      <c r="A189" s="7" t="n">
        <v>185</v>
      </c>
      <c r="B189" s="9" t="s">
        <v>16</v>
      </c>
      <c r="C189" s="22" t="s">
        <v>300</v>
      </c>
      <c r="D189" s="9" t="s">
        <v>867</v>
      </c>
      <c r="E189" s="9" t="s">
        <v>326</v>
      </c>
      <c r="F189" s="9" t="s">
        <v>124</v>
      </c>
      <c r="G189" s="22" t="s">
        <v>873</v>
      </c>
      <c r="H189" s="9" t="s">
        <v>57</v>
      </c>
      <c r="I189" s="7" t="s">
        <v>869</v>
      </c>
      <c r="J189" s="23" t="s">
        <v>874</v>
      </c>
      <c r="K189" s="24" t="s">
        <v>875</v>
      </c>
      <c r="L189" s="22" t="s">
        <v>876</v>
      </c>
      <c r="M189" s="25"/>
      <c r="N189" s="25"/>
      <c r="O189" s="26"/>
      <c r="P189" s="27"/>
      <c r="Q189" s="28"/>
      <c r="R189" s="28"/>
      <c r="S189" s="26"/>
    </row>
    <row r="190" customFormat="false" ht="15" hidden="false" customHeight="false" outlineLevel="0" collapsed="false">
      <c r="A190" s="7" t="n">
        <v>186</v>
      </c>
      <c r="B190" s="9" t="s">
        <v>16</v>
      </c>
      <c r="C190" s="22" t="s">
        <v>300</v>
      </c>
      <c r="D190" s="9" t="s">
        <v>877</v>
      </c>
      <c r="E190" s="9" t="s">
        <v>326</v>
      </c>
      <c r="F190" s="9" t="s">
        <v>124</v>
      </c>
      <c r="G190" s="22" t="s">
        <v>878</v>
      </c>
      <c r="H190" s="9" t="s">
        <v>57</v>
      </c>
      <c r="I190" s="7" t="s">
        <v>869</v>
      </c>
      <c r="J190" s="23" t="s">
        <v>879</v>
      </c>
      <c r="K190" s="24" t="s">
        <v>880</v>
      </c>
      <c r="L190" s="22" t="s">
        <v>881</v>
      </c>
      <c r="M190" s="25"/>
      <c r="N190" s="25"/>
      <c r="O190" s="26"/>
      <c r="P190" s="27"/>
      <c r="Q190" s="28"/>
      <c r="R190" s="28"/>
      <c r="S190" s="26"/>
    </row>
    <row r="191" customFormat="false" ht="15" hidden="false" customHeight="false" outlineLevel="0" collapsed="false">
      <c r="A191" s="7" t="n">
        <v>187</v>
      </c>
      <c r="B191" s="9" t="s">
        <v>16</v>
      </c>
      <c r="C191" s="22" t="s">
        <v>300</v>
      </c>
      <c r="D191" s="9" t="s">
        <v>877</v>
      </c>
      <c r="E191" s="9" t="s">
        <v>326</v>
      </c>
      <c r="F191" s="9" t="s">
        <v>99</v>
      </c>
      <c r="G191" s="22" t="s">
        <v>882</v>
      </c>
      <c r="H191" s="9" t="s">
        <v>57</v>
      </c>
      <c r="I191" s="7" t="s">
        <v>869</v>
      </c>
      <c r="J191" s="23" t="s">
        <v>883</v>
      </c>
      <c r="K191" s="24" t="s">
        <v>884</v>
      </c>
      <c r="L191" s="22" t="s">
        <v>885</v>
      </c>
      <c r="M191" s="25"/>
      <c r="N191" s="25"/>
      <c r="O191" s="26"/>
      <c r="P191" s="27"/>
      <c r="Q191" s="28"/>
      <c r="R191" s="28"/>
      <c r="S191" s="26"/>
    </row>
    <row r="192" customFormat="false" ht="15" hidden="false" customHeight="false" outlineLevel="0" collapsed="false">
      <c r="A192" s="7" t="n">
        <v>188</v>
      </c>
      <c r="B192" s="9" t="s">
        <v>16</v>
      </c>
      <c r="C192" s="22" t="s">
        <v>300</v>
      </c>
      <c r="D192" s="9" t="s">
        <v>886</v>
      </c>
      <c r="E192" s="9" t="s">
        <v>49</v>
      </c>
      <c r="F192" s="9" t="s">
        <v>124</v>
      </c>
      <c r="G192" s="22" t="s">
        <v>887</v>
      </c>
      <c r="H192" s="9" t="s">
        <v>57</v>
      </c>
      <c r="I192" s="7"/>
      <c r="J192" s="23" t="s">
        <v>888</v>
      </c>
      <c r="K192" s="24" t="s">
        <v>889</v>
      </c>
      <c r="L192" s="22" t="s">
        <v>890</v>
      </c>
      <c r="M192" s="25"/>
      <c r="N192" s="25"/>
      <c r="O192" s="26"/>
      <c r="P192" s="27"/>
      <c r="Q192" s="28"/>
      <c r="R192" s="28"/>
      <c r="S192" s="26"/>
    </row>
    <row r="193" customFormat="false" ht="15" hidden="false" customHeight="false" outlineLevel="0" collapsed="false">
      <c r="A193" s="7" t="n">
        <v>189</v>
      </c>
      <c r="B193" s="9" t="s">
        <v>16</v>
      </c>
      <c r="C193" s="22" t="s">
        <v>300</v>
      </c>
      <c r="D193" s="9" t="s">
        <v>886</v>
      </c>
      <c r="E193" s="9" t="s">
        <v>49</v>
      </c>
      <c r="F193" s="9" t="s">
        <v>124</v>
      </c>
      <c r="G193" s="22" t="s">
        <v>891</v>
      </c>
      <c r="H193" s="9" t="s">
        <v>57</v>
      </c>
      <c r="I193" s="7"/>
      <c r="J193" s="23" t="s">
        <v>892</v>
      </c>
      <c r="K193" s="24" t="s">
        <v>893</v>
      </c>
      <c r="L193" s="22" t="s">
        <v>894</v>
      </c>
      <c r="M193" s="25"/>
      <c r="N193" s="25"/>
      <c r="O193" s="26"/>
      <c r="P193" s="27"/>
      <c r="Q193" s="28"/>
      <c r="R193" s="28"/>
      <c r="S193" s="26"/>
    </row>
    <row r="194" customFormat="false" ht="15" hidden="false" customHeight="false" outlineLevel="0" collapsed="false">
      <c r="A194" s="7" t="n">
        <v>190</v>
      </c>
      <c r="B194" s="9" t="s">
        <v>16</v>
      </c>
      <c r="C194" s="22" t="s">
        <v>300</v>
      </c>
      <c r="D194" s="9" t="s">
        <v>886</v>
      </c>
      <c r="E194" s="9" t="s">
        <v>49</v>
      </c>
      <c r="F194" s="9" t="s">
        <v>124</v>
      </c>
      <c r="G194" s="22" t="s">
        <v>895</v>
      </c>
      <c r="H194" s="9" t="s">
        <v>56</v>
      </c>
      <c r="I194" s="7"/>
      <c r="J194" s="23" t="s">
        <v>896</v>
      </c>
      <c r="K194" s="24" t="s">
        <v>897</v>
      </c>
      <c r="L194" s="22" t="s">
        <v>898</v>
      </c>
      <c r="M194" s="25"/>
      <c r="N194" s="25"/>
      <c r="O194" s="26"/>
      <c r="P194" s="27"/>
      <c r="Q194" s="28"/>
      <c r="R194" s="28"/>
      <c r="S194" s="26"/>
    </row>
    <row r="195" customFormat="false" ht="15" hidden="false" customHeight="false" outlineLevel="0" collapsed="false">
      <c r="A195" s="7" t="n">
        <v>191</v>
      </c>
      <c r="B195" s="9" t="s">
        <v>16</v>
      </c>
      <c r="C195" s="22" t="s">
        <v>300</v>
      </c>
      <c r="D195" s="9" t="s">
        <v>899</v>
      </c>
      <c r="E195" s="9" t="s">
        <v>49</v>
      </c>
      <c r="F195" s="9" t="s">
        <v>124</v>
      </c>
      <c r="G195" s="22" t="s">
        <v>900</v>
      </c>
      <c r="H195" s="9" t="s">
        <v>55</v>
      </c>
      <c r="I195" s="7" t="s">
        <v>869</v>
      </c>
      <c r="J195" s="23" t="s">
        <v>901</v>
      </c>
      <c r="K195" s="24" t="s">
        <v>902</v>
      </c>
      <c r="L195" s="22" t="s">
        <v>903</v>
      </c>
      <c r="M195" s="25"/>
      <c r="N195" s="25"/>
      <c r="O195" s="26"/>
      <c r="P195" s="27"/>
      <c r="Q195" s="28"/>
      <c r="R195" s="28"/>
      <c r="S195" s="26"/>
    </row>
    <row r="196" customFormat="false" ht="15" hidden="false" customHeight="false" outlineLevel="0" collapsed="false">
      <c r="A196" s="7" t="n">
        <v>192</v>
      </c>
      <c r="B196" s="9" t="s">
        <v>16</v>
      </c>
      <c r="C196" s="22" t="s">
        <v>300</v>
      </c>
      <c r="D196" s="9" t="s">
        <v>904</v>
      </c>
      <c r="E196" s="9" t="s">
        <v>49</v>
      </c>
      <c r="F196" s="9" t="s">
        <v>99</v>
      </c>
      <c r="G196" s="22" t="s">
        <v>905</v>
      </c>
      <c r="H196" s="9" t="s">
        <v>56</v>
      </c>
      <c r="I196" s="7"/>
      <c r="J196" s="23" t="s">
        <v>906</v>
      </c>
      <c r="K196" s="24" t="s">
        <v>907</v>
      </c>
      <c r="L196" s="22" t="s">
        <v>908</v>
      </c>
      <c r="M196" s="25"/>
      <c r="N196" s="25"/>
      <c r="O196" s="26"/>
      <c r="P196" s="27"/>
      <c r="Q196" s="28"/>
      <c r="R196" s="28"/>
      <c r="S196" s="26"/>
    </row>
    <row r="197" customFormat="false" ht="15" hidden="false" customHeight="false" outlineLevel="0" collapsed="false">
      <c r="A197" s="7" t="n">
        <v>193</v>
      </c>
      <c r="B197" s="9" t="s">
        <v>16</v>
      </c>
      <c r="C197" s="22" t="s">
        <v>300</v>
      </c>
      <c r="D197" s="9" t="s">
        <v>904</v>
      </c>
      <c r="E197" s="9" t="s">
        <v>49</v>
      </c>
      <c r="F197" s="9" t="s">
        <v>124</v>
      </c>
      <c r="G197" s="22" t="s">
        <v>909</v>
      </c>
      <c r="H197" s="9" t="s">
        <v>55</v>
      </c>
      <c r="I197" s="7" t="s">
        <v>869</v>
      </c>
      <c r="J197" s="23" t="s">
        <v>910</v>
      </c>
      <c r="K197" s="24" t="s">
        <v>911</v>
      </c>
      <c r="L197" s="22" t="s">
        <v>912</v>
      </c>
      <c r="M197" s="25"/>
      <c r="N197" s="25"/>
      <c r="O197" s="26"/>
      <c r="P197" s="27"/>
      <c r="Q197" s="28"/>
      <c r="R197" s="28"/>
      <c r="S197" s="26"/>
    </row>
    <row r="198" customFormat="false" ht="15" hidden="false" customHeight="false" outlineLevel="0" collapsed="false">
      <c r="A198" s="7" t="n">
        <v>194</v>
      </c>
      <c r="B198" s="9" t="s">
        <v>16</v>
      </c>
      <c r="C198" s="22" t="s">
        <v>300</v>
      </c>
      <c r="D198" s="9" t="s">
        <v>904</v>
      </c>
      <c r="E198" s="9" t="s">
        <v>49</v>
      </c>
      <c r="F198" s="9" t="s">
        <v>124</v>
      </c>
      <c r="G198" s="22" t="s">
        <v>913</v>
      </c>
      <c r="H198" s="9" t="s">
        <v>57</v>
      </c>
      <c r="I198" s="7" t="s">
        <v>869</v>
      </c>
      <c r="J198" s="23" t="s">
        <v>914</v>
      </c>
      <c r="K198" s="24" t="s">
        <v>915</v>
      </c>
      <c r="L198" s="22" t="s">
        <v>916</v>
      </c>
      <c r="M198" s="25"/>
      <c r="N198" s="25"/>
      <c r="O198" s="26"/>
      <c r="P198" s="27"/>
      <c r="Q198" s="28"/>
      <c r="R198" s="28"/>
      <c r="S198" s="26"/>
    </row>
    <row r="199" customFormat="false" ht="15" hidden="false" customHeight="false" outlineLevel="0" collapsed="false">
      <c r="A199" s="7" t="n">
        <v>195</v>
      </c>
      <c r="B199" s="9" t="s">
        <v>16</v>
      </c>
      <c r="C199" s="22" t="s">
        <v>300</v>
      </c>
      <c r="D199" s="9" t="s">
        <v>917</v>
      </c>
      <c r="E199" s="9" t="s">
        <v>49</v>
      </c>
      <c r="F199" s="9" t="s">
        <v>99</v>
      </c>
      <c r="G199" s="22" t="s">
        <v>918</v>
      </c>
      <c r="H199" s="9" t="s">
        <v>56</v>
      </c>
      <c r="I199" s="7"/>
      <c r="J199" s="23" t="s">
        <v>919</v>
      </c>
      <c r="K199" s="24" t="s">
        <v>920</v>
      </c>
      <c r="L199" s="22" t="s">
        <v>921</v>
      </c>
      <c r="M199" s="25"/>
      <c r="N199" s="25"/>
      <c r="O199" s="26"/>
      <c r="P199" s="27"/>
      <c r="Q199" s="28"/>
      <c r="R199" s="28"/>
      <c r="S199" s="26"/>
    </row>
    <row r="200" customFormat="false" ht="15" hidden="false" customHeight="false" outlineLevel="0" collapsed="false">
      <c r="A200" s="7" t="n">
        <v>196</v>
      </c>
      <c r="B200" s="9" t="s">
        <v>16</v>
      </c>
      <c r="C200" s="22" t="s">
        <v>300</v>
      </c>
      <c r="D200" s="9" t="s">
        <v>917</v>
      </c>
      <c r="E200" s="9" t="s">
        <v>49</v>
      </c>
      <c r="F200" s="9" t="s">
        <v>124</v>
      </c>
      <c r="G200" s="22" t="s">
        <v>922</v>
      </c>
      <c r="H200" s="9" t="s">
        <v>56</v>
      </c>
      <c r="I200" s="7"/>
      <c r="J200" s="23" t="s">
        <v>923</v>
      </c>
      <c r="K200" s="24" t="s">
        <v>924</v>
      </c>
      <c r="L200" s="22" t="s">
        <v>925</v>
      </c>
      <c r="M200" s="25"/>
      <c r="N200" s="25"/>
      <c r="O200" s="26"/>
      <c r="P200" s="27"/>
      <c r="Q200" s="28"/>
      <c r="R200" s="28"/>
      <c r="S200" s="26"/>
    </row>
    <row r="201" customFormat="false" ht="15" hidden="false" customHeight="false" outlineLevel="0" collapsed="false">
      <c r="A201" s="7" t="n">
        <v>197</v>
      </c>
      <c r="B201" s="9" t="s">
        <v>16</v>
      </c>
      <c r="C201" s="22" t="s">
        <v>300</v>
      </c>
      <c r="D201" s="9" t="s">
        <v>917</v>
      </c>
      <c r="E201" s="9" t="s">
        <v>49</v>
      </c>
      <c r="F201" s="9" t="s">
        <v>124</v>
      </c>
      <c r="G201" s="22" t="s">
        <v>926</v>
      </c>
      <c r="H201" s="9" t="s">
        <v>56</v>
      </c>
      <c r="I201" s="7"/>
      <c r="J201" s="23" t="s">
        <v>927</v>
      </c>
      <c r="K201" s="24" t="s">
        <v>928</v>
      </c>
      <c r="L201" s="22" t="s">
        <v>929</v>
      </c>
      <c r="M201" s="25"/>
      <c r="N201" s="25"/>
      <c r="O201" s="26"/>
      <c r="P201" s="27"/>
      <c r="Q201" s="28"/>
      <c r="R201" s="28"/>
      <c r="S201" s="26"/>
    </row>
    <row r="202" customFormat="false" ht="15" hidden="false" customHeight="false" outlineLevel="0" collapsed="false">
      <c r="A202" s="7" t="n">
        <v>198</v>
      </c>
      <c r="B202" s="9" t="s">
        <v>16</v>
      </c>
      <c r="C202" s="22" t="s">
        <v>300</v>
      </c>
      <c r="D202" s="9" t="s">
        <v>930</v>
      </c>
      <c r="E202" s="9" t="s">
        <v>49</v>
      </c>
      <c r="F202" s="9" t="s">
        <v>124</v>
      </c>
      <c r="G202" s="22" t="s">
        <v>931</v>
      </c>
      <c r="H202" s="9" t="s">
        <v>57</v>
      </c>
      <c r="I202" s="7" t="s">
        <v>869</v>
      </c>
      <c r="J202" s="23" t="s">
        <v>932</v>
      </c>
      <c r="K202" s="24" t="s">
        <v>933</v>
      </c>
      <c r="L202" s="22" t="s">
        <v>934</v>
      </c>
      <c r="M202" s="25"/>
      <c r="N202" s="25"/>
      <c r="O202" s="26"/>
      <c r="P202" s="27"/>
      <c r="Q202" s="28"/>
      <c r="R202" s="28"/>
      <c r="S202" s="26"/>
    </row>
    <row r="203" customFormat="false" ht="15" hidden="false" customHeight="false" outlineLevel="0" collapsed="false">
      <c r="A203" s="7" t="n">
        <v>199</v>
      </c>
      <c r="B203" s="9" t="s">
        <v>16</v>
      </c>
      <c r="C203" s="22" t="s">
        <v>300</v>
      </c>
      <c r="D203" s="9" t="s">
        <v>930</v>
      </c>
      <c r="E203" s="9" t="s">
        <v>49</v>
      </c>
      <c r="F203" s="9" t="s">
        <v>124</v>
      </c>
      <c r="G203" s="22" t="s">
        <v>935</v>
      </c>
      <c r="H203" s="9" t="s">
        <v>57</v>
      </c>
      <c r="I203" s="7" t="s">
        <v>869</v>
      </c>
      <c r="J203" s="23" t="s">
        <v>936</v>
      </c>
      <c r="K203" s="24" t="s">
        <v>937</v>
      </c>
      <c r="L203" s="22" t="s">
        <v>938</v>
      </c>
      <c r="M203" s="25"/>
      <c r="N203" s="25"/>
      <c r="O203" s="26"/>
      <c r="P203" s="27"/>
      <c r="Q203" s="28"/>
      <c r="R203" s="28"/>
      <c r="S203" s="26"/>
    </row>
    <row r="204" customFormat="false" ht="15" hidden="false" customHeight="false" outlineLevel="0" collapsed="false">
      <c r="A204" s="7" t="n">
        <v>200</v>
      </c>
      <c r="B204" s="9" t="s">
        <v>16</v>
      </c>
      <c r="C204" s="22" t="s">
        <v>300</v>
      </c>
      <c r="D204" s="9" t="s">
        <v>930</v>
      </c>
      <c r="E204" s="9" t="s">
        <v>49</v>
      </c>
      <c r="F204" s="9" t="s">
        <v>99</v>
      </c>
      <c r="G204" s="22" t="s">
        <v>939</v>
      </c>
      <c r="H204" s="9" t="s">
        <v>55</v>
      </c>
      <c r="I204" s="7"/>
      <c r="J204" s="23" t="s">
        <v>940</v>
      </c>
      <c r="K204" s="24" t="s">
        <v>941</v>
      </c>
      <c r="L204" s="22" t="s">
        <v>942</v>
      </c>
      <c r="M204" s="25"/>
      <c r="N204" s="25"/>
      <c r="O204" s="26"/>
      <c r="P204" s="27"/>
      <c r="Q204" s="28"/>
      <c r="R204" s="28"/>
      <c r="S204" s="26"/>
    </row>
    <row r="205" customFormat="false" ht="15" hidden="false" customHeight="false" outlineLevel="0" collapsed="false">
      <c r="A205" s="7" t="n">
        <v>201</v>
      </c>
      <c r="B205" s="9" t="s">
        <v>16</v>
      </c>
      <c r="C205" s="22" t="s">
        <v>300</v>
      </c>
      <c r="D205" s="9" t="s">
        <v>930</v>
      </c>
      <c r="E205" s="9" t="s">
        <v>49</v>
      </c>
      <c r="F205" s="9" t="s">
        <v>124</v>
      </c>
      <c r="G205" s="22" t="s">
        <v>943</v>
      </c>
      <c r="H205" s="9" t="s">
        <v>57</v>
      </c>
      <c r="I205" s="7"/>
      <c r="J205" s="23" t="s">
        <v>944</v>
      </c>
      <c r="K205" s="24" t="s">
        <v>945</v>
      </c>
      <c r="L205" s="22" t="s">
        <v>946</v>
      </c>
      <c r="M205" s="25"/>
      <c r="N205" s="25"/>
      <c r="O205" s="26"/>
      <c r="P205" s="27"/>
      <c r="Q205" s="28"/>
      <c r="R205" s="28"/>
      <c r="S205" s="26"/>
    </row>
    <row r="206" customFormat="false" ht="15" hidden="false" customHeight="false" outlineLevel="0" collapsed="false">
      <c r="A206" s="7" t="n">
        <v>202</v>
      </c>
      <c r="B206" s="9" t="s">
        <v>16</v>
      </c>
      <c r="C206" s="22" t="s">
        <v>300</v>
      </c>
      <c r="D206" s="9" t="s">
        <v>947</v>
      </c>
      <c r="E206" s="9" t="s">
        <v>49</v>
      </c>
      <c r="F206" s="9" t="s">
        <v>124</v>
      </c>
      <c r="G206" s="22" t="s">
        <v>948</v>
      </c>
      <c r="H206" s="9" t="s">
        <v>55</v>
      </c>
      <c r="I206" s="7" t="s">
        <v>869</v>
      </c>
      <c r="J206" s="23" t="s">
        <v>949</v>
      </c>
      <c r="K206" s="24" t="s">
        <v>950</v>
      </c>
      <c r="L206" s="22" t="s">
        <v>951</v>
      </c>
      <c r="M206" s="25"/>
      <c r="N206" s="25"/>
      <c r="O206" s="26"/>
      <c r="P206" s="27"/>
      <c r="Q206" s="28"/>
      <c r="R206" s="28"/>
      <c r="S206" s="26"/>
    </row>
    <row r="207" customFormat="false" ht="15" hidden="false" customHeight="false" outlineLevel="0" collapsed="false">
      <c r="A207" s="7" t="n">
        <v>203</v>
      </c>
      <c r="B207" s="9" t="s">
        <v>16</v>
      </c>
      <c r="C207" s="22" t="s">
        <v>300</v>
      </c>
      <c r="D207" s="9" t="s">
        <v>952</v>
      </c>
      <c r="E207" s="9" t="s">
        <v>49</v>
      </c>
      <c r="F207" s="9" t="s">
        <v>124</v>
      </c>
      <c r="G207" s="22" t="s">
        <v>953</v>
      </c>
      <c r="H207" s="9" t="s">
        <v>56</v>
      </c>
      <c r="I207" s="7" t="s">
        <v>869</v>
      </c>
      <c r="J207" s="23" t="s">
        <v>954</v>
      </c>
      <c r="K207" s="24" t="s">
        <v>955</v>
      </c>
      <c r="L207" s="22" t="s">
        <v>956</v>
      </c>
      <c r="M207" s="25"/>
      <c r="N207" s="25"/>
      <c r="O207" s="26"/>
      <c r="P207" s="27"/>
      <c r="Q207" s="28"/>
      <c r="R207" s="28"/>
      <c r="S207" s="26"/>
    </row>
    <row r="208" customFormat="false" ht="15" hidden="false" customHeight="false" outlineLevel="0" collapsed="false">
      <c r="A208" s="7" t="n">
        <v>204</v>
      </c>
      <c r="B208" s="9" t="s">
        <v>16</v>
      </c>
      <c r="C208" s="22" t="s">
        <v>562</v>
      </c>
      <c r="D208" s="9" t="s">
        <v>904</v>
      </c>
      <c r="E208" s="9" t="s">
        <v>48</v>
      </c>
      <c r="F208" s="9" t="s">
        <v>124</v>
      </c>
      <c r="G208" s="22" t="s">
        <v>957</v>
      </c>
      <c r="H208" s="9" t="s">
        <v>56</v>
      </c>
      <c r="I208" s="7" t="s">
        <v>869</v>
      </c>
      <c r="J208" s="23" t="s">
        <v>958</v>
      </c>
      <c r="K208" s="24" t="s">
        <v>959</v>
      </c>
      <c r="L208" s="22" t="s">
        <v>960</v>
      </c>
      <c r="M208" s="25"/>
      <c r="N208" s="25"/>
      <c r="O208" s="26"/>
      <c r="P208" s="27"/>
      <c r="Q208" s="28"/>
      <c r="R208" s="28"/>
      <c r="S208" s="26"/>
    </row>
    <row r="209" customFormat="false" ht="15" hidden="false" customHeight="false" outlineLevel="0" collapsed="false">
      <c r="A209" s="7" t="n">
        <v>205</v>
      </c>
      <c r="B209" s="9" t="s">
        <v>16</v>
      </c>
      <c r="C209" s="22" t="s">
        <v>961</v>
      </c>
      <c r="D209" s="9" t="s">
        <v>867</v>
      </c>
      <c r="E209" s="9" t="s">
        <v>48</v>
      </c>
      <c r="F209" s="9" t="s">
        <v>99</v>
      </c>
      <c r="G209" s="22" t="s">
        <v>962</v>
      </c>
      <c r="H209" s="9" t="s">
        <v>57</v>
      </c>
      <c r="I209" s="7"/>
      <c r="J209" s="23" t="s">
        <v>963</v>
      </c>
      <c r="K209" s="24" t="s">
        <v>964</v>
      </c>
      <c r="L209" s="22" t="s">
        <v>965</v>
      </c>
      <c r="M209" s="25"/>
      <c r="N209" s="25"/>
      <c r="O209" s="26"/>
      <c r="P209" s="27"/>
      <c r="Q209" s="28"/>
      <c r="R209" s="28"/>
      <c r="S209" s="26"/>
    </row>
    <row r="210" customFormat="false" ht="15" hidden="false" customHeight="false" outlineLevel="0" collapsed="false">
      <c r="A210" s="7" t="n">
        <v>206</v>
      </c>
      <c r="B210" s="9" t="s">
        <v>16</v>
      </c>
      <c r="C210" s="22" t="s">
        <v>961</v>
      </c>
      <c r="D210" s="9" t="s">
        <v>966</v>
      </c>
      <c r="E210" s="9" t="s">
        <v>47</v>
      </c>
      <c r="F210" s="9" t="s">
        <v>99</v>
      </c>
      <c r="G210" s="22" t="s">
        <v>967</v>
      </c>
      <c r="H210" s="9" t="s">
        <v>57</v>
      </c>
      <c r="I210" s="7" t="s">
        <v>869</v>
      </c>
      <c r="J210" s="23" t="s">
        <v>968</v>
      </c>
      <c r="K210" s="24" t="s">
        <v>969</v>
      </c>
      <c r="L210" s="22" t="s">
        <v>970</v>
      </c>
      <c r="M210" s="25"/>
      <c r="N210" s="25"/>
      <c r="O210" s="26"/>
      <c r="P210" s="27"/>
      <c r="Q210" s="28"/>
      <c r="R210" s="28"/>
      <c r="S210" s="26"/>
    </row>
    <row r="211" customFormat="false" ht="15" hidden="false" customHeight="false" outlineLevel="0" collapsed="false">
      <c r="A211" s="7" t="n">
        <v>207</v>
      </c>
      <c r="B211" s="9" t="s">
        <v>16</v>
      </c>
      <c r="C211" s="22" t="s">
        <v>961</v>
      </c>
      <c r="D211" s="9" t="s">
        <v>966</v>
      </c>
      <c r="E211" s="9" t="s">
        <v>48</v>
      </c>
      <c r="F211" s="9" t="s">
        <v>99</v>
      </c>
      <c r="G211" s="22" t="s">
        <v>971</v>
      </c>
      <c r="H211" s="9" t="s">
        <v>57</v>
      </c>
      <c r="I211" s="7"/>
      <c r="J211" s="23" t="s">
        <v>972</v>
      </c>
      <c r="K211" s="24" t="s">
        <v>973</v>
      </c>
      <c r="L211" s="22" t="s">
        <v>974</v>
      </c>
      <c r="M211" s="25"/>
      <c r="N211" s="25"/>
      <c r="O211" s="26"/>
      <c r="P211" s="27"/>
      <c r="Q211" s="28"/>
      <c r="R211" s="28"/>
      <c r="S211" s="26"/>
    </row>
    <row r="212" customFormat="false" ht="15" hidden="false" customHeight="false" outlineLevel="0" collapsed="false">
      <c r="A212" s="7" t="n">
        <v>208</v>
      </c>
      <c r="B212" s="9" t="s">
        <v>16</v>
      </c>
      <c r="C212" s="22" t="s">
        <v>669</v>
      </c>
      <c r="D212" s="9" t="s">
        <v>242</v>
      </c>
      <c r="E212" s="9" t="s">
        <v>47</v>
      </c>
      <c r="F212" s="9" t="s">
        <v>99</v>
      </c>
      <c r="G212" s="22" t="s">
        <v>975</v>
      </c>
      <c r="H212" s="9" t="s">
        <v>57</v>
      </c>
      <c r="I212" s="7" t="s">
        <v>869</v>
      </c>
      <c r="J212" s="23" t="s">
        <v>976</v>
      </c>
      <c r="K212" s="24" t="s">
        <v>977</v>
      </c>
      <c r="L212" s="22" t="s">
        <v>978</v>
      </c>
      <c r="M212" s="25"/>
      <c r="N212" s="25"/>
      <c r="O212" s="26"/>
      <c r="P212" s="27"/>
      <c r="Q212" s="28"/>
      <c r="R212" s="28"/>
      <c r="S212" s="26"/>
    </row>
    <row r="213" customFormat="false" ht="15" hidden="false" customHeight="false" outlineLevel="0" collapsed="false">
      <c r="A213" s="7" t="n">
        <v>209</v>
      </c>
      <c r="B213" s="9" t="s">
        <v>16</v>
      </c>
      <c r="C213" s="22" t="s">
        <v>669</v>
      </c>
      <c r="D213" s="9" t="s">
        <v>917</v>
      </c>
      <c r="E213" s="9" t="s">
        <v>47</v>
      </c>
      <c r="F213" s="9" t="s">
        <v>99</v>
      </c>
      <c r="G213" s="22" t="s">
        <v>979</v>
      </c>
      <c r="H213" s="9" t="s">
        <v>57</v>
      </c>
      <c r="I213" s="7" t="s">
        <v>869</v>
      </c>
      <c r="J213" s="23" t="s">
        <v>980</v>
      </c>
      <c r="K213" s="24" t="s">
        <v>981</v>
      </c>
      <c r="L213" s="22" t="s">
        <v>982</v>
      </c>
      <c r="M213" s="25"/>
      <c r="N213" s="25"/>
      <c r="O213" s="26"/>
      <c r="P213" s="27"/>
      <c r="Q213" s="28"/>
      <c r="R213" s="28"/>
      <c r="S213" s="26"/>
    </row>
    <row r="214" customFormat="false" ht="15" hidden="false" customHeight="false" outlineLevel="0" collapsed="false">
      <c r="A214" s="7" t="n">
        <v>210</v>
      </c>
      <c r="B214" s="9" t="s">
        <v>16</v>
      </c>
      <c r="C214" s="22" t="s">
        <v>669</v>
      </c>
      <c r="D214" s="9" t="s">
        <v>917</v>
      </c>
      <c r="E214" s="9" t="s">
        <v>47</v>
      </c>
      <c r="F214" s="9" t="s">
        <v>99</v>
      </c>
      <c r="G214" s="22" t="s">
        <v>983</v>
      </c>
      <c r="H214" s="9" t="s">
        <v>55</v>
      </c>
      <c r="I214" s="7" t="s">
        <v>869</v>
      </c>
      <c r="J214" s="23" t="s">
        <v>984</v>
      </c>
      <c r="K214" s="24" t="s">
        <v>985</v>
      </c>
      <c r="L214" s="22" t="s">
        <v>986</v>
      </c>
      <c r="M214" s="25"/>
      <c r="N214" s="25"/>
      <c r="O214" s="26"/>
      <c r="P214" s="27"/>
      <c r="Q214" s="28"/>
      <c r="R214" s="28"/>
      <c r="S214" s="26"/>
    </row>
    <row r="215" customFormat="false" ht="15" hidden="false" customHeight="false" outlineLevel="0" collapsed="false">
      <c r="A215" s="7" t="n">
        <v>211</v>
      </c>
      <c r="B215" s="9" t="s">
        <v>16</v>
      </c>
      <c r="C215" s="22" t="s">
        <v>669</v>
      </c>
      <c r="D215" s="9" t="s">
        <v>917</v>
      </c>
      <c r="E215" s="9" t="s">
        <v>47</v>
      </c>
      <c r="F215" s="9" t="s">
        <v>99</v>
      </c>
      <c r="G215" s="22" t="s">
        <v>987</v>
      </c>
      <c r="H215" s="9" t="s">
        <v>56</v>
      </c>
      <c r="I215" s="7" t="s">
        <v>869</v>
      </c>
      <c r="J215" s="23" t="s">
        <v>988</v>
      </c>
      <c r="K215" s="24" t="s">
        <v>989</v>
      </c>
      <c r="L215" s="22" t="s">
        <v>990</v>
      </c>
      <c r="M215" s="25"/>
      <c r="N215" s="25"/>
      <c r="O215" s="26"/>
      <c r="P215" s="27"/>
      <c r="Q215" s="28"/>
      <c r="R215" s="28"/>
      <c r="S215" s="26"/>
    </row>
    <row r="216" customFormat="false" ht="15" hidden="false" customHeight="false" outlineLevel="0" collapsed="false">
      <c r="A216" s="7" t="n">
        <v>212</v>
      </c>
      <c r="B216" s="9" t="s">
        <v>16</v>
      </c>
      <c r="C216" s="22" t="s">
        <v>669</v>
      </c>
      <c r="D216" s="9" t="s">
        <v>991</v>
      </c>
      <c r="E216" s="9" t="s">
        <v>47</v>
      </c>
      <c r="F216" s="9" t="s">
        <v>99</v>
      </c>
      <c r="G216" s="22" t="s">
        <v>992</v>
      </c>
      <c r="H216" s="9" t="s">
        <v>56</v>
      </c>
      <c r="I216" s="7" t="s">
        <v>869</v>
      </c>
      <c r="J216" s="23" t="s">
        <v>993</v>
      </c>
      <c r="K216" s="24" t="s">
        <v>994</v>
      </c>
      <c r="L216" s="22" t="s">
        <v>995</v>
      </c>
      <c r="M216" s="25"/>
      <c r="N216" s="25"/>
      <c r="O216" s="26"/>
      <c r="P216" s="27"/>
      <c r="Q216" s="28"/>
      <c r="R216" s="28"/>
      <c r="S216" s="26"/>
    </row>
    <row r="217" customFormat="false" ht="15" hidden="false" customHeight="false" outlineLevel="0" collapsed="false">
      <c r="A217" s="7" t="n">
        <v>213</v>
      </c>
      <c r="B217" s="9" t="s">
        <v>16</v>
      </c>
      <c r="C217" s="22" t="s">
        <v>725</v>
      </c>
      <c r="D217" s="9" t="s">
        <v>930</v>
      </c>
      <c r="E217" s="9" t="s">
        <v>47</v>
      </c>
      <c r="F217" s="9" t="s">
        <v>99</v>
      </c>
      <c r="G217" s="22" t="s">
        <v>996</v>
      </c>
      <c r="H217" s="9" t="s">
        <v>57</v>
      </c>
      <c r="I217" s="7"/>
      <c r="J217" s="23" t="s">
        <v>997</v>
      </c>
      <c r="K217" s="24" t="s">
        <v>998</v>
      </c>
      <c r="L217" s="22" t="s">
        <v>999</v>
      </c>
      <c r="M217" s="25"/>
      <c r="N217" s="25"/>
      <c r="O217" s="26"/>
      <c r="P217" s="27"/>
      <c r="Q217" s="28"/>
      <c r="R217" s="28"/>
      <c r="S217" s="26"/>
    </row>
    <row r="218" customFormat="false" ht="15" hidden="false" customHeight="false" outlineLevel="0" collapsed="false">
      <c r="A218" s="7" t="n">
        <v>214</v>
      </c>
      <c r="B218" s="9" t="s">
        <v>16</v>
      </c>
      <c r="C218" s="22" t="s">
        <v>725</v>
      </c>
      <c r="D218" s="9" t="s">
        <v>1000</v>
      </c>
      <c r="E218" s="9" t="s">
        <v>47</v>
      </c>
      <c r="F218" s="9" t="s">
        <v>99</v>
      </c>
      <c r="G218" s="22" t="s">
        <v>1001</v>
      </c>
      <c r="H218" s="9" t="s">
        <v>57</v>
      </c>
      <c r="I218" s="7"/>
      <c r="J218" s="23" t="s">
        <v>1002</v>
      </c>
      <c r="K218" s="24" t="s">
        <v>1003</v>
      </c>
      <c r="L218" s="22" t="s">
        <v>1004</v>
      </c>
      <c r="M218" s="25"/>
      <c r="N218" s="25"/>
      <c r="O218" s="26"/>
      <c r="P218" s="27"/>
      <c r="Q218" s="28"/>
      <c r="R218" s="28"/>
      <c r="S218" s="26"/>
    </row>
    <row r="219" customFormat="false" ht="15" hidden="false" customHeight="false" outlineLevel="0" collapsed="false">
      <c r="A219" s="7" t="n">
        <v>215</v>
      </c>
      <c r="B219" s="9" t="s">
        <v>16</v>
      </c>
      <c r="C219" s="22" t="s">
        <v>725</v>
      </c>
      <c r="D219" s="9" t="s">
        <v>1000</v>
      </c>
      <c r="E219" s="9" t="s">
        <v>47</v>
      </c>
      <c r="F219" s="9" t="s">
        <v>99</v>
      </c>
      <c r="G219" s="22" t="s">
        <v>1005</v>
      </c>
      <c r="H219" s="9" t="s">
        <v>56</v>
      </c>
      <c r="I219" s="7" t="s">
        <v>869</v>
      </c>
      <c r="J219" s="23" t="s">
        <v>1006</v>
      </c>
      <c r="K219" s="24" t="s">
        <v>1007</v>
      </c>
      <c r="L219" s="22" t="s">
        <v>1008</v>
      </c>
      <c r="M219" s="25"/>
      <c r="N219" s="25"/>
      <c r="O219" s="26"/>
      <c r="P219" s="27"/>
      <c r="Q219" s="28"/>
      <c r="R219" s="28"/>
      <c r="S219" s="26"/>
    </row>
    <row r="220" customFormat="false" ht="15" hidden="false" customHeight="false" outlineLevel="0" collapsed="false">
      <c r="A220" s="7" t="n">
        <v>216</v>
      </c>
      <c r="B220" s="9" t="s">
        <v>16</v>
      </c>
      <c r="C220" s="22" t="s">
        <v>725</v>
      </c>
      <c r="D220" s="9" t="s">
        <v>952</v>
      </c>
      <c r="E220" s="9" t="s">
        <v>47</v>
      </c>
      <c r="F220" s="9" t="s">
        <v>99</v>
      </c>
      <c r="G220" s="22" t="s">
        <v>1009</v>
      </c>
      <c r="H220" s="9" t="s">
        <v>57</v>
      </c>
      <c r="I220" s="7" t="s">
        <v>869</v>
      </c>
      <c r="J220" s="23" t="s">
        <v>1010</v>
      </c>
      <c r="K220" s="24" t="s">
        <v>1011</v>
      </c>
      <c r="L220" s="22" t="s">
        <v>1012</v>
      </c>
      <c r="M220" s="25"/>
      <c r="N220" s="25"/>
      <c r="O220" s="26"/>
      <c r="P220" s="27"/>
      <c r="Q220" s="28"/>
      <c r="R220" s="28"/>
      <c r="S220" s="26"/>
    </row>
    <row r="221" customFormat="false" ht="15" hidden="false" customHeight="false" outlineLevel="0" collapsed="false">
      <c r="A221" s="7" t="n">
        <v>217</v>
      </c>
      <c r="B221" s="9" t="s">
        <v>16</v>
      </c>
      <c r="C221" s="22" t="s">
        <v>1013</v>
      </c>
      <c r="D221" s="9" t="s">
        <v>877</v>
      </c>
      <c r="E221" s="9" t="s">
        <v>47</v>
      </c>
      <c r="F221" s="9" t="s">
        <v>99</v>
      </c>
      <c r="G221" s="22" t="s">
        <v>1014</v>
      </c>
      <c r="H221" s="9" t="s">
        <v>55</v>
      </c>
      <c r="I221" s="7" t="s">
        <v>869</v>
      </c>
      <c r="J221" s="23" t="s">
        <v>1015</v>
      </c>
      <c r="K221" s="24" t="s">
        <v>1016</v>
      </c>
      <c r="L221" s="22" t="s">
        <v>1017</v>
      </c>
      <c r="M221" s="25"/>
      <c r="N221" s="25"/>
      <c r="O221" s="26"/>
      <c r="P221" s="27"/>
      <c r="Q221" s="28"/>
      <c r="R221" s="28"/>
      <c r="S221" s="26"/>
    </row>
    <row r="222" customFormat="false" ht="15" hidden="false" customHeight="false" outlineLevel="0" collapsed="false">
      <c r="A222" s="7" t="n">
        <v>218</v>
      </c>
      <c r="B222" s="9" t="s">
        <v>16</v>
      </c>
      <c r="C222" s="22" t="s">
        <v>1013</v>
      </c>
      <c r="D222" s="9" t="s">
        <v>877</v>
      </c>
      <c r="E222" s="9" t="s">
        <v>47</v>
      </c>
      <c r="F222" s="9" t="s">
        <v>99</v>
      </c>
      <c r="G222" s="22" t="s">
        <v>1018</v>
      </c>
      <c r="H222" s="9" t="s">
        <v>57</v>
      </c>
      <c r="I222" s="7" t="s">
        <v>869</v>
      </c>
      <c r="J222" s="23" t="s">
        <v>1019</v>
      </c>
      <c r="K222" s="24" t="s">
        <v>1020</v>
      </c>
      <c r="L222" s="22" t="s">
        <v>1021</v>
      </c>
      <c r="M222" s="25"/>
      <c r="N222" s="25"/>
      <c r="O222" s="26"/>
      <c r="P222" s="27"/>
      <c r="Q222" s="28"/>
      <c r="R222" s="28"/>
      <c r="S222" s="26"/>
    </row>
    <row r="223" customFormat="false" ht="15" hidden="false" customHeight="false" outlineLevel="0" collapsed="false">
      <c r="A223" s="7" t="n">
        <v>219</v>
      </c>
      <c r="B223" s="9" t="s">
        <v>16</v>
      </c>
      <c r="C223" s="22" t="s">
        <v>1013</v>
      </c>
      <c r="D223" s="9" t="s">
        <v>877</v>
      </c>
      <c r="E223" s="9" t="s">
        <v>47</v>
      </c>
      <c r="F223" s="9" t="s">
        <v>99</v>
      </c>
      <c r="G223" s="22" t="s">
        <v>1022</v>
      </c>
      <c r="H223" s="9" t="s">
        <v>57</v>
      </c>
      <c r="I223" s="7" t="s">
        <v>869</v>
      </c>
      <c r="J223" s="23" t="s">
        <v>1023</v>
      </c>
      <c r="K223" s="24" t="s">
        <v>1024</v>
      </c>
      <c r="L223" s="22" t="s">
        <v>1025</v>
      </c>
      <c r="M223" s="25"/>
      <c r="N223" s="25"/>
      <c r="O223" s="26"/>
      <c r="P223" s="27"/>
      <c r="Q223" s="28"/>
      <c r="R223" s="28"/>
      <c r="S223" s="26"/>
    </row>
    <row r="224" customFormat="false" ht="15" hidden="false" customHeight="false" outlineLevel="0" collapsed="false">
      <c r="A224" s="7" t="n">
        <v>220</v>
      </c>
      <c r="B224" s="9" t="s">
        <v>16</v>
      </c>
      <c r="C224" s="22" t="s">
        <v>1013</v>
      </c>
      <c r="D224" s="9" t="s">
        <v>877</v>
      </c>
      <c r="E224" s="9" t="s">
        <v>47</v>
      </c>
      <c r="F224" s="9" t="s">
        <v>99</v>
      </c>
      <c r="G224" s="22" t="s">
        <v>1026</v>
      </c>
      <c r="H224" s="9" t="s">
        <v>57</v>
      </c>
      <c r="I224" s="7"/>
      <c r="J224" s="23" t="s">
        <v>1027</v>
      </c>
      <c r="K224" s="24" t="s">
        <v>1028</v>
      </c>
      <c r="L224" s="22" t="s">
        <v>1029</v>
      </c>
      <c r="M224" s="25"/>
      <c r="N224" s="25"/>
      <c r="O224" s="26"/>
      <c r="P224" s="27"/>
      <c r="Q224" s="28"/>
      <c r="R224" s="28"/>
      <c r="S224" s="26"/>
    </row>
    <row r="225" customFormat="false" ht="15" hidden="false" customHeight="false" outlineLevel="0" collapsed="false">
      <c r="A225" s="7" t="n">
        <v>221</v>
      </c>
      <c r="B225" s="9" t="s">
        <v>16</v>
      </c>
      <c r="C225" s="22" t="s">
        <v>1013</v>
      </c>
      <c r="D225" s="9" t="s">
        <v>877</v>
      </c>
      <c r="E225" s="9" t="s">
        <v>47</v>
      </c>
      <c r="F225" s="9" t="s">
        <v>99</v>
      </c>
      <c r="G225" s="22" t="s">
        <v>1030</v>
      </c>
      <c r="H225" s="9" t="s">
        <v>57</v>
      </c>
      <c r="I225" s="7" t="s">
        <v>869</v>
      </c>
      <c r="J225" s="23" t="s">
        <v>1031</v>
      </c>
      <c r="K225" s="24" t="s">
        <v>1032</v>
      </c>
      <c r="L225" s="22" t="s">
        <v>1033</v>
      </c>
      <c r="M225" s="25"/>
      <c r="N225" s="25"/>
      <c r="O225" s="26"/>
      <c r="P225" s="27"/>
      <c r="Q225" s="28"/>
      <c r="R225" s="28"/>
      <c r="S225" s="26"/>
    </row>
    <row r="226" customFormat="false" ht="15" hidden="false" customHeight="false" outlineLevel="0" collapsed="false">
      <c r="A226" s="7" t="n">
        <v>222</v>
      </c>
      <c r="B226" s="9" t="s">
        <v>16</v>
      </c>
      <c r="C226" s="22" t="s">
        <v>1013</v>
      </c>
      <c r="D226" s="9" t="s">
        <v>1034</v>
      </c>
      <c r="E226" s="9" t="s">
        <v>47</v>
      </c>
      <c r="F226" s="9" t="s">
        <v>99</v>
      </c>
      <c r="G226" s="22" t="s">
        <v>1035</v>
      </c>
      <c r="H226" s="9" t="s">
        <v>57</v>
      </c>
      <c r="I226" s="7"/>
      <c r="J226" s="23" t="s">
        <v>1036</v>
      </c>
      <c r="K226" s="24" t="s">
        <v>1037</v>
      </c>
      <c r="L226" s="22" t="s">
        <v>1038</v>
      </c>
      <c r="M226" s="25"/>
      <c r="N226" s="25"/>
      <c r="O226" s="26"/>
      <c r="P226" s="27"/>
      <c r="Q226" s="28"/>
      <c r="R226" s="28"/>
      <c r="S226" s="26"/>
    </row>
    <row r="227" customFormat="false" ht="15" hidden="false" customHeight="false" outlineLevel="0" collapsed="false">
      <c r="A227" s="7" t="n">
        <v>223</v>
      </c>
      <c r="B227" s="9" t="s">
        <v>16</v>
      </c>
      <c r="C227" s="22" t="s">
        <v>1013</v>
      </c>
      <c r="D227" s="9" t="s">
        <v>1034</v>
      </c>
      <c r="E227" s="9" t="s">
        <v>47</v>
      </c>
      <c r="F227" s="9" t="s">
        <v>99</v>
      </c>
      <c r="G227" s="22" t="s">
        <v>1039</v>
      </c>
      <c r="H227" s="9" t="s">
        <v>57</v>
      </c>
      <c r="I227" s="7"/>
      <c r="J227" s="23" t="s">
        <v>1040</v>
      </c>
      <c r="K227" s="24" t="s">
        <v>1041</v>
      </c>
      <c r="L227" s="22" t="s">
        <v>1042</v>
      </c>
      <c r="M227" s="25"/>
      <c r="N227" s="25"/>
      <c r="O227" s="26"/>
      <c r="P227" s="27"/>
      <c r="Q227" s="28"/>
      <c r="R227" s="28"/>
      <c r="S227" s="26"/>
    </row>
    <row r="228" customFormat="false" ht="15" hidden="false" customHeight="false" outlineLevel="0" collapsed="false">
      <c r="A228" s="7" t="n">
        <v>224</v>
      </c>
      <c r="B228" s="9" t="s">
        <v>16</v>
      </c>
      <c r="C228" s="22" t="s">
        <v>1013</v>
      </c>
      <c r="D228" s="9" t="s">
        <v>1034</v>
      </c>
      <c r="E228" s="9" t="s">
        <v>48</v>
      </c>
      <c r="F228" s="9" t="s">
        <v>124</v>
      </c>
      <c r="G228" s="22" t="s">
        <v>1043</v>
      </c>
      <c r="H228" s="9" t="s">
        <v>57</v>
      </c>
      <c r="I228" s="7"/>
      <c r="J228" s="23" t="s">
        <v>1044</v>
      </c>
      <c r="K228" s="24" t="s">
        <v>1045</v>
      </c>
      <c r="L228" s="22" t="s">
        <v>1046</v>
      </c>
      <c r="M228" s="25"/>
      <c r="N228" s="25"/>
      <c r="O228" s="26"/>
      <c r="P228" s="27"/>
      <c r="Q228" s="28"/>
      <c r="R228" s="28"/>
      <c r="S228" s="26"/>
    </row>
    <row r="229" customFormat="false" ht="15" hidden="false" customHeight="false" outlineLevel="0" collapsed="false">
      <c r="A229" s="7" t="n">
        <v>225</v>
      </c>
      <c r="B229" s="9" t="s">
        <v>16</v>
      </c>
      <c r="C229" s="22" t="s">
        <v>1013</v>
      </c>
      <c r="D229" s="9" t="s">
        <v>1047</v>
      </c>
      <c r="E229" s="9" t="s">
        <v>47</v>
      </c>
      <c r="F229" s="9" t="s">
        <v>99</v>
      </c>
      <c r="G229" s="22" t="s">
        <v>1048</v>
      </c>
      <c r="H229" s="9" t="s">
        <v>57</v>
      </c>
      <c r="I229" s="7" t="s">
        <v>869</v>
      </c>
      <c r="J229" s="23" t="s">
        <v>1049</v>
      </c>
      <c r="K229" s="24" t="s">
        <v>1050</v>
      </c>
      <c r="L229" s="22" t="s">
        <v>1051</v>
      </c>
      <c r="M229" s="25"/>
      <c r="N229" s="25"/>
      <c r="O229" s="26"/>
      <c r="P229" s="27"/>
      <c r="Q229" s="28"/>
      <c r="R229" s="28"/>
      <c r="S229" s="26"/>
    </row>
    <row r="230" customFormat="false" ht="15" hidden="false" customHeight="false" outlineLevel="0" collapsed="false">
      <c r="A230" s="7" t="n">
        <v>226</v>
      </c>
      <c r="B230" s="9" t="s">
        <v>16</v>
      </c>
      <c r="C230" s="22" t="s">
        <v>1013</v>
      </c>
      <c r="D230" s="9" t="s">
        <v>1047</v>
      </c>
      <c r="E230" s="9" t="s">
        <v>47</v>
      </c>
      <c r="F230" s="9" t="s">
        <v>99</v>
      </c>
      <c r="G230" s="22" t="s">
        <v>1052</v>
      </c>
      <c r="H230" s="9" t="s">
        <v>57</v>
      </c>
      <c r="I230" s="7"/>
      <c r="J230" s="23" t="s">
        <v>1053</v>
      </c>
      <c r="K230" s="24" t="s">
        <v>1054</v>
      </c>
      <c r="L230" s="22" t="s">
        <v>1055</v>
      </c>
      <c r="M230" s="25"/>
      <c r="N230" s="25"/>
      <c r="O230" s="26"/>
      <c r="P230" s="27"/>
      <c r="Q230" s="28"/>
      <c r="R230" s="28"/>
      <c r="S230" s="26"/>
    </row>
    <row r="231" customFormat="false" ht="15" hidden="false" customHeight="false" outlineLevel="0" collapsed="false">
      <c r="A231" s="7" t="n">
        <v>227</v>
      </c>
      <c r="B231" s="9" t="s">
        <v>17</v>
      </c>
      <c r="C231" s="22" t="s">
        <v>300</v>
      </c>
      <c r="D231" s="9" t="s">
        <v>886</v>
      </c>
      <c r="E231" s="9" t="s">
        <v>49</v>
      </c>
      <c r="F231" s="9" t="s">
        <v>99</v>
      </c>
      <c r="G231" s="22" t="s">
        <v>1056</v>
      </c>
      <c r="H231" s="9" t="s">
        <v>1057</v>
      </c>
      <c r="I231" s="7"/>
      <c r="J231" s="23" t="s">
        <v>1058</v>
      </c>
      <c r="K231" s="24" t="s">
        <v>1059</v>
      </c>
      <c r="L231" s="22" t="s">
        <v>1060</v>
      </c>
      <c r="M231" s="25"/>
      <c r="N231" s="25"/>
      <c r="O231" s="26"/>
      <c r="P231" s="27"/>
      <c r="Q231" s="28"/>
      <c r="R231" s="28"/>
      <c r="S231" s="26"/>
    </row>
    <row r="232" customFormat="false" ht="15" hidden="false" customHeight="false" outlineLevel="0" collapsed="false">
      <c r="A232" s="7" t="n">
        <v>228</v>
      </c>
      <c r="B232" s="9" t="s">
        <v>17</v>
      </c>
      <c r="C232" s="22" t="s">
        <v>300</v>
      </c>
      <c r="D232" s="9" t="s">
        <v>1061</v>
      </c>
      <c r="E232" s="9" t="s">
        <v>49</v>
      </c>
      <c r="F232" s="9" t="s">
        <v>124</v>
      </c>
      <c r="G232" s="22" t="s">
        <v>1062</v>
      </c>
      <c r="H232" s="9" t="s">
        <v>1057</v>
      </c>
      <c r="I232" s="7" t="s">
        <v>869</v>
      </c>
      <c r="J232" s="23" t="s">
        <v>1063</v>
      </c>
      <c r="K232" s="24" t="s">
        <v>1064</v>
      </c>
      <c r="L232" s="22" t="s">
        <v>1065</v>
      </c>
      <c r="M232" s="25"/>
      <c r="N232" s="25"/>
      <c r="O232" s="26"/>
      <c r="P232" s="27"/>
      <c r="Q232" s="28"/>
      <c r="R232" s="28"/>
      <c r="S232" s="26"/>
    </row>
    <row r="233" customFormat="false" ht="15" hidden="false" customHeight="false" outlineLevel="0" collapsed="false">
      <c r="A233" s="7" t="n">
        <v>229</v>
      </c>
      <c r="B233" s="9" t="s">
        <v>17</v>
      </c>
      <c r="C233" s="22" t="s">
        <v>300</v>
      </c>
      <c r="D233" s="9" t="s">
        <v>1061</v>
      </c>
      <c r="E233" s="9" t="s">
        <v>49</v>
      </c>
      <c r="F233" s="9" t="s">
        <v>99</v>
      </c>
      <c r="G233" s="22" t="s">
        <v>1066</v>
      </c>
      <c r="H233" s="9" t="s">
        <v>1057</v>
      </c>
      <c r="I233" s="7"/>
      <c r="J233" s="23" t="s">
        <v>1067</v>
      </c>
      <c r="K233" s="24" t="s">
        <v>1068</v>
      </c>
      <c r="L233" s="22" t="s">
        <v>1069</v>
      </c>
      <c r="M233" s="25"/>
      <c r="N233" s="25"/>
      <c r="O233" s="26"/>
      <c r="P233" s="27"/>
      <c r="Q233" s="28"/>
      <c r="R233" s="28"/>
      <c r="S233" s="26"/>
    </row>
    <row r="234" customFormat="false" ht="15" hidden="false" customHeight="false" outlineLevel="0" collapsed="false">
      <c r="A234" s="7" t="n">
        <v>230</v>
      </c>
      <c r="B234" s="9" t="s">
        <v>17</v>
      </c>
      <c r="C234" s="22" t="s">
        <v>300</v>
      </c>
      <c r="D234" s="9" t="s">
        <v>1061</v>
      </c>
      <c r="E234" s="9" t="s">
        <v>49</v>
      </c>
      <c r="F234" s="9" t="s">
        <v>99</v>
      </c>
      <c r="G234" s="22" t="s">
        <v>1070</v>
      </c>
      <c r="H234" s="9" t="s">
        <v>1057</v>
      </c>
      <c r="I234" s="7"/>
      <c r="J234" s="23" t="s">
        <v>1071</v>
      </c>
      <c r="K234" s="24" t="s">
        <v>1072</v>
      </c>
      <c r="L234" s="22" t="s">
        <v>1073</v>
      </c>
      <c r="M234" s="25"/>
      <c r="N234" s="25"/>
      <c r="O234" s="26"/>
      <c r="P234" s="27"/>
      <c r="Q234" s="28"/>
      <c r="R234" s="28"/>
      <c r="S234" s="26"/>
    </row>
    <row r="235" customFormat="false" ht="15" hidden="false" customHeight="false" outlineLevel="0" collapsed="false">
      <c r="A235" s="7" t="n">
        <v>231</v>
      </c>
      <c r="B235" s="9" t="s">
        <v>17</v>
      </c>
      <c r="C235" s="22" t="s">
        <v>300</v>
      </c>
      <c r="D235" s="9" t="s">
        <v>1074</v>
      </c>
      <c r="E235" s="9" t="s">
        <v>49</v>
      </c>
      <c r="F235" s="9" t="s">
        <v>99</v>
      </c>
      <c r="G235" s="22" t="s">
        <v>1075</v>
      </c>
      <c r="H235" s="9" t="s">
        <v>1057</v>
      </c>
      <c r="I235" s="7"/>
      <c r="J235" s="23" t="s">
        <v>1076</v>
      </c>
      <c r="K235" s="24" t="s">
        <v>1077</v>
      </c>
      <c r="L235" s="22" t="s">
        <v>1078</v>
      </c>
      <c r="M235" s="25"/>
      <c r="N235" s="25"/>
      <c r="O235" s="26"/>
      <c r="P235" s="27"/>
      <c r="Q235" s="28"/>
      <c r="R235" s="28"/>
      <c r="S235" s="26"/>
    </row>
    <row r="236" customFormat="false" ht="15" hidden="false" customHeight="false" outlineLevel="0" collapsed="false">
      <c r="A236" s="7" t="n">
        <v>232</v>
      </c>
      <c r="B236" s="9" t="s">
        <v>17</v>
      </c>
      <c r="C236" s="22" t="s">
        <v>300</v>
      </c>
      <c r="D236" s="9" t="s">
        <v>917</v>
      </c>
      <c r="E236" s="9" t="s">
        <v>49</v>
      </c>
      <c r="F236" s="9" t="s">
        <v>99</v>
      </c>
      <c r="G236" s="22" t="s">
        <v>1079</v>
      </c>
      <c r="H236" s="9" t="s">
        <v>1057</v>
      </c>
      <c r="I236" s="7"/>
      <c r="J236" s="23" t="s">
        <v>1080</v>
      </c>
      <c r="K236" s="24" t="s">
        <v>1081</v>
      </c>
      <c r="L236" s="22" t="s">
        <v>1082</v>
      </c>
      <c r="M236" s="25"/>
      <c r="N236" s="25"/>
      <c r="O236" s="26"/>
      <c r="P236" s="27"/>
      <c r="Q236" s="28"/>
      <c r="R236" s="28"/>
      <c r="S236" s="26"/>
    </row>
    <row r="237" customFormat="false" ht="15" hidden="false" customHeight="false" outlineLevel="0" collapsed="false">
      <c r="A237" s="7" t="n">
        <v>233</v>
      </c>
      <c r="B237" s="9" t="s">
        <v>17</v>
      </c>
      <c r="C237" s="22" t="s">
        <v>300</v>
      </c>
      <c r="D237" s="9" t="s">
        <v>1083</v>
      </c>
      <c r="E237" s="9" t="s">
        <v>49</v>
      </c>
      <c r="F237" s="9" t="s">
        <v>124</v>
      </c>
      <c r="G237" s="22" t="s">
        <v>1084</v>
      </c>
      <c r="H237" s="9" t="s">
        <v>1057</v>
      </c>
      <c r="I237" s="7"/>
      <c r="J237" s="23" t="s">
        <v>1085</v>
      </c>
      <c r="K237" s="24" t="s">
        <v>1086</v>
      </c>
      <c r="L237" s="22" t="s">
        <v>1087</v>
      </c>
      <c r="M237" s="25"/>
      <c r="N237" s="25"/>
      <c r="O237" s="26"/>
      <c r="P237" s="27"/>
      <c r="Q237" s="28"/>
      <c r="R237" s="28"/>
      <c r="S237" s="26"/>
    </row>
    <row r="238" customFormat="false" ht="15" hidden="false" customHeight="false" outlineLevel="0" collapsed="false">
      <c r="A238" s="7" t="n">
        <v>234</v>
      </c>
      <c r="B238" s="9" t="s">
        <v>17</v>
      </c>
      <c r="C238" s="22" t="s">
        <v>1088</v>
      </c>
      <c r="D238" s="9" t="s">
        <v>1089</v>
      </c>
      <c r="E238" s="9" t="s">
        <v>47</v>
      </c>
      <c r="F238" s="9" t="s">
        <v>99</v>
      </c>
      <c r="G238" s="22" t="s">
        <v>1090</v>
      </c>
      <c r="H238" s="9" t="s">
        <v>1091</v>
      </c>
      <c r="I238" s="7" t="s">
        <v>869</v>
      </c>
      <c r="J238" s="23" t="s">
        <v>1092</v>
      </c>
      <c r="K238" s="24" t="s">
        <v>1093</v>
      </c>
      <c r="L238" s="22" t="s">
        <v>1094</v>
      </c>
      <c r="M238" s="25"/>
      <c r="N238" s="25"/>
      <c r="O238" s="26"/>
      <c r="P238" s="27"/>
      <c r="Q238" s="28"/>
      <c r="R238" s="28"/>
      <c r="S238" s="26"/>
    </row>
    <row r="239" customFormat="false" ht="15" hidden="false" customHeight="false" outlineLevel="0" collapsed="false">
      <c r="A239" s="7" t="n">
        <v>235</v>
      </c>
      <c r="B239" s="9" t="s">
        <v>17</v>
      </c>
      <c r="C239" s="22" t="s">
        <v>562</v>
      </c>
      <c r="D239" s="9" t="s">
        <v>886</v>
      </c>
      <c r="E239" s="9" t="s">
        <v>47</v>
      </c>
      <c r="F239" s="9" t="s">
        <v>99</v>
      </c>
      <c r="G239" s="22" t="s">
        <v>1095</v>
      </c>
      <c r="H239" s="9" t="s">
        <v>1091</v>
      </c>
      <c r="I239" s="7"/>
      <c r="J239" s="23" t="s">
        <v>1096</v>
      </c>
      <c r="K239" s="24" t="s">
        <v>1097</v>
      </c>
      <c r="L239" s="22" t="s">
        <v>1098</v>
      </c>
      <c r="M239" s="25"/>
      <c r="N239" s="25"/>
      <c r="O239" s="26"/>
      <c r="P239" s="27"/>
      <c r="Q239" s="28"/>
      <c r="R239" s="28"/>
      <c r="S239" s="26"/>
    </row>
    <row r="240" customFormat="false" ht="15" hidden="false" customHeight="false" outlineLevel="0" collapsed="false">
      <c r="A240" s="7" t="n">
        <v>236</v>
      </c>
      <c r="B240" s="9" t="s">
        <v>17</v>
      </c>
      <c r="C240" s="22" t="s">
        <v>562</v>
      </c>
      <c r="D240" s="9" t="s">
        <v>886</v>
      </c>
      <c r="E240" s="9" t="s">
        <v>48</v>
      </c>
      <c r="F240" s="9" t="s">
        <v>124</v>
      </c>
      <c r="G240" s="22" t="s">
        <v>1099</v>
      </c>
      <c r="H240" s="9" t="s">
        <v>1100</v>
      </c>
      <c r="I240" s="7" t="s">
        <v>869</v>
      </c>
      <c r="J240" s="23" t="s">
        <v>1101</v>
      </c>
      <c r="K240" s="24" t="s">
        <v>1102</v>
      </c>
      <c r="L240" s="22" t="s">
        <v>1103</v>
      </c>
      <c r="M240" s="25"/>
      <c r="N240" s="25"/>
      <c r="O240" s="26"/>
      <c r="P240" s="27"/>
      <c r="Q240" s="28"/>
      <c r="R240" s="28"/>
      <c r="S240" s="26"/>
    </row>
    <row r="241" customFormat="false" ht="15" hidden="false" customHeight="false" outlineLevel="0" collapsed="false">
      <c r="A241" s="7" t="n">
        <v>237</v>
      </c>
      <c r="B241" s="9" t="s">
        <v>17</v>
      </c>
      <c r="C241" s="22" t="s">
        <v>562</v>
      </c>
      <c r="D241" s="9" t="s">
        <v>886</v>
      </c>
      <c r="E241" s="9" t="s">
        <v>48</v>
      </c>
      <c r="F241" s="9" t="s">
        <v>124</v>
      </c>
      <c r="G241" s="22" t="s">
        <v>1104</v>
      </c>
      <c r="H241" s="9" t="s">
        <v>1100</v>
      </c>
      <c r="I241" s="7"/>
      <c r="J241" s="23" t="s">
        <v>1105</v>
      </c>
      <c r="K241" s="24" t="s">
        <v>1106</v>
      </c>
      <c r="L241" s="22" t="s">
        <v>1107</v>
      </c>
      <c r="M241" s="25"/>
      <c r="N241" s="25"/>
      <c r="O241" s="26"/>
      <c r="P241" s="27"/>
      <c r="Q241" s="28"/>
      <c r="R241" s="28"/>
      <c r="S241" s="26"/>
    </row>
    <row r="242" customFormat="false" ht="15" hidden="false" customHeight="false" outlineLevel="0" collapsed="false">
      <c r="A242" s="7" t="n">
        <v>238</v>
      </c>
      <c r="B242" s="9" t="s">
        <v>17</v>
      </c>
      <c r="C242" s="22" t="s">
        <v>562</v>
      </c>
      <c r="D242" s="9" t="s">
        <v>1061</v>
      </c>
      <c r="E242" s="9" t="s">
        <v>47</v>
      </c>
      <c r="F242" s="9" t="s">
        <v>99</v>
      </c>
      <c r="G242" s="22" t="s">
        <v>1108</v>
      </c>
      <c r="H242" s="9" t="s">
        <v>1091</v>
      </c>
      <c r="I242" s="7"/>
      <c r="J242" s="23" t="s">
        <v>1109</v>
      </c>
      <c r="K242" s="24" t="s">
        <v>1110</v>
      </c>
      <c r="L242" s="22" t="s">
        <v>1111</v>
      </c>
      <c r="M242" s="25"/>
      <c r="N242" s="25"/>
      <c r="O242" s="26"/>
      <c r="P242" s="27"/>
      <c r="Q242" s="28"/>
      <c r="R242" s="28"/>
      <c r="S242" s="26"/>
    </row>
    <row r="243" customFormat="false" ht="15" hidden="false" customHeight="false" outlineLevel="0" collapsed="false">
      <c r="A243" s="7" t="n">
        <v>239</v>
      </c>
      <c r="B243" s="9" t="s">
        <v>17</v>
      </c>
      <c r="C243" s="22" t="s">
        <v>562</v>
      </c>
      <c r="D243" s="9" t="s">
        <v>1061</v>
      </c>
      <c r="E243" s="9" t="s">
        <v>47</v>
      </c>
      <c r="F243" s="9" t="s">
        <v>99</v>
      </c>
      <c r="G243" s="22" t="s">
        <v>1112</v>
      </c>
      <c r="H243" s="9" t="s">
        <v>1091</v>
      </c>
      <c r="I243" s="7"/>
      <c r="J243" s="23" t="s">
        <v>1113</v>
      </c>
      <c r="K243" s="24" t="s">
        <v>1114</v>
      </c>
      <c r="L243" s="22" t="s">
        <v>1115</v>
      </c>
      <c r="M243" s="25"/>
      <c r="N243" s="25"/>
      <c r="O243" s="26"/>
      <c r="P243" s="27"/>
      <c r="Q243" s="28"/>
      <c r="R243" s="28"/>
      <c r="S243" s="26"/>
    </row>
    <row r="244" customFormat="false" ht="15" hidden="false" customHeight="false" outlineLevel="0" collapsed="false">
      <c r="A244" s="7" t="n">
        <v>240</v>
      </c>
      <c r="B244" s="9" t="s">
        <v>17</v>
      </c>
      <c r="C244" s="22" t="s">
        <v>562</v>
      </c>
      <c r="D244" s="9" t="s">
        <v>1061</v>
      </c>
      <c r="E244" s="9" t="s">
        <v>47</v>
      </c>
      <c r="F244" s="9" t="s">
        <v>99</v>
      </c>
      <c r="G244" s="22" t="s">
        <v>1116</v>
      </c>
      <c r="H244" s="9" t="s">
        <v>1091</v>
      </c>
      <c r="I244" s="7"/>
      <c r="J244" s="23" t="s">
        <v>1117</v>
      </c>
      <c r="K244" s="24" t="s">
        <v>1118</v>
      </c>
      <c r="L244" s="22" t="s">
        <v>1119</v>
      </c>
      <c r="M244" s="25"/>
      <c r="N244" s="25"/>
      <c r="O244" s="26"/>
      <c r="P244" s="27"/>
      <c r="Q244" s="28"/>
      <c r="R244" s="28"/>
      <c r="S244" s="26"/>
    </row>
    <row r="245" customFormat="false" ht="15" hidden="false" customHeight="false" outlineLevel="0" collapsed="false">
      <c r="A245" s="7" t="n">
        <v>241</v>
      </c>
      <c r="B245" s="9" t="s">
        <v>17</v>
      </c>
      <c r="C245" s="22" t="s">
        <v>562</v>
      </c>
      <c r="D245" s="9" t="s">
        <v>1061</v>
      </c>
      <c r="E245" s="9" t="s">
        <v>47</v>
      </c>
      <c r="F245" s="9" t="s">
        <v>99</v>
      </c>
      <c r="G245" s="22" t="s">
        <v>1120</v>
      </c>
      <c r="H245" s="9" t="s">
        <v>1091</v>
      </c>
      <c r="I245" s="7"/>
      <c r="J245" s="23" t="s">
        <v>1121</v>
      </c>
      <c r="K245" s="24" t="s">
        <v>1122</v>
      </c>
      <c r="L245" s="22" t="s">
        <v>1123</v>
      </c>
      <c r="M245" s="25"/>
      <c r="N245" s="25"/>
      <c r="O245" s="26"/>
      <c r="P245" s="27"/>
      <c r="Q245" s="28"/>
      <c r="R245" s="28"/>
      <c r="S245" s="26"/>
    </row>
    <row r="246" customFormat="false" ht="15" hidden="false" customHeight="false" outlineLevel="0" collapsed="false">
      <c r="A246" s="7" t="n">
        <v>242</v>
      </c>
      <c r="B246" s="9" t="s">
        <v>17</v>
      </c>
      <c r="C246" s="22" t="s">
        <v>562</v>
      </c>
      <c r="D246" s="9" t="s">
        <v>1061</v>
      </c>
      <c r="E246" s="9" t="s">
        <v>48</v>
      </c>
      <c r="F246" s="9" t="s">
        <v>124</v>
      </c>
      <c r="G246" s="22" t="s">
        <v>1124</v>
      </c>
      <c r="H246" s="9" t="s">
        <v>1100</v>
      </c>
      <c r="I246" s="7" t="s">
        <v>869</v>
      </c>
      <c r="J246" s="23" t="s">
        <v>1125</v>
      </c>
      <c r="K246" s="24" t="s">
        <v>1126</v>
      </c>
      <c r="L246" s="22" t="s">
        <v>1127</v>
      </c>
      <c r="M246" s="25"/>
      <c r="N246" s="25"/>
      <c r="O246" s="26"/>
      <c r="P246" s="27"/>
      <c r="Q246" s="28"/>
      <c r="R246" s="28"/>
      <c r="S246" s="26"/>
    </row>
    <row r="247" customFormat="false" ht="15" hidden="false" customHeight="false" outlineLevel="0" collapsed="false">
      <c r="A247" s="7" t="n">
        <v>243</v>
      </c>
      <c r="B247" s="9" t="s">
        <v>17</v>
      </c>
      <c r="C247" s="22" t="s">
        <v>562</v>
      </c>
      <c r="D247" s="9" t="s">
        <v>1061</v>
      </c>
      <c r="E247" s="9" t="s">
        <v>48</v>
      </c>
      <c r="F247" s="9" t="s">
        <v>124</v>
      </c>
      <c r="G247" s="22" t="s">
        <v>1128</v>
      </c>
      <c r="H247" s="9" t="s">
        <v>1100</v>
      </c>
      <c r="I247" s="7"/>
      <c r="J247" s="23" t="s">
        <v>1129</v>
      </c>
      <c r="K247" s="24" t="s">
        <v>1130</v>
      </c>
      <c r="L247" s="22" t="s">
        <v>1065</v>
      </c>
      <c r="M247" s="25"/>
      <c r="N247" s="25"/>
      <c r="O247" s="26"/>
      <c r="P247" s="27"/>
      <c r="Q247" s="28"/>
      <c r="R247" s="28"/>
      <c r="S247" s="26"/>
    </row>
    <row r="248" customFormat="false" ht="15" hidden="false" customHeight="false" outlineLevel="0" collapsed="false">
      <c r="A248" s="7" t="n">
        <v>244</v>
      </c>
      <c r="B248" s="9" t="s">
        <v>17</v>
      </c>
      <c r="C248" s="22" t="s">
        <v>562</v>
      </c>
      <c r="D248" s="9" t="s">
        <v>1061</v>
      </c>
      <c r="E248" s="9" t="s">
        <v>48</v>
      </c>
      <c r="F248" s="9" t="s">
        <v>99</v>
      </c>
      <c r="G248" s="22" t="s">
        <v>1131</v>
      </c>
      <c r="H248" s="9" t="s">
        <v>1100</v>
      </c>
      <c r="I248" s="7"/>
      <c r="J248" s="23" t="s">
        <v>1132</v>
      </c>
      <c r="K248" s="24" t="s">
        <v>1133</v>
      </c>
      <c r="L248" s="22" t="s">
        <v>1134</v>
      </c>
      <c r="M248" s="25"/>
      <c r="N248" s="25"/>
      <c r="O248" s="26"/>
      <c r="P248" s="27"/>
      <c r="Q248" s="28"/>
      <c r="R248" s="28"/>
      <c r="S248" s="26"/>
    </row>
    <row r="249" customFormat="false" ht="15" hidden="false" customHeight="false" outlineLevel="0" collapsed="false">
      <c r="A249" s="7" t="n">
        <v>245</v>
      </c>
      <c r="B249" s="9" t="s">
        <v>17</v>
      </c>
      <c r="C249" s="22" t="s">
        <v>562</v>
      </c>
      <c r="D249" s="9" t="s">
        <v>1061</v>
      </c>
      <c r="E249" s="9" t="s">
        <v>48</v>
      </c>
      <c r="F249" s="9" t="s">
        <v>99</v>
      </c>
      <c r="G249" s="22" t="s">
        <v>1135</v>
      </c>
      <c r="H249" s="9" t="s">
        <v>1100</v>
      </c>
      <c r="I249" s="7"/>
      <c r="J249" s="23" t="s">
        <v>1136</v>
      </c>
      <c r="K249" s="24" t="s">
        <v>1137</v>
      </c>
      <c r="L249" s="22" t="s">
        <v>1138</v>
      </c>
      <c r="M249" s="25"/>
      <c r="N249" s="25"/>
      <c r="O249" s="26"/>
      <c r="P249" s="27"/>
      <c r="Q249" s="28"/>
      <c r="R249" s="28"/>
      <c r="S249" s="26"/>
    </row>
    <row r="250" customFormat="false" ht="15" hidden="false" customHeight="false" outlineLevel="0" collapsed="false">
      <c r="A250" s="7" t="n">
        <v>246</v>
      </c>
      <c r="B250" s="9" t="s">
        <v>17</v>
      </c>
      <c r="C250" s="22" t="s">
        <v>562</v>
      </c>
      <c r="D250" s="9" t="s">
        <v>1061</v>
      </c>
      <c r="E250" s="9" t="s">
        <v>48</v>
      </c>
      <c r="F250" s="9" t="s">
        <v>99</v>
      </c>
      <c r="G250" s="22" t="s">
        <v>1139</v>
      </c>
      <c r="H250" s="9" t="s">
        <v>1100</v>
      </c>
      <c r="I250" s="7"/>
      <c r="J250" s="23" t="s">
        <v>1140</v>
      </c>
      <c r="K250" s="24" t="s">
        <v>1141</v>
      </c>
      <c r="L250" s="22" t="s">
        <v>1142</v>
      </c>
      <c r="M250" s="25"/>
      <c r="N250" s="25"/>
      <c r="O250" s="26"/>
      <c r="P250" s="27"/>
      <c r="Q250" s="28"/>
      <c r="R250" s="28"/>
      <c r="S250" s="26"/>
    </row>
    <row r="251" customFormat="false" ht="15" hidden="false" customHeight="false" outlineLevel="0" collapsed="false">
      <c r="A251" s="7" t="n">
        <v>247</v>
      </c>
      <c r="B251" s="9" t="s">
        <v>17</v>
      </c>
      <c r="C251" s="22" t="s">
        <v>562</v>
      </c>
      <c r="D251" s="9" t="s">
        <v>1061</v>
      </c>
      <c r="E251" s="9" t="s">
        <v>48</v>
      </c>
      <c r="F251" s="9" t="s">
        <v>99</v>
      </c>
      <c r="G251" s="22" t="s">
        <v>1143</v>
      </c>
      <c r="H251" s="9" t="s">
        <v>1100</v>
      </c>
      <c r="I251" s="7"/>
      <c r="J251" s="23" t="s">
        <v>1144</v>
      </c>
      <c r="K251" s="24" t="s">
        <v>1145</v>
      </c>
      <c r="L251" s="22" t="s">
        <v>1146</v>
      </c>
      <c r="M251" s="25"/>
      <c r="N251" s="25"/>
      <c r="O251" s="26"/>
      <c r="P251" s="27"/>
      <c r="Q251" s="28"/>
      <c r="R251" s="28"/>
      <c r="S251" s="26"/>
    </row>
    <row r="252" customFormat="false" ht="15" hidden="false" customHeight="false" outlineLevel="0" collapsed="false">
      <c r="A252" s="7" t="n">
        <v>248</v>
      </c>
      <c r="B252" s="9" t="s">
        <v>17</v>
      </c>
      <c r="C252" s="22" t="s">
        <v>562</v>
      </c>
      <c r="D252" s="9" t="s">
        <v>1061</v>
      </c>
      <c r="E252" s="9" t="s">
        <v>48</v>
      </c>
      <c r="F252" s="9" t="s">
        <v>99</v>
      </c>
      <c r="G252" s="22" t="s">
        <v>1147</v>
      </c>
      <c r="H252" s="9" t="s">
        <v>1100</v>
      </c>
      <c r="I252" s="7"/>
      <c r="J252" s="23" t="s">
        <v>1148</v>
      </c>
      <c r="K252" s="24" t="s">
        <v>1149</v>
      </c>
      <c r="L252" s="22" t="s">
        <v>1150</v>
      </c>
      <c r="M252" s="25"/>
      <c r="N252" s="25"/>
      <c r="O252" s="26"/>
      <c r="P252" s="27"/>
      <c r="Q252" s="28"/>
      <c r="R252" s="28"/>
      <c r="S252" s="26"/>
    </row>
    <row r="253" customFormat="false" ht="15" hidden="false" customHeight="false" outlineLevel="0" collapsed="false">
      <c r="A253" s="7" t="n">
        <v>249</v>
      </c>
      <c r="B253" s="9" t="s">
        <v>17</v>
      </c>
      <c r="C253" s="22" t="s">
        <v>562</v>
      </c>
      <c r="D253" s="9" t="s">
        <v>1061</v>
      </c>
      <c r="E253" s="9" t="s">
        <v>48</v>
      </c>
      <c r="F253" s="9" t="s">
        <v>124</v>
      </c>
      <c r="G253" s="22" t="s">
        <v>1151</v>
      </c>
      <c r="H253" s="9" t="s">
        <v>1100</v>
      </c>
      <c r="I253" s="7" t="s">
        <v>869</v>
      </c>
      <c r="J253" s="23" t="s">
        <v>1152</v>
      </c>
      <c r="K253" s="24" t="s">
        <v>1153</v>
      </c>
      <c r="L253" s="22" t="s">
        <v>1154</v>
      </c>
      <c r="M253" s="25"/>
      <c r="N253" s="25"/>
      <c r="O253" s="26"/>
      <c r="P253" s="27"/>
      <c r="Q253" s="28"/>
      <c r="R253" s="28"/>
      <c r="S253" s="26"/>
    </row>
    <row r="254" customFormat="false" ht="15" hidden="false" customHeight="false" outlineLevel="0" collapsed="false">
      <c r="A254" s="7" t="n">
        <v>250</v>
      </c>
      <c r="B254" s="9" t="s">
        <v>17</v>
      </c>
      <c r="C254" s="22" t="s">
        <v>562</v>
      </c>
      <c r="D254" s="9" t="s">
        <v>1061</v>
      </c>
      <c r="E254" s="9" t="s">
        <v>48</v>
      </c>
      <c r="F254" s="9" t="s">
        <v>99</v>
      </c>
      <c r="G254" s="22" t="s">
        <v>1155</v>
      </c>
      <c r="H254" s="9" t="s">
        <v>1100</v>
      </c>
      <c r="I254" s="7"/>
      <c r="J254" s="23" t="s">
        <v>1156</v>
      </c>
      <c r="K254" s="24" t="s">
        <v>1157</v>
      </c>
      <c r="L254" s="22" t="s">
        <v>1158</v>
      </c>
      <c r="M254" s="25"/>
      <c r="N254" s="25"/>
      <c r="O254" s="26"/>
      <c r="P254" s="27"/>
      <c r="Q254" s="28"/>
      <c r="R254" s="28"/>
      <c r="S254" s="26"/>
    </row>
    <row r="255" customFormat="false" ht="15" hidden="false" customHeight="false" outlineLevel="0" collapsed="false">
      <c r="A255" s="7" t="n">
        <v>251</v>
      </c>
      <c r="B255" s="9" t="s">
        <v>17</v>
      </c>
      <c r="C255" s="22" t="s">
        <v>562</v>
      </c>
      <c r="D255" s="9" t="s">
        <v>1061</v>
      </c>
      <c r="E255" s="9" t="s">
        <v>48</v>
      </c>
      <c r="F255" s="9" t="s">
        <v>99</v>
      </c>
      <c r="G255" s="22" t="s">
        <v>1159</v>
      </c>
      <c r="H255" s="9" t="s">
        <v>1100</v>
      </c>
      <c r="I255" s="7"/>
      <c r="J255" s="23" t="s">
        <v>1160</v>
      </c>
      <c r="K255" s="24" t="s">
        <v>1161</v>
      </c>
      <c r="L255" s="22" t="s">
        <v>1162</v>
      </c>
      <c r="M255" s="25"/>
      <c r="N255" s="25"/>
      <c r="O255" s="26"/>
      <c r="P255" s="27"/>
      <c r="Q255" s="28"/>
      <c r="R255" s="28"/>
      <c r="S255" s="26"/>
    </row>
    <row r="256" customFormat="false" ht="15" hidden="false" customHeight="false" outlineLevel="0" collapsed="false">
      <c r="A256" s="7" t="n">
        <v>252</v>
      </c>
      <c r="B256" s="9" t="s">
        <v>17</v>
      </c>
      <c r="C256" s="22" t="s">
        <v>1163</v>
      </c>
      <c r="D256" s="9" t="s">
        <v>1074</v>
      </c>
      <c r="E256" s="9" t="s">
        <v>47</v>
      </c>
      <c r="F256" s="9" t="s">
        <v>99</v>
      </c>
      <c r="G256" s="22" t="s">
        <v>1164</v>
      </c>
      <c r="H256" s="9" t="s">
        <v>1091</v>
      </c>
      <c r="I256" s="7"/>
      <c r="J256" s="23" t="s">
        <v>1165</v>
      </c>
      <c r="K256" s="24" t="s">
        <v>1166</v>
      </c>
      <c r="L256" s="22" t="s">
        <v>1167</v>
      </c>
      <c r="M256" s="25"/>
      <c r="N256" s="25"/>
      <c r="O256" s="26"/>
      <c r="P256" s="27"/>
      <c r="Q256" s="28"/>
      <c r="R256" s="28"/>
      <c r="S256" s="26"/>
    </row>
    <row r="257" customFormat="false" ht="15" hidden="false" customHeight="false" outlineLevel="0" collapsed="false">
      <c r="A257" s="7" t="n">
        <v>253</v>
      </c>
      <c r="B257" s="9" t="s">
        <v>17</v>
      </c>
      <c r="C257" s="22" t="s">
        <v>1163</v>
      </c>
      <c r="D257" s="9" t="s">
        <v>1074</v>
      </c>
      <c r="E257" s="9" t="s">
        <v>47</v>
      </c>
      <c r="F257" s="9" t="s">
        <v>99</v>
      </c>
      <c r="G257" s="22" t="s">
        <v>1168</v>
      </c>
      <c r="H257" s="9" t="s">
        <v>1091</v>
      </c>
      <c r="I257" s="7" t="s">
        <v>869</v>
      </c>
      <c r="J257" s="23" t="s">
        <v>1169</v>
      </c>
      <c r="K257" s="24" t="s">
        <v>1170</v>
      </c>
      <c r="L257" s="22" t="s">
        <v>1171</v>
      </c>
      <c r="M257" s="25"/>
      <c r="N257" s="25"/>
      <c r="O257" s="26"/>
      <c r="P257" s="27"/>
      <c r="Q257" s="28"/>
      <c r="R257" s="28"/>
      <c r="S257" s="26"/>
    </row>
    <row r="258" customFormat="false" ht="15" hidden="false" customHeight="false" outlineLevel="0" collapsed="false">
      <c r="A258" s="7" t="n">
        <v>254</v>
      </c>
      <c r="B258" s="9" t="s">
        <v>17</v>
      </c>
      <c r="C258" s="22" t="s">
        <v>1163</v>
      </c>
      <c r="D258" s="9" t="s">
        <v>1074</v>
      </c>
      <c r="E258" s="9" t="s">
        <v>47</v>
      </c>
      <c r="F258" s="9" t="s">
        <v>99</v>
      </c>
      <c r="G258" s="22" t="s">
        <v>1172</v>
      </c>
      <c r="H258" s="9" t="s">
        <v>1091</v>
      </c>
      <c r="I258" s="7"/>
      <c r="J258" s="23" t="s">
        <v>1173</v>
      </c>
      <c r="K258" s="24" t="s">
        <v>1174</v>
      </c>
      <c r="L258" s="22" t="s">
        <v>1175</v>
      </c>
      <c r="M258" s="25"/>
      <c r="N258" s="25"/>
      <c r="O258" s="26"/>
      <c r="P258" s="27"/>
      <c r="Q258" s="28"/>
      <c r="R258" s="28"/>
      <c r="S258" s="26"/>
    </row>
    <row r="259" customFormat="false" ht="15" hidden="false" customHeight="false" outlineLevel="0" collapsed="false">
      <c r="A259" s="7" t="n">
        <v>255</v>
      </c>
      <c r="B259" s="9" t="s">
        <v>17</v>
      </c>
      <c r="C259" s="22" t="s">
        <v>1163</v>
      </c>
      <c r="D259" s="9" t="s">
        <v>1074</v>
      </c>
      <c r="E259" s="9" t="s">
        <v>47</v>
      </c>
      <c r="F259" s="9" t="s">
        <v>99</v>
      </c>
      <c r="G259" s="22" t="s">
        <v>1176</v>
      </c>
      <c r="H259" s="9" t="s">
        <v>1091</v>
      </c>
      <c r="I259" s="7" t="s">
        <v>869</v>
      </c>
      <c r="J259" s="23" t="s">
        <v>1177</v>
      </c>
      <c r="K259" s="24" t="s">
        <v>1178</v>
      </c>
      <c r="L259" s="22" t="s">
        <v>1179</v>
      </c>
      <c r="M259" s="25"/>
      <c r="N259" s="25"/>
      <c r="O259" s="26"/>
      <c r="P259" s="27"/>
      <c r="Q259" s="28"/>
      <c r="R259" s="28"/>
      <c r="S259" s="26"/>
    </row>
    <row r="260" customFormat="false" ht="15" hidden="false" customHeight="false" outlineLevel="0" collapsed="false">
      <c r="A260" s="7" t="n">
        <v>256</v>
      </c>
      <c r="B260" s="9" t="s">
        <v>17</v>
      </c>
      <c r="C260" s="22" t="s">
        <v>1163</v>
      </c>
      <c r="D260" s="9" t="s">
        <v>1074</v>
      </c>
      <c r="E260" s="9" t="s">
        <v>47</v>
      </c>
      <c r="F260" s="9" t="s">
        <v>99</v>
      </c>
      <c r="G260" s="22" t="s">
        <v>1180</v>
      </c>
      <c r="H260" s="9" t="s">
        <v>1091</v>
      </c>
      <c r="I260" s="7"/>
      <c r="J260" s="23" t="s">
        <v>1181</v>
      </c>
      <c r="K260" s="24" t="s">
        <v>1182</v>
      </c>
      <c r="L260" s="22" t="s">
        <v>1183</v>
      </c>
      <c r="M260" s="25"/>
      <c r="N260" s="25"/>
      <c r="O260" s="26"/>
      <c r="P260" s="27"/>
      <c r="Q260" s="28"/>
      <c r="R260" s="28"/>
      <c r="S260" s="26"/>
    </row>
    <row r="261" customFormat="false" ht="15" hidden="false" customHeight="false" outlineLevel="0" collapsed="false">
      <c r="A261" s="7" t="n">
        <v>257</v>
      </c>
      <c r="B261" s="9" t="s">
        <v>17</v>
      </c>
      <c r="C261" s="22" t="s">
        <v>1163</v>
      </c>
      <c r="D261" s="9" t="s">
        <v>1074</v>
      </c>
      <c r="E261" s="9" t="s">
        <v>48</v>
      </c>
      <c r="F261" s="9" t="s">
        <v>99</v>
      </c>
      <c r="G261" s="22" t="s">
        <v>1184</v>
      </c>
      <c r="H261" s="9" t="s">
        <v>1100</v>
      </c>
      <c r="I261" s="7"/>
      <c r="J261" s="23" t="s">
        <v>1185</v>
      </c>
      <c r="K261" s="24" t="s">
        <v>1186</v>
      </c>
      <c r="L261" s="22" t="s">
        <v>1187</v>
      </c>
      <c r="M261" s="25"/>
      <c r="N261" s="25"/>
      <c r="O261" s="26"/>
      <c r="P261" s="27"/>
      <c r="Q261" s="28"/>
      <c r="R261" s="28"/>
      <c r="S261" s="26"/>
    </row>
    <row r="262" customFormat="false" ht="15" hidden="false" customHeight="false" outlineLevel="0" collapsed="false">
      <c r="A262" s="7" t="n">
        <v>258</v>
      </c>
      <c r="B262" s="9" t="s">
        <v>17</v>
      </c>
      <c r="C262" s="22" t="s">
        <v>1163</v>
      </c>
      <c r="D262" s="9" t="s">
        <v>1074</v>
      </c>
      <c r="E262" s="9" t="s">
        <v>48</v>
      </c>
      <c r="F262" s="9" t="s">
        <v>124</v>
      </c>
      <c r="G262" s="22" t="s">
        <v>1188</v>
      </c>
      <c r="H262" s="9" t="s">
        <v>1100</v>
      </c>
      <c r="I262" s="7" t="s">
        <v>869</v>
      </c>
      <c r="J262" s="23" t="s">
        <v>1189</v>
      </c>
      <c r="K262" s="24" t="s">
        <v>1190</v>
      </c>
      <c r="L262" s="22" t="s">
        <v>1191</v>
      </c>
      <c r="M262" s="25"/>
      <c r="N262" s="25"/>
      <c r="O262" s="26"/>
      <c r="P262" s="27"/>
      <c r="Q262" s="28"/>
      <c r="R262" s="28"/>
      <c r="S262" s="26"/>
    </row>
    <row r="263" customFormat="false" ht="15" hidden="false" customHeight="false" outlineLevel="0" collapsed="false">
      <c r="A263" s="7" t="n">
        <v>259</v>
      </c>
      <c r="B263" s="9" t="s">
        <v>17</v>
      </c>
      <c r="C263" s="22" t="s">
        <v>1163</v>
      </c>
      <c r="D263" s="9" t="s">
        <v>1074</v>
      </c>
      <c r="E263" s="9" t="s">
        <v>48</v>
      </c>
      <c r="F263" s="9" t="s">
        <v>124</v>
      </c>
      <c r="G263" s="22" t="s">
        <v>1192</v>
      </c>
      <c r="H263" s="9" t="s">
        <v>1100</v>
      </c>
      <c r="I263" s="7"/>
      <c r="J263" s="23" t="s">
        <v>1193</v>
      </c>
      <c r="K263" s="24" t="s">
        <v>1194</v>
      </c>
      <c r="L263" s="22" t="s">
        <v>1195</v>
      </c>
      <c r="M263" s="25"/>
      <c r="N263" s="25"/>
      <c r="O263" s="26"/>
      <c r="P263" s="27"/>
      <c r="Q263" s="28"/>
      <c r="R263" s="28"/>
      <c r="S263" s="26"/>
    </row>
    <row r="264" customFormat="false" ht="15" hidden="false" customHeight="false" outlineLevel="0" collapsed="false">
      <c r="A264" s="7" t="n">
        <v>260</v>
      </c>
      <c r="B264" s="9" t="s">
        <v>17</v>
      </c>
      <c r="C264" s="22" t="s">
        <v>611</v>
      </c>
      <c r="D264" s="9" t="s">
        <v>899</v>
      </c>
      <c r="E264" s="9" t="s">
        <v>47</v>
      </c>
      <c r="F264" s="9" t="s">
        <v>99</v>
      </c>
      <c r="G264" s="22" t="s">
        <v>1196</v>
      </c>
      <c r="H264" s="9" t="s">
        <v>1091</v>
      </c>
      <c r="I264" s="7" t="s">
        <v>869</v>
      </c>
      <c r="J264" s="23" t="s">
        <v>1197</v>
      </c>
      <c r="K264" s="24" t="s">
        <v>1198</v>
      </c>
      <c r="L264" s="22" t="s">
        <v>1199</v>
      </c>
      <c r="M264" s="25"/>
      <c r="N264" s="25"/>
      <c r="O264" s="26"/>
      <c r="P264" s="27"/>
      <c r="Q264" s="28"/>
      <c r="R264" s="28"/>
      <c r="S264" s="26"/>
    </row>
    <row r="265" customFormat="false" ht="15" hidden="false" customHeight="false" outlineLevel="0" collapsed="false">
      <c r="A265" s="7" t="n">
        <v>261</v>
      </c>
      <c r="B265" s="9" t="s">
        <v>17</v>
      </c>
      <c r="C265" s="22" t="s">
        <v>611</v>
      </c>
      <c r="D265" s="9" t="s">
        <v>899</v>
      </c>
      <c r="E265" s="9" t="s">
        <v>47</v>
      </c>
      <c r="F265" s="9" t="s">
        <v>99</v>
      </c>
      <c r="G265" s="22" t="s">
        <v>1200</v>
      </c>
      <c r="H265" s="9" t="s">
        <v>1091</v>
      </c>
      <c r="I265" s="7" t="s">
        <v>869</v>
      </c>
      <c r="J265" s="23" t="s">
        <v>1201</v>
      </c>
      <c r="K265" s="24" t="s">
        <v>1202</v>
      </c>
      <c r="L265" s="22" t="s">
        <v>1203</v>
      </c>
      <c r="M265" s="25"/>
      <c r="N265" s="25"/>
      <c r="O265" s="26"/>
      <c r="P265" s="27"/>
      <c r="Q265" s="28"/>
      <c r="R265" s="28"/>
      <c r="S265" s="26"/>
    </row>
    <row r="266" customFormat="false" ht="15" hidden="false" customHeight="false" outlineLevel="0" collapsed="false">
      <c r="A266" s="7" t="n">
        <v>262</v>
      </c>
      <c r="B266" s="9" t="s">
        <v>17</v>
      </c>
      <c r="C266" s="22" t="s">
        <v>611</v>
      </c>
      <c r="D266" s="9" t="s">
        <v>899</v>
      </c>
      <c r="E266" s="9" t="s">
        <v>48</v>
      </c>
      <c r="F266" s="9" t="s">
        <v>99</v>
      </c>
      <c r="G266" s="22" t="s">
        <v>1204</v>
      </c>
      <c r="H266" s="9" t="s">
        <v>1100</v>
      </c>
      <c r="I266" s="7"/>
      <c r="J266" s="23" t="s">
        <v>1205</v>
      </c>
      <c r="K266" s="24" t="s">
        <v>1206</v>
      </c>
      <c r="L266" s="22" t="s">
        <v>1207</v>
      </c>
      <c r="M266" s="25"/>
      <c r="N266" s="25"/>
      <c r="O266" s="26"/>
      <c r="P266" s="27"/>
      <c r="Q266" s="28"/>
      <c r="R266" s="28"/>
      <c r="S266" s="26"/>
    </row>
    <row r="267" customFormat="false" ht="15" hidden="false" customHeight="false" outlineLevel="0" collapsed="false">
      <c r="A267" s="7" t="n">
        <v>263</v>
      </c>
      <c r="B267" s="9" t="s">
        <v>17</v>
      </c>
      <c r="C267" s="22" t="s">
        <v>611</v>
      </c>
      <c r="D267" s="9" t="s">
        <v>1083</v>
      </c>
      <c r="E267" s="9" t="s">
        <v>47</v>
      </c>
      <c r="F267" s="9" t="s">
        <v>99</v>
      </c>
      <c r="G267" s="22" t="s">
        <v>1208</v>
      </c>
      <c r="H267" s="9" t="s">
        <v>1091</v>
      </c>
      <c r="I267" s="7" t="s">
        <v>869</v>
      </c>
      <c r="J267" s="23" t="s">
        <v>1209</v>
      </c>
      <c r="K267" s="24" t="s">
        <v>1210</v>
      </c>
      <c r="L267" s="22" t="s">
        <v>1211</v>
      </c>
      <c r="M267" s="25"/>
      <c r="N267" s="25"/>
      <c r="O267" s="26"/>
      <c r="P267" s="27"/>
      <c r="Q267" s="28"/>
      <c r="R267" s="28"/>
      <c r="S267" s="26"/>
    </row>
    <row r="268" customFormat="false" ht="15" hidden="false" customHeight="false" outlineLevel="0" collapsed="false">
      <c r="A268" s="7" t="n">
        <v>264</v>
      </c>
      <c r="B268" s="9" t="s">
        <v>17</v>
      </c>
      <c r="C268" s="22" t="s">
        <v>611</v>
      </c>
      <c r="D268" s="9" t="s">
        <v>1083</v>
      </c>
      <c r="E268" s="9" t="s">
        <v>47</v>
      </c>
      <c r="F268" s="9" t="s">
        <v>99</v>
      </c>
      <c r="G268" s="22" t="s">
        <v>1212</v>
      </c>
      <c r="H268" s="9" t="s">
        <v>1091</v>
      </c>
      <c r="I268" s="7"/>
      <c r="J268" s="23" t="s">
        <v>1213</v>
      </c>
      <c r="K268" s="24" t="s">
        <v>1214</v>
      </c>
      <c r="L268" s="22" t="s">
        <v>1215</v>
      </c>
      <c r="M268" s="25"/>
      <c r="N268" s="25"/>
      <c r="O268" s="26"/>
      <c r="P268" s="27"/>
      <c r="Q268" s="28"/>
      <c r="R268" s="28"/>
      <c r="S268" s="26"/>
    </row>
    <row r="269" customFormat="false" ht="15" hidden="false" customHeight="false" outlineLevel="0" collapsed="false">
      <c r="A269" s="7" t="n">
        <v>265</v>
      </c>
      <c r="B269" s="9" t="s">
        <v>17</v>
      </c>
      <c r="C269" s="22" t="s">
        <v>611</v>
      </c>
      <c r="D269" s="9" t="s">
        <v>1083</v>
      </c>
      <c r="E269" s="9" t="s">
        <v>48</v>
      </c>
      <c r="F269" s="9" t="s">
        <v>124</v>
      </c>
      <c r="G269" s="22" t="s">
        <v>1216</v>
      </c>
      <c r="H269" s="9" t="s">
        <v>1100</v>
      </c>
      <c r="I269" s="7" t="s">
        <v>869</v>
      </c>
      <c r="J269" s="23" t="s">
        <v>1217</v>
      </c>
      <c r="K269" s="24" t="s">
        <v>1218</v>
      </c>
      <c r="L269" s="22" t="s">
        <v>1219</v>
      </c>
      <c r="M269" s="25"/>
      <c r="N269" s="25"/>
      <c r="O269" s="26"/>
      <c r="P269" s="27"/>
      <c r="Q269" s="28"/>
      <c r="R269" s="28"/>
      <c r="S269" s="26"/>
    </row>
    <row r="270" customFormat="false" ht="15" hidden="false" customHeight="false" outlineLevel="0" collapsed="false">
      <c r="A270" s="7" t="n">
        <v>266</v>
      </c>
      <c r="B270" s="9" t="s">
        <v>17</v>
      </c>
      <c r="C270" s="22" t="s">
        <v>611</v>
      </c>
      <c r="D270" s="9" t="s">
        <v>1083</v>
      </c>
      <c r="E270" s="9" t="s">
        <v>48</v>
      </c>
      <c r="F270" s="9" t="s">
        <v>124</v>
      </c>
      <c r="G270" s="22" t="s">
        <v>1220</v>
      </c>
      <c r="H270" s="9" t="s">
        <v>1100</v>
      </c>
      <c r="I270" s="7" t="s">
        <v>869</v>
      </c>
      <c r="J270" s="23" t="s">
        <v>1221</v>
      </c>
      <c r="K270" s="24" t="s">
        <v>1222</v>
      </c>
      <c r="L270" s="22" t="s">
        <v>1223</v>
      </c>
      <c r="M270" s="25"/>
      <c r="N270" s="25"/>
      <c r="O270" s="26"/>
      <c r="P270" s="27"/>
      <c r="Q270" s="28"/>
      <c r="R270" s="28"/>
      <c r="S270" s="26"/>
    </row>
    <row r="271" customFormat="false" ht="15" hidden="false" customHeight="false" outlineLevel="0" collapsed="false">
      <c r="A271" s="7" t="n">
        <v>267</v>
      </c>
      <c r="B271" s="9" t="s">
        <v>17</v>
      </c>
      <c r="C271" s="22" t="s">
        <v>611</v>
      </c>
      <c r="D271" s="9" t="s">
        <v>1083</v>
      </c>
      <c r="E271" s="9" t="s">
        <v>48</v>
      </c>
      <c r="F271" s="9" t="s">
        <v>99</v>
      </c>
      <c r="G271" s="22" t="s">
        <v>1224</v>
      </c>
      <c r="H271" s="9" t="s">
        <v>1100</v>
      </c>
      <c r="I271" s="7" t="s">
        <v>869</v>
      </c>
      <c r="J271" s="23" t="s">
        <v>1225</v>
      </c>
      <c r="K271" s="24" t="s">
        <v>1226</v>
      </c>
      <c r="L271" s="22" t="s">
        <v>1227</v>
      </c>
      <c r="M271" s="25"/>
      <c r="N271" s="25"/>
      <c r="O271" s="26"/>
      <c r="P271" s="27"/>
      <c r="Q271" s="28"/>
      <c r="R271" s="28"/>
      <c r="S271" s="26"/>
    </row>
    <row r="272" customFormat="false" ht="15" hidden="false" customHeight="false" outlineLevel="0" collapsed="false">
      <c r="A272" s="7" t="n">
        <v>268</v>
      </c>
      <c r="B272" s="9" t="s">
        <v>17</v>
      </c>
      <c r="C272" s="22" t="s">
        <v>611</v>
      </c>
      <c r="D272" s="9" t="s">
        <v>1083</v>
      </c>
      <c r="E272" s="9" t="s">
        <v>48</v>
      </c>
      <c r="F272" s="9" t="s">
        <v>124</v>
      </c>
      <c r="G272" s="22" t="s">
        <v>1228</v>
      </c>
      <c r="H272" s="9" t="s">
        <v>1100</v>
      </c>
      <c r="I272" s="7"/>
      <c r="J272" s="23" t="s">
        <v>1229</v>
      </c>
      <c r="K272" s="24" t="s">
        <v>1230</v>
      </c>
      <c r="L272" s="22" t="s">
        <v>1231</v>
      </c>
      <c r="M272" s="25"/>
      <c r="N272" s="25"/>
      <c r="O272" s="26"/>
      <c r="P272" s="27"/>
      <c r="Q272" s="28"/>
      <c r="R272" s="28"/>
      <c r="S272" s="26"/>
    </row>
    <row r="273" customFormat="false" ht="15" hidden="false" customHeight="false" outlineLevel="0" collapsed="false">
      <c r="A273" s="7" t="n">
        <v>269</v>
      </c>
      <c r="B273" s="9" t="s">
        <v>17</v>
      </c>
      <c r="C273" s="22" t="s">
        <v>611</v>
      </c>
      <c r="D273" s="9" t="s">
        <v>526</v>
      </c>
      <c r="E273" s="9" t="s">
        <v>48</v>
      </c>
      <c r="F273" s="9" t="s">
        <v>99</v>
      </c>
      <c r="G273" s="22" t="s">
        <v>1232</v>
      </c>
      <c r="H273" s="9" t="s">
        <v>1100</v>
      </c>
      <c r="I273" s="7"/>
      <c r="J273" s="23" t="s">
        <v>1233</v>
      </c>
      <c r="K273" s="24" t="s">
        <v>1234</v>
      </c>
      <c r="L273" s="22" t="s">
        <v>1235</v>
      </c>
      <c r="M273" s="25"/>
      <c r="N273" s="25"/>
      <c r="O273" s="26"/>
      <c r="P273" s="27"/>
      <c r="Q273" s="28"/>
      <c r="R273" s="28"/>
      <c r="S273" s="26"/>
    </row>
    <row r="274" customFormat="false" ht="15" hidden="false" customHeight="false" outlineLevel="0" collapsed="false">
      <c r="A274" s="7" t="n">
        <v>270</v>
      </c>
      <c r="B274" s="9" t="s">
        <v>17</v>
      </c>
      <c r="C274" s="22" t="s">
        <v>725</v>
      </c>
      <c r="D274" s="9" t="s">
        <v>917</v>
      </c>
      <c r="E274" s="9" t="s">
        <v>47</v>
      </c>
      <c r="F274" s="9" t="s">
        <v>99</v>
      </c>
      <c r="G274" s="22" t="s">
        <v>1236</v>
      </c>
      <c r="H274" s="9" t="s">
        <v>1091</v>
      </c>
      <c r="I274" s="7"/>
      <c r="J274" s="23" t="s">
        <v>1237</v>
      </c>
      <c r="K274" s="24" t="s">
        <v>1238</v>
      </c>
      <c r="L274" s="22" t="s">
        <v>1239</v>
      </c>
      <c r="M274" s="25"/>
      <c r="N274" s="25"/>
      <c r="O274" s="26"/>
      <c r="P274" s="27"/>
      <c r="Q274" s="28"/>
      <c r="R274" s="28"/>
      <c r="S274" s="26"/>
    </row>
    <row r="275" customFormat="false" ht="15" hidden="false" customHeight="false" outlineLevel="0" collapsed="false">
      <c r="A275" s="7" t="n">
        <v>271</v>
      </c>
      <c r="B275" s="9" t="s">
        <v>17</v>
      </c>
      <c r="C275" s="22" t="s">
        <v>725</v>
      </c>
      <c r="D275" s="9" t="s">
        <v>917</v>
      </c>
      <c r="E275" s="9" t="s">
        <v>47</v>
      </c>
      <c r="F275" s="9" t="s">
        <v>99</v>
      </c>
      <c r="G275" s="22" t="s">
        <v>1240</v>
      </c>
      <c r="H275" s="9" t="s">
        <v>1091</v>
      </c>
      <c r="I275" s="7"/>
      <c r="J275" s="23" t="s">
        <v>1241</v>
      </c>
      <c r="K275" s="24" t="s">
        <v>1242</v>
      </c>
      <c r="L275" s="22" t="s">
        <v>1243</v>
      </c>
      <c r="M275" s="25"/>
      <c r="N275" s="25"/>
      <c r="O275" s="26"/>
      <c r="P275" s="27"/>
      <c r="Q275" s="28"/>
      <c r="R275" s="28"/>
      <c r="S275" s="26"/>
    </row>
    <row r="276" customFormat="false" ht="15" hidden="false" customHeight="false" outlineLevel="0" collapsed="false">
      <c r="A276" s="7" t="n">
        <v>272</v>
      </c>
      <c r="B276" s="9" t="s">
        <v>17</v>
      </c>
      <c r="C276" s="22" t="s">
        <v>725</v>
      </c>
      <c r="D276" s="9" t="s">
        <v>917</v>
      </c>
      <c r="E276" s="9" t="s">
        <v>47</v>
      </c>
      <c r="F276" s="9" t="s">
        <v>99</v>
      </c>
      <c r="G276" s="22" t="s">
        <v>1244</v>
      </c>
      <c r="H276" s="9" t="s">
        <v>1091</v>
      </c>
      <c r="I276" s="7"/>
      <c r="J276" s="23" t="s">
        <v>1245</v>
      </c>
      <c r="K276" s="24" t="s">
        <v>1246</v>
      </c>
      <c r="L276" s="22" t="s">
        <v>1247</v>
      </c>
      <c r="M276" s="25"/>
      <c r="N276" s="25"/>
      <c r="O276" s="26"/>
      <c r="P276" s="27"/>
      <c r="Q276" s="28"/>
      <c r="R276" s="28"/>
      <c r="S276" s="26"/>
    </row>
    <row r="277" customFormat="false" ht="15" hidden="false" customHeight="false" outlineLevel="0" collapsed="false">
      <c r="A277" s="7" t="n">
        <v>273</v>
      </c>
      <c r="B277" s="9" t="s">
        <v>17</v>
      </c>
      <c r="C277" s="22" t="s">
        <v>725</v>
      </c>
      <c r="D277" s="9" t="s">
        <v>917</v>
      </c>
      <c r="E277" s="9" t="s">
        <v>48</v>
      </c>
      <c r="F277" s="9" t="s">
        <v>124</v>
      </c>
      <c r="G277" s="22" t="s">
        <v>1248</v>
      </c>
      <c r="H277" s="9" t="s">
        <v>1100</v>
      </c>
      <c r="I277" s="7"/>
      <c r="J277" s="23" t="s">
        <v>1249</v>
      </c>
      <c r="K277" s="24" t="s">
        <v>1250</v>
      </c>
      <c r="L277" s="22" t="s">
        <v>1251</v>
      </c>
      <c r="M277" s="25"/>
      <c r="N277" s="25"/>
      <c r="O277" s="26"/>
      <c r="P277" s="27"/>
      <c r="Q277" s="28"/>
      <c r="R277" s="28"/>
      <c r="S277" s="26"/>
    </row>
    <row r="278" customFormat="false" ht="15" hidden="false" customHeight="false" outlineLevel="0" collapsed="false">
      <c r="A278" s="7" t="n">
        <v>274</v>
      </c>
      <c r="B278" s="9" t="s">
        <v>17</v>
      </c>
      <c r="C278" s="22" t="s">
        <v>725</v>
      </c>
      <c r="D278" s="9" t="s">
        <v>917</v>
      </c>
      <c r="E278" s="9" t="s">
        <v>48</v>
      </c>
      <c r="F278" s="9" t="s">
        <v>99</v>
      </c>
      <c r="G278" s="22" t="s">
        <v>1252</v>
      </c>
      <c r="H278" s="9" t="s">
        <v>1100</v>
      </c>
      <c r="I278" s="7"/>
      <c r="J278" s="23" t="s">
        <v>1253</v>
      </c>
      <c r="K278" s="24" t="s">
        <v>1254</v>
      </c>
      <c r="L278" s="22" t="s">
        <v>1255</v>
      </c>
      <c r="M278" s="25"/>
      <c r="N278" s="25"/>
      <c r="O278" s="26"/>
      <c r="P278" s="27"/>
      <c r="Q278" s="28"/>
      <c r="R278" s="28"/>
      <c r="S278" s="26"/>
    </row>
    <row r="279" customFormat="false" ht="15" hidden="false" customHeight="false" outlineLevel="0" collapsed="false">
      <c r="A279" s="7" t="n">
        <v>275</v>
      </c>
      <c r="B279" s="9" t="s">
        <v>17</v>
      </c>
      <c r="C279" s="22" t="s">
        <v>725</v>
      </c>
      <c r="D279" s="9" t="s">
        <v>917</v>
      </c>
      <c r="E279" s="9" t="s">
        <v>48</v>
      </c>
      <c r="F279" s="9" t="s">
        <v>99</v>
      </c>
      <c r="G279" s="22" t="s">
        <v>1256</v>
      </c>
      <c r="H279" s="9" t="s">
        <v>1100</v>
      </c>
      <c r="I279" s="7"/>
      <c r="J279" s="23" t="s">
        <v>1257</v>
      </c>
      <c r="K279" s="24" t="s">
        <v>1258</v>
      </c>
      <c r="L279" s="22" t="s">
        <v>1259</v>
      </c>
      <c r="M279" s="25"/>
      <c r="N279" s="25"/>
      <c r="O279" s="26"/>
      <c r="P279" s="27"/>
      <c r="Q279" s="28"/>
      <c r="R279" s="28"/>
      <c r="S279" s="26"/>
    </row>
    <row r="280" customFormat="false" ht="15" hidden="false" customHeight="false" outlineLevel="0" collapsed="false">
      <c r="A280" s="7" t="n">
        <v>276</v>
      </c>
      <c r="B280" s="9" t="s">
        <v>17</v>
      </c>
      <c r="C280" s="22" t="s">
        <v>725</v>
      </c>
      <c r="D280" s="9" t="s">
        <v>917</v>
      </c>
      <c r="E280" s="9" t="s">
        <v>48</v>
      </c>
      <c r="F280" s="9" t="s">
        <v>99</v>
      </c>
      <c r="G280" s="22" t="s">
        <v>1260</v>
      </c>
      <c r="H280" s="9" t="s">
        <v>1100</v>
      </c>
      <c r="I280" s="7"/>
      <c r="J280" s="23" t="s">
        <v>1261</v>
      </c>
      <c r="K280" s="24" t="s">
        <v>1262</v>
      </c>
      <c r="L280" s="22" t="s">
        <v>1263</v>
      </c>
      <c r="M280" s="25"/>
      <c r="N280" s="25"/>
      <c r="O280" s="26"/>
      <c r="P280" s="27"/>
      <c r="Q280" s="28"/>
      <c r="R280" s="28"/>
      <c r="S280" s="26"/>
    </row>
    <row r="281" customFormat="false" ht="15" hidden="false" customHeight="false" outlineLevel="0" collapsed="false">
      <c r="A281" s="7" t="n">
        <v>277</v>
      </c>
      <c r="B281" s="9" t="s">
        <v>17</v>
      </c>
      <c r="C281" s="22" t="s">
        <v>725</v>
      </c>
      <c r="D281" s="9" t="s">
        <v>917</v>
      </c>
      <c r="E281" s="9" t="s">
        <v>48</v>
      </c>
      <c r="F281" s="9" t="s">
        <v>99</v>
      </c>
      <c r="G281" s="22" t="s">
        <v>1264</v>
      </c>
      <c r="H281" s="9" t="s">
        <v>1100</v>
      </c>
      <c r="I281" s="7"/>
      <c r="J281" s="23" t="s">
        <v>1265</v>
      </c>
      <c r="K281" s="24" t="s">
        <v>1266</v>
      </c>
      <c r="L281" s="22" t="s">
        <v>1267</v>
      </c>
      <c r="M281" s="25"/>
      <c r="N281" s="25"/>
      <c r="O281" s="26"/>
      <c r="P281" s="27"/>
      <c r="Q281" s="28"/>
      <c r="R281" s="28"/>
      <c r="S281" s="26"/>
    </row>
    <row r="282" customFormat="false" ht="15" hidden="false" customHeight="false" outlineLevel="0" collapsed="false">
      <c r="A282" s="7" t="n">
        <v>278</v>
      </c>
      <c r="B282" s="9" t="s">
        <v>17</v>
      </c>
      <c r="C282" s="22" t="s">
        <v>725</v>
      </c>
      <c r="D282" s="9" t="s">
        <v>917</v>
      </c>
      <c r="E282" s="9" t="s">
        <v>48</v>
      </c>
      <c r="F282" s="9" t="s">
        <v>99</v>
      </c>
      <c r="G282" s="22" t="s">
        <v>1268</v>
      </c>
      <c r="H282" s="9" t="s">
        <v>1100</v>
      </c>
      <c r="I282" s="7" t="s">
        <v>869</v>
      </c>
      <c r="J282" s="23" t="s">
        <v>1269</v>
      </c>
      <c r="K282" s="24" t="s">
        <v>1270</v>
      </c>
      <c r="L282" s="22" t="s">
        <v>1271</v>
      </c>
      <c r="M282" s="25"/>
      <c r="N282" s="25"/>
      <c r="O282" s="26"/>
      <c r="P282" s="27"/>
      <c r="Q282" s="28"/>
      <c r="R282" s="28"/>
      <c r="S282" s="26"/>
    </row>
    <row r="283" customFormat="false" ht="15" hidden="false" customHeight="false" outlineLevel="0" collapsed="false">
      <c r="A283" s="7" t="n">
        <v>279</v>
      </c>
      <c r="B283" s="9" t="s">
        <v>17</v>
      </c>
      <c r="C283" s="22" t="s">
        <v>725</v>
      </c>
      <c r="D283" s="9" t="s">
        <v>917</v>
      </c>
      <c r="E283" s="9" t="s">
        <v>48</v>
      </c>
      <c r="F283" s="9" t="s">
        <v>124</v>
      </c>
      <c r="G283" s="22" t="s">
        <v>1272</v>
      </c>
      <c r="H283" s="9" t="s">
        <v>1100</v>
      </c>
      <c r="I283" s="7" t="s">
        <v>869</v>
      </c>
      <c r="J283" s="23" t="s">
        <v>1273</v>
      </c>
      <c r="K283" s="24" t="s">
        <v>1274</v>
      </c>
      <c r="L283" s="22" t="s">
        <v>1275</v>
      </c>
      <c r="M283" s="25"/>
      <c r="N283" s="25"/>
      <c r="O283" s="26"/>
      <c r="P283" s="27"/>
      <c r="Q283" s="28"/>
      <c r="R283" s="28"/>
      <c r="S283" s="26"/>
    </row>
    <row r="284" customFormat="false" ht="15" hidden="false" customHeight="false" outlineLevel="0" collapsed="false">
      <c r="A284" s="7" t="n">
        <v>280</v>
      </c>
      <c r="B284" s="9" t="s">
        <v>17</v>
      </c>
      <c r="C284" s="22" t="s">
        <v>725</v>
      </c>
      <c r="D284" s="9" t="s">
        <v>917</v>
      </c>
      <c r="E284" s="9" t="s">
        <v>48</v>
      </c>
      <c r="F284" s="9" t="s">
        <v>99</v>
      </c>
      <c r="G284" s="22" t="s">
        <v>1276</v>
      </c>
      <c r="H284" s="9" t="s">
        <v>1100</v>
      </c>
      <c r="I284" s="7" t="s">
        <v>869</v>
      </c>
      <c r="J284" s="23" t="s">
        <v>1277</v>
      </c>
      <c r="K284" s="24" t="s">
        <v>1278</v>
      </c>
      <c r="L284" s="22" t="s">
        <v>1279</v>
      </c>
      <c r="M284" s="25"/>
      <c r="N284" s="25"/>
      <c r="O284" s="26"/>
      <c r="P284" s="27"/>
      <c r="Q284" s="28"/>
      <c r="R284" s="28"/>
      <c r="S284" s="26"/>
    </row>
    <row r="285" customFormat="false" ht="15" hidden="false" customHeight="false" outlineLevel="0" collapsed="false">
      <c r="A285" s="7" t="n">
        <v>281</v>
      </c>
      <c r="B285" s="9" t="s">
        <v>17</v>
      </c>
      <c r="C285" s="22" t="s">
        <v>725</v>
      </c>
      <c r="D285" s="9" t="s">
        <v>917</v>
      </c>
      <c r="E285" s="9" t="s">
        <v>48</v>
      </c>
      <c r="F285" s="9" t="s">
        <v>99</v>
      </c>
      <c r="G285" s="22" t="s">
        <v>1280</v>
      </c>
      <c r="H285" s="9" t="s">
        <v>1100</v>
      </c>
      <c r="I285" s="7"/>
      <c r="J285" s="23" t="s">
        <v>1281</v>
      </c>
      <c r="K285" s="24" t="s">
        <v>1282</v>
      </c>
      <c r="L285" s="22" t="s">
        <v>1283</v>
      </c>
      <c r="M285" s="25"/>
      <c r="N285" s="25"/>
      <c r="O285" s="26"/>
      <c r="P285" s="27"/>
      <c r="Q285" s="28"/>
      <c r="R285" s="28"/>
      <c r="S285" s="26"/>
    </row>
    <row r="286" customFormat="false" ht="15" hidden="false" customHeight="false" outlineLevel="0" collapsed="false">
      <c r="A286" s="7" t="n">
        <v>282</v>
      </c>
      <c r="B286" s="9" t="s">
        <v>17</v>
      </c>
      <c r="C286" s="22" t="s">
        <v>725</v>
      </c>
      <c r="D286" s="9" t="s">
        <v>1000</v>
      </c>
      <c r="E286" s="9" t="s">
        <v>47</v>
      </c>
      <c r="F286" s="9" t="s">
        <v>99</v>
      </c>
      <c r="G286" s="22" t="s">
        <v>1284</v>
      </c>
      <c r="H286" s="9" t="s">
        <v>1091</v>
      </c>
      <c r="I286" s="7"/>
      <c r="J286" s="23" t="s">
        <v>1285</v>
      </c>
      <c r="K286" s="24" t="s">
        <v>1286</v>
      </c>
      <c r="L286" s="22" t="s">
        <v>1287</v>
      </c>
      <c r="M286" s="25"/>
      <c r="N286" s="25"/>
      <c r="O286" s="26"/>
      <c r="P286" s="27"/>
      <c r="Q286" s="28"/>
      <c r="R286" s="28"/>
      <c r="S286" s="26"/>
    </row>
    <row r="287" customFormat="false" ht="15" hidden="false" customHeight="false" outlineLevel="0" collapsed="false">
      <c r="A287" s="7" t="n">
        <v>283</v>
      </c>
      <c r="B287" s="9" t="s">
        <v>17</v>
      </c>
      <c r="C287" s="22" t="s">
        <v>725</v>
      </c>
      <c r="D287" s="9" t="s">
        <v>1000</v>
      </c>
      <c r="E287" s="9" t="s">
        <v>47</v>
      </c>
      <c r="F287" s="9" t="s">
        <v>99</v>
      </c>
      <c r="G287" s="22" t="s">
        <v>1288</v>
      </c>
      <c r="H287" s="9" t="s">
        <v>1091</v>
      </c>
      <c r="I287" s="7"/>
      <c r="J287" s="23" t="s">
        <v>1289</v>
      </c>
      <c r="K287" s="24" t="s">
        <v>1290</v>
      </c>
      <c r="L287" s="22" t="s">
        <v>1291</v>
      </c>
      <c r="M287" s="25"/>
      <c r="N287" s="25"/>
      <c r="O287" s="26"/>
      <c r="P287" s="27"/>
      <c r="Q287" s="28"/>
      <c r="R287" s="28"/>
      <c r="S287" s="26"/>
    </row>
    <row r="288" customFormat="false" ht="15" hidden="false" customHeight="false" outlineLevel="0" collapsed="false">
      <c r="A288" s="7" t="n">
        <v>284</v>
      </c>
      <c r="B288" s="9" t="s">
        <v>17</v>
      </c>
      <c r="C288" s="22" t="s">
        <v>725</v>
      </c>
      <c r="D288" s="9" t="s">
        <v>1000</v>
      </c>
      <c r="E288" s="9" t="s">
        <v>47</v>
      </c>
      <c r="F288" s="9" t="s">
        <v>99</v>
      </c>
      <c r="G288" s="22" t="s">
        <v>1292</v>
      </c>
      <c r="H288" s="9" t="s">
        <v>1091</v>
      </c>
      <c r="I288" s="7"/>
      <c r="J288" s="23" t="s">
        <v>1293</v>
      </c>
      <c r="K288" s="24" t="s">
        <v>1294</v>
      </c>
      <c r="L288" s="22" t="s">
        <v>1295</v>
      </c>
      <c r="M288" s="25"/>
      <c r="N288" s="25"/>
      <c r="O288" s="26"/>
      <c r="P288" s="27"/>
      <c r="Q288" s="28"/>
      <c r="R288" s="28"/>
      <c r="S288" s="26"/>
    </row>
    <row r="289" customFormat="false" ht="15" hidden="false" customHeight="false" outlineLevel="0" collapsed="false">
      <c r="A289" s="7" t="n">
        <v>285</v>
      </c>
      <c r="B289" s="9" t="s">
        <v>17</v>
      </c>
      <c r="C289" s="22" t="s">
        <v>725</v>
      </c>
      <c r="D289" s="9" t="s">
        <v>1000</v>
      </c>
      <c r="E289" s="9" t="s">
        <v>48</v>
      </c>
      <c r="F289" s="9" t="s">
        <v>99</v>
      </c>
      <c r="G289" s="22" t="s">
        <v>1296</v>
      </c>
      <c r="H289" s="9" t="s">
        <v>1100</v>
      </c>
      <c r="I289" s="7"/>
      <c r="J289" s="23" t="s">
        <v>1297</v>
      </c>
      <c r="K289" s="24" t="s">
        <v>1298</v>
      </c>
      <c r="L289" s="22" t="s">
        <v>1299</v>
      </c>
      <c r="M289" s="25"/>
      <c r="N289" s="25"/>
      <c r="O289" s="26"/>
      <c r="P289" s="27"/>
      <c r="Q289" s="28"/>
      <c r="R289" s="28"/>
      <c r="S289" s="26"/>
    </row>
    <row r="290" customFormat="false" ht="15" hidden="false" customHeight="false" outlineLevel="0" collapsed="false">
      <c r="A290" s="7" t="n">
        <v>286</v>
      </c>
      <c r="B290" s="9" t="s">
        <v>17</v>
      </c>
      <c r="C290" s="22" t="s">
        <v>725</v>
      </c>
      <c r="D290" s="9" t="s">
        <v>1000</v>
      </c>
      <c r="E290" s="9" t="s">
        <v>48</v>
      </c>
      <c r="F290" s="9" t="s">
        <v>124</v>
      </c>
      <c r="G290" s="22" t="s">
        <v>1300</v>
      </c>
      <c r="H290" s="9" t="s">
        <v>1100</v>
      </c>
      <c r="I290" s="7" t="s">
        <v>869</v>
      </c>
      <c r="J290" s="23" t="s">
        <v>1301</v>
      </c>
      <c r="K290" s="24" t="s">
        <v>1302</v>
      </c>
      <c r="L290" s="22" t="s">
        <v>1303</v>
      </c>
      <c r="M290" s="25"/>
      <c r="N290" s="25"/>
      <c r="O290" s="26"/>
      <c r="P290" s="27"/>
      <c r="Q290" s="28"/>
      <c r="R290" s="28"/>
      <c r="S290" s="26"/>
    </row>
    <row r="291" customFormat="false" ht="15" hidden="false" customHeight="false" outlineLevel="0" collapsed="false">
      <c r="A291" s="7" t="n">
        <v>287</v>
      </c>
      <c r="B291" s="9" t="s">
        <v>19</v>
      </c>
      <c r="C291" s="22" t="s">
        <v>1304</v>
      </c>
      <c r="D291" s="9" t="s">
        <v>1305</v>
      </c>
      <c r="E291" s="9" t="s">
        <v>47</v>
      </c>
      <c r="F291" s="9" t="s">
        <v>99</v>
      </c>
      <c r="G291" s="22" t="s">
        <v>1306</v>
      </c>
      <c r="H291" s="9" t="s">
        <v>57</v>
      </c>
      <c r="I291" s="7"/>
      <c r="J291" s="23" t="s">
        <v>1307</v>
      </c>
      <c r="K291" s="24" t="s">
        <v>1308</v>
      </c>
      <c r="L291" s="22" t="s">
        <v>1309</v>
      </c>
      <c r="M291" s="25"/>
      <c r="N291" s="25"/>
      <c r="O291" s="26"/>
      <c r="P291" s="27"/>
      <c r="Q291" s="28"/>
      <c r="R291" s="28"/>
      <c r="S291" s="26"/>
    </row>
    <row r="292" customFormat="false" ht="15" hidden="false" customHeight="false" outlineLevel="0" collapsed="false">
      <c r="A292" s="7" t="n">
        <v>288</v>
      </c>
      <c r="B292" s="9" t="s">
        <v>19</v>
      </c>
      <c r="C292" s="22" t="s">
        <v>1304</v>
      </c>
      <c r="D292" s="9" t="s">
        <v>1305</v>
      </c>
      <c r="E292" s="9" t="s">
        <v>47</v>
      </c>
      <c r="F292" s="9" t="s">
        <v>99</v>
      </c>
      <c r="G292" s="22" t="s">
        <v>1310</v>
      </c>
      <c r="H292" s="9" t="s">
        <v>56</v>
      </c>
      <c r="I292" s="7"/>
      <c r="J292" s="23" t="s">
        <v>1311</v>
      </c>
      <c r="K292" s="24" t="s">
        <v>1312</v>
      </c>
      <c r="L292" s="22" t="s">
        <v>1313</v>
      </c>
      <c r="M292" s="25"/>
      <c r="N292" s="25"/>
      <c r="O292" s="26"/>
      <c r="P292" s="27"/>
      <c r="Q292" s="28"/>
      <c r="R292" s="28"/>
      <c r="S292" s="26"/>
    </row>
    <row r="293" customFormat="false" ht="15" hidden="false" customHeight="false" outlineLevel="0" collapsed="false">
      <c r="A293" s="7" t="n">
        <v>289</v>
      </c>
      <c r="B293" s="9" t="s">
        <v>19</v>
      </c>
      <c r="C293" s="22" t="s">
        <v>1304</v>
      </c>
      <c r="D293" s="9" t="s">
        <v>1305</v>
      </c>
      <c r="E293" s="9" t="s">
        <v>47</v>
      </c>
      <c r="F293" s="9" t="s">
        <v>99</v>
      </c>
      <c r="G293" s="22" t="s">
        <v>1314</v>
      </c>
      <c r="H293" s="9" t="s">
        <v>57</v>
      </c>
      <c r="I293" s="7"/>
      <c r="J293" s="23" t="s">
        <v>1315</v>
      </c>
      <c r="K293" s="24" t="s">
        <v>1316</v>
      </c>
      <c r="L293" s="22" t="s">
        <v>1317</v>
      </c>
      <c r="M293" s="25"/>
      <c r="N293" s="25"/>
      <c r="O293" s="26"/>
      <c r="P293" s="27"/>
      <c r="Q293" s="28"/>
      <c r="R293" s="28"/>
      <c r="S293" s="26"/>
    </row>
    <row r="294" customFormat="false" ht="15" hidden="false" customHeight="false" outlineLevel="0" collapsed="false">
      <c r="A294" s="7" t="n">
        <v>290</v>
      </c>
      <c r="B294" s="9" t="s">
        <v>19</v>
      </c>
      <c r="C294" s="22" t="s">
        <v>1304</v>
      </c>
      <c r="D294" s="9" t="s">
        <v>1305</v>
      </c>
      <c r="E294" s="9" t="s">
        <v>48</v>
      </c>
      <c r="F294" s="9" t="s">
        <v>124</v>
      </c>
      <c r="G294" s="22" t="s">
        <v>1318</v>
      </c>
      <c r="H294" s="9" t="s">
        <v>56</v>
      </c>
      <c r="I294" s="7"/>
      <c r="J294" s="23" t="s">
        <v>1319</v>
      </c>
      <c r="K294" s="24" t="s">
        <v>1320</v>
      </c>
      <c r="L294" s="22" t="s">
        <v>1321</v>
      </c>
      <c r="M294" s="25"/>
      <c r="N294" s="25"/>
      <c r="O294" s="26"/>
      <c r="P294" s="27"/>
      <c r="Q294" s="28"/>
      <c r="R294" s="28"/>
      <c r="S294" s="26"/>
    </row>
    <row r="295" customFormat="false" ht="15" hidden="false" customHeight="false" outlineLevel="0" collapsed="false">
      <c r="A295" s="7" t="n">
        <v>291</v>
      </c>
      <c r="B295" s="9" t="s">
        <v>19</v>
      </c>
      <c r="C295" s="22" t="s">
        <v>300</v>
      </c>
      <c r="D295" s="9" t="s">
        <v>1305</v>
      </c>
      <c r="E295" s="9" t="s">
        <v>49</v>
      </c>
      <c r="F295" s="9" t="s">
        <v>99</v>
      </c>
      <c r="G295" s="22" t="s">
        <v>1322</v>
      </c>
      <c r="H295" s="9" t="s">
        <v>57</v>
      </c>
      <c r="I295" s="7"/>
      <c r="J295" s="23" t="s">
        <v>1323</v>
      </c>
      <c r="K295" s="24" t="s">
        <v>1324</v>
      </c>
      <c r="L295" s="22" t="s">
        <v>1325</v>
      </c>
      <c r="M295" s="25"/>
      <c r="N295" s="25"/>
      <c r="O295" s="26"/>
      <c r="P295" s="27"/>
      <c r="Q295" s="28"/>
      <c r="R295" s="28"/>
      <c r="S295" s="26"/>
    </row>
    <row r="296" customFormat="false" ht="15" hidden="false" customHeight="false" outlineLevel="0" collapsed="false">
      <c r="A296" s="7" t="n">
        <v>292</v>
      </c>
      <c r="B296" s="9" t="s">
        <v>19</v>
      </c>
      <c r="C296" s="22" t="s">
        <v>300</v>
      </c>
      <c r="D296" s="9" t="s">
        <v>1326</v>
      </c>
      <c r="E296" s="9" t="s">
        <v>49</v>
      </c>
      <c r="F296" s="9" t="s">
        <v>99</v>
      </c>
      <c r="G296" s="22" t="s">
        <v>1327</v>
      </c>
      <c r="H296" s="9" t="s">
        <v>57</v>
      </c>
      <c r="I296" s="7"/>
      <c r="J296" s="23" t="s">
        <v>1328</v>
      </c>
      <c r="K296" s="24" t="s">
        <v>1329</v>
      </c>
      <c r="L296" s="22" t="s">
        <v>1330</v>
      </c>
      <c r="M296" s="25"/>
      <c r="N296" s="25"/>
      <c r="O296" s="26"/>
      <c r="P296" s="27"/>
      <c r="Q296" s="28"/>
      <c r="R296" s="28"/>
      <c r="S296" s="26"/>
    </row>
    <row r="297" customFormat="false" ht="15" hidden="false" customHeight="false" outlineLevel="0" collapsed="false">
      <c r="A297" s="7" t="n">
        <v>293</v>
      </c>
      <c r="B297" s="9" t="s">
        <v>19</v>
      </c>
      <c r="C297" s="22" t="s">
        <v>300</v>
      </c>
      <c r="D297" s="9" t="s">
        <v>1326</v>
      </c>
      <c r="E297" s="9" t="s">
        <v>49</v>
      </c>
      <c r="F297" s="9" t="s">
        <v>99</v>
      </c>
      <c r="G297" s="22" t="s">
        <v>1331</v>
      </c>
      <c r="H297" s="9" t="s">
        <v>56</v>
      </c>
      <c r="I297" s="7"/>
      <c r="J297" s="23" t="s">
        <v>1332</v>
      </c>
      <c r="K297" s="24" t="s">
        <v>1333</v>
      </c>
      <c r="L297" s="22" t="s">
        <v>1334</v>
      </c>
      <c r="M297" s="25"/>
      <c r="N297" s="25"/>
      <c r="O297" s="26"/>
      <c r="P297" s="27"/>
      <c r="Q297" s="28"/>
      <c r="R297" s="28"/>
      <c r="S297" s="26"/>
    </row>
    <row r="298" customFormat="false" ht="15" hidden="false" customHeight="false" outlineLevel="0" collapsed="false">
      <c r="A298" s="7" t="n">
        <v>294</v>
      </c>
      <c r="B298" s="9" t="s">
        <v>19</v>
      </c>
      <c r="C298" s="22" t="s">
        <v>300</v>
      </c>
      <c r="D298" s="9" t="s">
        <v>1335</v>
      </c>
      <c r="E298" s="9" t="s">
        <v>49</v>
      </c>
      <c r="F298" s="9" t="s">
        <v>99</v>
      </c>
      <c r="G298" s="22" t="s">
        <v>1336</v>
      </c>
      <c r="H298" s="9" t="s">
        <v>56</v>
      </c>
      <c r="I298" s="7"/>
      <c r="J298" s="23" t="s">
        <v>1337</v>
      </c>
      <c r="K298" s="24" t="s">
        <v>1338</v>
      </c>
      <c r="L298" s="22" t="s">
        <v>1339</v>
      </c>
      <c r="M298" s="25"/>
      <c r="N298" s="25"/>
      <c r="O298" s="26"/>
      <c r="P298" s="27"/>
      <c r="Q298" s="28"/>
      <c r="R298" s="28"/>
      <c r="S298" s="26"/>
    </row>
    <row r="299" customFormat="false" ht="15" hidden="false" customHeight="false" outlineLevel="0" collapsed="false">
      <c r="A299" s="7" t="n">
        <v>295</v>
      </c>
      <c r="B299" s="9" t="s">
        <v>19</v>
      </c>
      <c r="C299" s="22" t="s">
        <v>300</v>
      </c>
      <c r="D299" s="9" t="s">
        <v>1335</v>
      </c>
      <c r="E299" s="9" t="s">
        <v>49</v>
      </c>
      <c r="F299" s="9" t="s">
        <v>99</v>
      </c>
      <c r="G299" s="22" t="s">
        <v>1340</v>
      </c>
      <c r="H299" s="9" t="s">
        <v>55</v>
      </c>
      <c r="I299" s="7"/>
      <c r="J299" s="23" t="s">
        <v>1341</v>
      </c>
      <c r="K299" s="24" t="s">
        <v>1342</v>
      </c>
      <c r="L299" s="22" t="s">
        <v>1343</v>
      </c>
      <c r="M299" s="25"/>
      <c r="N299" s="25"/>
      <c r="O299" s="26"/>
      <c r="P299" s="27"/>
      <c r="Q299" s="28"/>
      <c r="R299" s="28"/>
      <c r="S299" s="26"/>
    </row>
    <row r="300" customFormat="false" ht="15" hidden="false" customHeight="false" outlineLevel="0" collapsed="false">
      <c r="A300" s="7" t="n">
        <v>296</v>
      </c>
      <c r="B300" s="9" t="s">
        <v>19</v>
      </c>
      <c r="C300" s="22" t="s">
        <v>300</v>
      </c>
      <c r="D300" s="9" t="s">
        <v>1344</v>
      </c>
      <c r="E300" s="9" t="s">
        <v>49</v>
      </c>
      <c r="F300" s="9" t="s">
        <v>99</v>
      </c>
      <c r="G300" s="22" t="s">
        <v>1345</v>
      </c>
      <c r="H300" s="9" t="s">
        <v>57</v>
      </c>
      <c r="I300" s="7"/>
      <c r="J300" s="23" t="s">
        <v>1346</v>
      </c>
      <c r="K300" s="24" t="s">
        <v>1347</v>
      </c>
      <c r="L300" s="22" t="s">
        <v>1348</v>
      </c>
      <c r="M300" s="25"/>
      <c r="N300" s="25"/>
      <c r="O300" s="26"/>
      <c r="P300" s="27"/>
      <c r="Q300" s="28"/>
      <c r="R300" s="28"/>
      <c r="S300" s="26"/>
    </row>
    <row r="301" customFormat="false" ht="15" hidden="false" customHeight="false" outlineLevel="0" collapsed="false">
      <c r="A301" s="7" t="n">
        <v>297</v>
      </c>
      <c r="B301" s="9" t="s">
        <v>19</v>
      </c>
      <c r="C301" s="22" t="s">
        <v>300</v>
      </c>
      <c r="D301" s="9" t="s">
        <v>1344</v>
      </c>
      <c r="E301" s="9" t="s">
        <v>49</v>
      </c>
      <c r="F301" s="9" t="s">
        <v>99</v>
      </c>
      <c r="G301" s="22" t="s">
        <v>1349</v>
      </c>
      <c r="H301" s="9" t="s">
        <v>56</v>
      </c>
      <c r="I301" s="7"/>
      <c r="J301" s="23" t="s">
        <v>1350</v>
      </c>
      <c r="K301" s="24" t="s">
        <v>1351</v>
      </c>
      <c r="L301" s="22" t="s">
        <v>1352</v>
      </c>
      <c r="M301" s="25"/>
      <c r="N301" s="25"/>
      <c r="O301" s="26"/>
      <c r="P301" s="27"/>
      <c r="Q301" s="28"/>
      <c r="R301" s="28"/>
      <c r="S301" s="26"/>
    </row>
    <row r="302" customFormat="false" ht="15" hidden="false" customHeight="false" outlineLevel="0" collapsed="false">
      <c r="A302" s="7" t="n">
        <v>298</v>
      </c>
      <c r="B302" s="9" t="s">
        <v>19</v>
      </c>
      <c r="C302" s="22" t="s">
        <v>300</v>
      </c>
      <c r="D302" s="9" t="s">
        <v>1344</v>
      </c>
      <c r="E302" s="9" t="s">
        <v>49</v>
      </c>
      <c r="F302" s="9" t="s">
        <v>99</v>
      </c>
      <c r="G302" s="22" t="s">
        <v>1353</v>
      </c>
      <c r="H302" s="9" t="s">
        <v>56</v>
      </c>
      <c r="I302" s="7"/>
      <c r="J302" s="23" t="s">
        <v>1354</v>
      </c>
      <c r="K302" s="24" t="s">
        <v>1355</v>
      </c>
      <c r="L302" s="22" t="s">
        <v>1356</v>
      </c>
      <c r="M302" s="25"/>
      <c r="N302" s="25"/>
      <c r="O302" s="26"/>
      <c r="P302" s="27"/>
      <c r="Q302" s="28"/>
      <c r="R302" s="28"/>
      <c r="S302" s="26"/>
    </row>
    <row r="303" customFormat="false" ht="15" hidden="false" customHeight="false" outlineLevel="0" collapsed="false">
      <c r="A303" s="7" t="n">
        <v>299</v>
      </c>
      <c r="B303" s="9" t="s">
        <v>19</v>
      </c>
      <c r="C303" s="22" t="s">
        <v>300</v>
      </c>
      <c r="D303" s="9" t="s">
        <v>1344</v>
      </c>
      <c r="E303" s="9" t="s">
        <v>49</v>
      </c>
      <c r="F303" s="9" t="s">
        <v>99</v>
      </c>
      <c r="G303" s="22" t="s">
        <v>1357</v>
      </c>
      <c r="H303" s="9" t="s">
        <v>56</v>
      </c>
      <c r="I303" s="7"/>
      <c r="J303" s="23" t="s">
        <v>1358</v>
      </c>
      <c r="K303" s="24" t="s">
        <v>1359</v>
      </c>
      <c r="L303" s="22" t="s">
        <v>1360</v>
      </c>
      <c r="M303" s="25"/>
      <c r="N303" s="25"/>
      <c r="O303" s="26"/>
      <c r="P303" s="27"/>
      <c r="Q303" s="28"/>
      <c r="R303" s="28"/>
      <c r="S303" s="26"/>
    </row>
    <row r="304" customFormat="false" ht="15" hidden="false" customHeight="false" outlineLevel="0" collapsed="false">
      <c r="A304" s="7" t="n">
        <v>300</v>
      </c>
      <c r="B304" s="9" t="s">
        <v>19</v>
      </c>
      <c r="C304" s="22" t="s">
        <v>300</v>
      </c>
      <c r="D304" s="9" t="s">
        <v>1344</v>
      </c>
      <c r="E304" s="9" t="s">
        <v>49</v>
      </c>
      <c r="F304" s="9" t="s">
        <v>99</v>
      </c>
      <c r="G304" s="22" t="s">
        <v>1361</v>
      </c>
      <c r="H304" s="9" t="s">
        <v>56</v>
      </c>
      <c r="I304" s="7"/>
      <c r="J304" s="23" t="s">
        <v>1362</v>
      </c>
      <c r="K304" s="24" t="s">
        <v>1363</v>
      </c>
      <c r="L304" s="22" t="s">
        <v>1364</v>
      </c>
      <c r="M304" s="25"/>
      <c r="N304" s="25"/>
      <c r="O304" s="26"/>
      <c r="P304" s="27"/>
      <c r="Q304" s="28"/>
      <c r="R304" s="28"/>
      <c r="S304" s="26"/>
    </row>
    <row r="305" customFormat="false" ht="15" hidden="false" customHeight="false" outlineLevel="0" collapsed="false">
      <c r="A305" s="7" t="n">
        <v>301</v>
      </c>
      <c r="B305" s="9" t="s">
        <v>19</v>
      </c>
      <c r="C305" s="22" t="s">
        <v>300</v>
      </c>
      <c r="D305" s="9" t="s">
        <v>1365</v>
      </c>
      <c r="E305" s="9" t="s">
        <v>49</v>
      </c>
      <c r="F305" s="9" t="s">
        <v>99</v>
      </c>
      <c r="G305" s="22" t="s">
        <v>1366</v>
      </c>
      <c r="H305" s="9" t="s">
        <v>56</v>
      </c>
      <c r="I305" s="7"/>
      <c r="J305" s="23" t="s">
        <v>1367</v>
      </c>
      <c r="K305" s="24" t="s">
        <v>1368</v>
      </c>
      <c r="L305" s="22" t="s">
        <v>1369</v>
      </c>
      <c r="M305" s="25"/>
      <c r="N305" s="25"/>
      <c r="O305" s="26"/>
      <c r="P305" s="27"/>
      <c r="Q305" s="28"/>
      <c r="R305" s="28"/>
      <c r="S305" s="26"/>
    </row>
    <row r="306" customFormat="false" ht="15" hidden="false" customHeight="false" outlineLevel="0" collapsed="false">
      <c r="A306" s="7" t="n">
        <v>302</v>
      </c>
      <c r="B306" s="9" t="s">
        <v>19</v>
      </c>
      <c r="C306" s="22" t="s">
        <v>300</v>
      </c>
      <c r="D306" s="9" t="s">
        <v>1365</v>
      </c>
      <c r="E306" s="9" t="s">
        <v>49</v>
      </c>
      <c r="F306" s="9" t="s">
        <v>99</v>
      </c>
      <c r="G306" s="22" t="s">
        <v>1370</v>
      </c>
      <c r="H306" s="9" t="s">
        <v>57</v>
      </c>
      <c r="I306" s="7"/>
      <c r="J306" s="23" t="s">
        <v>1371</v>
      </c>
      <c r="K306" s="24" t="s">
        <v>1372</v>
      </c>
      <c r="L306" s="22" t="s">
        <v>1373</v>
      </c>
      <c r="M306" s="25"/>
      <c r="N306" s="25"/>
      <c r="O306" s="26"/>
      <c r="P306" s="27"/>
      <c r="Q306" s="28"/>
      <c r="R306" s="28"/>
      <c r="S306" s="26"/>
    </row>
    <row r="307" customFormat="false" ht="15" hidden="false" customHeight="false" outlineLevel="0" collapsed="false">
      <c r="A307" s="7" t="n">
        <v>303</v>
      </c>
      <c r="B307" s="9" t="s">
        <v>19</v>
      </c>
      <c r="C307" s="22" t="s">
        <v>300</v>
      </c>
      <c r="D307" s="9" t="s">
        <v>1374</v>
      </c>
      <c r="E307" s="9" t="s">
        <v>49</v>
      </c>
      <c r="F307" s="9" t="s">
        <v>124</v>
      </c>
      <c r="G307" s="22" t="s">
        <v>1375</v>
      </c>
      <c r="H307" s="9" t="s">
        <v>56</v>
      </c>
      <c r="I307" s="7"/>
      <c r="J307" s="23" t="s">
        <v>1376</v>
      </c>
      <c r="K307" s="24" t="s">
        <v>1377</v>
      </c>
      <c r="L307" s="22" t="s">
        <v>1378</v>
      </c>
      <c r="M307" s="25"/>
      <c r="N307" s="25"/>
      <c r="O307" s="26"/>
      <c r="P307" s="27"/>
      <c r="Q307" s="28"/>
      <c r="R307" s="28"/>
      <c r="S307" s="26"/>
    </row>
    <row r="308" customFormat="false" ht="15" hidden="false" customHeight="false" outlineLevel="0" collapsed="false">
      <c r="A308" s="7" t="n">
        <v>304</v>
      </c>
      <c r="B308" s="9" t="s">
        <v>19</v>
      </c>
      <c r="C308" s="22" t="s">
        <v>300</v>
      </c>
      <c r="D308" s="9" t="s">
        <v>1374</v>
      </c>
      <c r="E308" s="9" t="s">
        <v>49</v>
      </c>
      <c r="F308" s="9" t="s">
        <v>99</v>
      </c>
      <c r="G308" s="22" t="s">
        <v>1379</v>
      </c>
      <c r="H308" s="9" t="s">
        <v>56</v>
      </c>
      <c r="I308" s="7"/>
      <c r="J308" s="23" t="s">
        <v>1380</v>
      </c>
      <c r="K308" s="24" t="s">
        <v>1381</v>
      </c>
      <c r="L308" s="22" t="s">
        <v>1382</v>
      </c>
      <c r="M308" s="25"/>
      <c r="N308" s="25"/>
      <c r="O308" s="26"/>
      <c r="P308" s="27"/>
      <c r="Q308" s="28"/>
      <c r="R308" s="28"/>
      <c r="S308" s="26"/>
    </row>
    <row r="309" customFormat="false" ht="15" hidden="false" customHeight="false" outlineLevel="0" collapsed="false">
      <c r="A309" s="7" t="n">
        <v>305</v>
      </c>
      <c r="B309" s="9" t="s">
        <v>19</v>
      </c>
      <c r="C309" s="22" t="s">
        <v>300</v>
      </c>
      <c r="D309" s="9" t="s">
        <v>1374</v>
      </c>
      <c r="E309" s="9" t="s">
        <v>49</v>
      </c>
      <c r="F309" s="9" t="s">
        <v>99</v>
      </c>
      <c r="G309" s="22" t="s">
        <v>1383</v>
      </c>
      <c r="H309" s="9" t="s">
        <v>56</v>
      </c>
      <c r="I309" s="7"/>
      <c r="J309" s="23" t="s">
        <v>1384</v>
      </c>
      <c r="K309" s="24" t="s">
        <v>1385</v>
      </c>
      <c r="L309" s="22" t="s">
        <v>1386</v>
      </c>
      <c r="M309" s="25"/>
      <c r="N309" s="25"/>
      <c r="O309" s="26"/>
      <c r="P309" s="27"/>
      <c r="Q309" s="28"/>
      <c r="R309" s="28"/>
      <c r="S309" s="26"/>
    </row>
    <row r="310" customFormat="false" ht="15" hidden="false" customHeight="false" outlineLevel="0" collapsed="false">
      <c r="A310" s="7" t="n">
        <v>306</v>
      </c>
      <c r="B310" s="9" t="s">
        <v>19</v>
      </c>
      <c r="C310" s="22" t="s">
        <v>300</v>
      </c>
      <c r="D310" s="9" t="s">
        <v>1374</v>
      </c>
      <c r="E310" s="9" t="s">
        <v>49</v>
      </c>
      <c r="F310" s="9" t="s">
        <v>99</v>
      </c>
      <c r="G310" s="22" t="s">
        <v>1387</v>
      </c>
      <c r="H310" s="9" t="s">
        <v>56</v>
      </c>
      <c r="I310" s="7"/>
      <c r="J310" s="23" t="s">
        <v>1388</v>
      </c>
      <c r="K310" s="24" t="s">
        <v>1389</v>
      </c>
      <c r="L310" s="22" t="s">
        <v>1390</v>
      </c>
      <c r="M310" s="25"/>
      <c r="N310" s="25"/>
      <c r="O310" s="26"/>
      <c r="P310" s="27"/>
      <c r="Q310" s="28"/>
      <c r="R310" s="28"/>
      <c r="S310" s="26"/>
    </row>
    <row r="311" customFormat="false" ht="15" hidden="false" customHeight="false" outlineLevel="0" collapsed="false">
      <c r="A311" s="7" t="n">
        <v>307</v>
      </c>
      <c r="B311" s="9" t="s">
        <v>19</v>
      </c>
      <c r="C311" s="22" t="s">
        <v>300</v>
      </c>
      <c r="D311" s="9" t="s">
        <v>1374</v>
      </c>
      <c r="E311" s="9" t="s">
        <v>49</v>
      </c>
      <c r="F311" s="9" t="s">
        <v>99</v>
      </c>
      <c r="G311" s="22" t="s">
        <v>1391</v>
      </c>
      <c r="H311" s="9" t="s">
        <v>55</v>
      </c>
      <c r="I311" s="7"/>
      <c r="J311" s="23" t="s">
        <v>1392</v>
      </c>
      <c r="K311" s="24" t="s">
        <v>1393</v>
      </c>
      <c r="L311" s="22" t="s">
        <v>1394</v>
      </c>
      <c r="M311" s="25"/>
      <c r="N311" s="25"/>
      <c r="O311" s="26"/>
      <c r="P311" s="27"/>
      <c r="Q311" s="28"/>
      <c r="R311" s="28"/>
      <c r="S311" s="26"/>
    </row>
    <row r="312" customFormat="false" ht="15" hidden="false" customHeight="false" outlineLevel="0" collapsed="false">
      <c r="A312" s="7" t="n">
        <v>308</v>
      </c>
      <c r="B312" s="9" t="s">
        <v>19</v>
      </c>
      <c r="C312" s="22" t="s">
        <v>300</v>
      </c>
      <c r="D312" s="9" t="s">
        <v>1374</v>
      </c>
      <c r="E312" s="9" t="s">
        <v>49</v>
      </c>
      <c r="F312" s="9" t="s">
        <v>99</v>
      </c>
      <c r="G312" s="22" t="s">
        <v>1395</v>
      </c>
      <c r="H312" s="9" t="s">
        <v>56</v>
      </c>
      <c r="I312" s="7" t="s">
        <v>869</v>
      </c>
      <c r="J312" s="23" t="s">
        <v>1396</v>
      </c>
      <c r="K312" s="24" t="s">
        <v>1397</v>
      </c>
      <c r="L312" s="22" t="s">
        <v>1398</v>
      </c>
      <c r="M312" s="25"/>
      <c r="N312" s="25"/>
      <c r="O312" s="26"/>
      <c r="P312" s="27"/>
      <c r="Q312" s="28"/>
      <c r="R312" s="28"/>
      <c r="S312" s="26"/>
    </row>
    <row r="313" customFormat="false" ht="15" hidden="false" customHeight="false" outlineLevel="0" collapsed="false">
      <c r="A313" s="7" t="n">
        <v>309</v>
      </c>
      <c r="B313" s="9" t="s">
        <v>19</v>
      </c>
      <c r="C313" s="22" t="s">
        <v>300</v>
      </c>
      <c r="D313" s="9" t="s">
        <v>1374</v>
      </c>
      <c r="E313" s="9" t="s">
        <v>49</v>
      </c>
      <c r="F313" s="9" t="s">
        <v>99</v>
      </c>
      <c r="G313" s="22" t="s">
        <v>1399</v>
      </c>
      <c r="H313" s="9" t="s">
        <v>56</v>
      </c>
      <c r="I313" s="7"/>
      <c r="J313" s="23" t="s">
        <v>1400</v>
      </c>
      <c r="K313" s="24" t="s">
        <v>1401</v>
      </c>
      <c r="L313" s="22" t="s">
        <v>1402</v>
      </c>
      <c r="M313" s="25"/>
      <c r="N313" s="25"/>
      <c r="O313" s="26"/>
      <c r="P313" s="27"/>
      <c r="Q313" s="28"/>
      <c r="R313" s="28"/>
      <c r="S313" s="26"/>
    </row>
    <row r="314" customFormat="false" ht="15" hidden="false" customHeight="false" outlineLevel="0" collapsed="false">
      <c r="A314" s="7" t="n">
        <v>310</v>
      </c>
      <c r="B314" s="9" t="s">
        <v>19</v>
      </c>
      <c r="C314" s="22" t="s">
        <v>300</v>
      </c>
      <c r="D314" s="9" t="s">
        <v>1403</v>
      </c>
      <c r="E314" s="9" t="s">
        <v>49</v>
      </c>
      <c r="F314" s="9" t="s">
        <v>99</v>
      </c>
      <c r="G314" s="22" t="s">
        <v>1404</v>
      </c>
      <c r="H314" s="9" t="s">
        <v>56</v>
      </c>
      <c r="I314" s="7"/>
      <c r="J314" s="23" t="s">
        <v>1405</v>
      </c>
      <c r="K314" s="24" t="s">
        <v>1406</v>
      </c>
      <c r="L314" s="22" t="s">
        <v>1407</v>
      </c>
      <c r="M314" s="25"/>
      <c r="N314" s="25"/>
      <c r="O314" s="26"/>
      <c r="P314" s="27"/>
      <c r="Q314" s="28"/>
      <c r="R314" s="28"/>
      <c r="S314" s="26"/>
    </row>
    <row r="315" customFormat="false" ht="15" hidden="false" customHeight="false" outlineLevel="0" collapsed="false">
      <c r="A315" s="7" t="n">
        <v>311</v>
      </c>
      <c r="B315" s="9" t="s">
        <v>19</v>
      </c>
      <c r="C315" s="22" t="s">
        <v>300</v>
      </c>
      <c r="D315" s="9" t="s">
        <v>1403</v>
      </c>
      <c r="E315" s="9" t="s">
        <v>49</v>
      </c>
      <c r="F315" s="9" t="s">
        <v>99</v>
      </c>
      <c r="G315" s="22" t="s">
        <v>1408</v>
      </c>
      <c r="H315" s="9" t="s">
        <v>56</v>
      </c>
      <c r="I315" s="7"/>
      <c r="J315" s="23" t="s">
        <v>1409</v>
      </c>
      <c r="K315" s="24" t="s">
        <v>1410</v>
      </c>
      <c r="L315" s="22" t="s">
        <v>1411</v>
      </c>
      <c r="M315" s="25"/>
      <c r="N315" s="25"/>
      <c r="O315" s="26"/>
      <c r="P315" s="27"/>
      <c r="Q315" s="28"/>
      <c r="R315" s="28"/>
      <c r="S315" s="26"/>
    </row>
    <row r="316" customFormat="false" ht="15" hidden="false" customHeight="false" outlineLevel="0" collapsed="false">
      <c r="A316" s="7" t="n">
        <v>312</v>
      </c>
      <c r="B316" s="9" t="s">
        <v>19</v>
      </c>
      <c r="C316" s="22" t="s">
        <v>300</v>
      </c>
      <c r="D316" s="9" t="s">
        <v>1403</v>
      </c>
      <c r="E316" s="9" t="s">
        <v>49</v>
      </c>
      <c r="F316" s="9" t="s">
        <v>124</v>
      </c>
      <c r="G316" s="22" t="s">
        <v>1412</v>
      </c>
      <c r="H316" s="9" t="s">
        <v>56</v>
      </c>
      <c r="I316" s="7"/>
      <c r="J316" s="23" t="s">
        <v>1413</v>
      </c>
      <c r="K316" s="24" t="s">
        <v>1414</v>
      </c>
      <c r="L316" s="22" t="s">
        <v>1415</v>
      </c>
      <c r="M316" s="25"/>
      <c r="N316" s="25"/>
      <c r="O316" s="26"/>
      <c r="P316" s="27"/>
      <c r="Q316" s="28"/>
      <c r="R316" s="28"/>
      <c r="S316" s="26"/>
    </row>
    <row r="317" customFormat="false" ht="15" hidden="false" customHeight="false" outlineLevel="0" collapsed="false">
      <c r="A317" s="7" t="n">
        <v>313</v>
      </c>
      <c r="B317" s="9" t="s">
        <v>19</v>
      </c>
      <c r="C317" s="22" t="s">
        <v>300</v>
      </c>
      <c r="D317" s="9" t="s">
        <v>1403</v>
      </c>
      <c r="E317" s="9" t="s">
        <v>49</v>
      </c>
      <c r="F317" s="9" t="s">
        <v>99</v>
      </c>
      <c r="G317" s="22" t="s">
        <v>1416</v>
      </c>
      <c r="H317" s="9" t="s">
        <v>56</v>
      </c>
      <c r="I317" s="7"/>
      <c r="J317" s="23" t="s">
        <v>1417</v>
      </c>
      <c r="K317" s="24" t="s">
        <v>1418</v>
      </c>
      <c r="L317" s="22" t="s">
        <v>1419</v>
      </c>
      <c r="M317" s="25"/>
      <c r="N317" s="25"/>
      <c r="O317" s="26"/>
      <c r="P317" s="27"/>
      <c r="Q317" s="28"/>
      <c r="R317" s="28"/>
      <c r="S317" s="26"/>
    </row>
    <row r="318" customFormat="false" ht="15" hidden="false" customHeight="false" outlineLevel="0" collapsed="false">
      <c r="A318" s="7" t="n">
        <v>314</v>
      </c>
      <c r="B318" s="9" t="s">
        <v>19</v>
      </c>
      <c r="C318" s="22" t="s">
        <v>300</v>
      </c>
      <c r="D318" s="9" t="s">
        <v>1403</v>
      </c>
      <c r="E318" s="9" t="s">
        <v>49</v>
      </c>
      <c r="F318" s="9" t="s">
        <v>99</v>
      </c>
      <c r="G318" s="22" t="s">
        <v>1420</v>
      </c>
      <c r="H318" s="9" t="s">
        <v>56</v>
      </c>
      <c r="I318" s="7"/>
      <c r="J318" s="23" t="s">
        <v>1421</v>
      </c>
      <c r="K318" s="24" t="s">
        <v>1422</v>
      </c>
      <c r="L318" s="22" t="s">
        <v>1423</v>
      </c>
      <c r="M318" s="25"/>
      <c r="N318" s="25"/>
      <c r="O318" s="26"/>
      <c r="P318" s="27"/>
      <c r="Q318" s="28"/>
      <c r="R318" s="28"/>
      <c r="S318" s="26"/>
    </row>
    <row r="319" customFormat="false" ht="15" hidden="false" customHeight="false" outlineLevel="0" collapsed="false">
      <c r="A319" s="7" t="n">
        <v>315</v>
      </c>
      <c r="B319" s="9" t="s">
        <v>19</v>
      </c>
      <c r="C319" s="22" t="s">
        <v>300</v>
      </c>
      <c r="D319" s="9" t="s">
        <v>1403</v>
      </c>
      <c r="E319" s="9" t="s">
        <v>49</v>
      </c>
      <c r="F319" s="9" t="s">
        <v>99</v>
      </c>
      <c r="G319" s="22" t="s">
        <v>1424</v>
      </c>
      <c r="H319" s="9" t="s">
        <v>56</v>
      </c>
      <c r="I319" s="7"/>
      <c r="J319" s="23" t="s">
        <v>1425</v>
      </c>
      <c r="K319" s="24" t="s">
        <v>1426</v>
      </c>
      <c r="L319" s="22" t="s">
        <v>1427</v>
      </c>
      <c r="M319" s="25"/>
      <c r="N319" s="25"/>
      <c r="O319" s="26"/>
      <c r="P319" s="27"/>
      <c r="Q319" s="28"/>
      <c r="R319" s="28"/>
      <c r="S319" s="26"/>
    </row>
    <row r="320" customFormat="false" ht="15" hidden="false" customHeight="false" outlineLevel="0" collapsed="false">
      <c r="A320" s="7" t="n">
        <v>316</v>
      </c>
      <c r="B320" s="9" t="s">
        <v>19</v>
      </c>
      <c r="C320" s="22" t="s">
        <v>300</v>
      </c>
      <c r="D320" s="9" t="s">
        <v>1428</v>
      </c>
      <c r="E320" s="9" t="s">
        <v>49</v>
      </c>
      <c r="F320" s="9" t="s">
        <v>124</v>
      </c>
      <c r="G320" s="22" t="s">
        <v>1429</v>
      </c>
      <c r="H320" s="9" t="s">
        <v>56</v>
      </c>
      <c r="I320" s="7"/>
      <c r="J320" s="23" t="s">
        <v>1430</v>
      </c>
      <c r="K320" s="24" t="s">
        <v>1431</v>
      </c>
      <c r="L320" s="22" t="s">
        <v>1432</v>
      </c>
      <c r="M320" s="25"/>
      <c r="N320" s="25"/>
      <c r="O320" s="26"/>
      <c r="P320" s="27"/>
      <c r="Q320" s="28"/>
      <c r="R320" s="28"/>
      <c r="S320" s="26"/>
    </row>
    <row r="321" customFormat="false" ht="15" hidden="false" customHeight="false" outlineLevel="0" collapsed="false">
      <c r="A321" s="7" t="n">
        <v>317</v>
      </c>
      <c r="B321" s="9" t="s">
        <v>19</v>
      </c>
      <c r="C321" s="22" t="s">
        <v>300</v>
      </c>
      <c r="D321" s="9" t="s">
        <v>1428</v>
      </c>
      <c r="E321" s="9" t="s">
        <v>49</v>
      </c>
      <c r="F321" s="9" t="s">
        <v>99</v>
      </c>
      <c r="G321" s="22" t="s">
        <v>1433</v>
      </c>
      <c r="H321" s="9" t="s">
        <v>56</v>
      </c>
      <c r="I321" s="7"/>
      <c r="J321" s="23" t="s">
        <v>1434</v>
      </c>
      <c r="K321" s="24" t="s">
        <v>1435</v>
      </c>
      <c r="L321" s="22" t="s">
        <v>1436</v>
      </c>
      <c r="M321" s="25"/>
      <c r="N321" s="25"/>
      <c r="O321" s="26"/>
      <c r="P321" s="27"/>
      <c r="Q321" s="28"/>
      <c r="R321" s="28"/>
      <c r="S321" s="26"/>
    </row>
    <row r="322" customFormat="false" ht="15" hidden="false" customHeight="false" outlineLevel="0" collapsed="false">
      <c r="A322" s="7" t="n">
        <v>318</v>
      </c>
      <c r="B322" s="9" t="s">
        <v>19</v>
      </c>
      <c r="C322" s="22" t="s">
        <v>300</v>
      </c>
      <c r="D322" s="9" t="s">
        <v>1428</v>
      </c>
      <c r="E322" s="9" t="s">
        <v>49</v>
      </c>
      <c r="F322" s="9" t="s">
        <v>99</v>
      </c>
      <c r="G322" s="22" t="s">
        <v>1437</v>
      </c>
      <c r="H322" s="9" t="s">
        <v>56</v>
      </c>
      <c r="I322" s="7"/>
      <c r="J322" s="23" t="s">
        <v>1438</v>
      </c>
      <c r="K322" s="24" t="s">
        <v>1439</v>
      </c>
      <c r="L322" s="22" t="s">
        <v>1440</v>
      </c>
      <c r="M322" s="25"/>
      <c r="N322" s="25"/>
      <c r="O322" s="26"/>
      <c r="P322" s="27"/>
      <c r="Q322" s="28"/>
      <c r="R322" s="28"/>
      <c r="S322" s="26"/>
    </row>
    <row r="323" customFormat="false" ht="15" hidden="false" customHeight="false" outlineLevel="0" collapsed="false">
      <c r="A323" s="7" t="n">
        <v>319</v>
      </c>
      <c r="B323" s="9" t="s">
        <v>19</v>
      </c>
      <c r="C323" s="22" t="s">
        <v>300</v>
      </c>
      <c r="D323" s="9" t="s">
        <v>1428</v>
      </c>
      <c r="E323" s="9" t="s">
        <v>326</v>
      </c>
      <c r="F323" s="9" t="s">
        <v>99</v>
      </c>
      <c r="G323" s="22" t="s">
        <v>1441</v>
      </c>
      <c r="H323" s="9" t="s">
        <v>57</v>
      </c>
      <c r="I323" s="7"/>
      <c r="J323" s="23" t="s">
        <v>1442</v>
      </c>
      <c r="K323" s="24" t="s">
        <v>1443</v>
      </c>
      <c r="L323" s="22" t="s">
        <v>1444</v>
      </c>
      <c r="M323" s="25"/>
      <c r="N323" s="25"/>
      <c r="O323" s="26"/>
      <c r="P323" s="27"/>
      <c r="Q323" s="28"/>
      <c r="R323" s="28"/>
      <c r="S323" s="26"/>
    </row>
    <row r="324" customFormat="false" ht="15" hidden="false" customHeight="false" outlineLevel="0" collapsed="false">
      <c r="A324" s="7" t="n">
        <v>320</v>
      </c>
      <c r="B324" s="9" t="s">
        <v>19</v>
      </c>
      <c r="C324" s="22" t="s">
        <v>300</v>
      </c>
      <c r="D324" s="9" t="s">
        <v>1445</v>
      </c>
      <c r="E324" s="9" t="s">
        <v>49</v>
      </c>
      <c r="F324" s="9" t="s">
        <v>99</v>
      </c>
      <c r="G324" s="22" t="s">
        <v>1446</v>
      </c>
      <c r="H324" s="9" t="s">
        <v>57</v>
      </c>
      <c r="I324" s="7"/>
      <c r="J324" s="23" t="s">
        <v>1447</v>
      </c>
      <c r="K324" s="24" t="s">
        <v>1448</v>
      </c>
      <c r="L324" s="22" t="s">
        <v>1449</v>
      </c>
      <c r="M324" s="25"/>
      <c r="N324" s="25"/>
      <c r="O324" s="26"/>
      <c r="P324" s="27"/>
      <c r="Q324" s="28"/>
      <c r="R324" s="28"/>
      <c r="S324" s="26"/>
    </row>
    <row r="325" customFormat="false" ht="15" hidden="false" customHeight="false" outlineLevel="0" collapsed="false">
      <c r="A325" s="7" t="n">
        <v>321</v>
      </c>
      <c r="B325" s="9" t="s">
        <v>19</v>
      </c>
      <c r="C325" s="22" t="s">
        <v>300</v>
      </c>
      <c r="D325" s="9" t="s">
        <v>1445</v>
      </c>
      <c r="E325" s="9" t="s">
        <v>49</v>
      </c>
      <c r="F325" s="9" t="s">
        <v>99</v>
      </c>
      <c r="G325" s="22" t="s">
        <v>1450</v>
      </c>
      <c r="H325" s="9" t="s">
        <v>56</v>
      </c>
      <c r="I325" s="7"/>
      <c r="J325" s="23" t="s">
        <v>1451</v>
      </c>
      <c r="K325" s="24" t="s">
        <v>1452</v>
      </c>
      <c r="L325" s="22" t="s">
        <v>1453</v>
      </c>
      <c r="M325" s="25"/>
      <c r="N325" s="25"/>
      <c r="O325" s="26"/>
      <c r="P325" s="27"/>
      <c r="Q325" s="28"/>
      <c r="R325" s="28"/>
      <c r="S325" s="26"/>
    </row>
    <row r="326" customFormat="false" ht="15" hidden="false" customHeight="false" outlineLevel="0" collapsed="false">
      <c r="A326" s="7" t="n">
        <v>322</v>
      </c>
      <c r="B326" s="9" t="s">
        <v>19</v>
      </c>
      <c r="C326" s="22" t="s">
        <v>300</v>
      </c>
      <c r="D326" s="9" t="s">
        <v>1445</v>
      </c>
      <c r="E326" s="9" t="s">
        <v>49</v>
      </c>
      <c r="F326" s="9" t="s">
        <v>99</v>
      </c>
      <c r="G326" s="22" t="s">
        <v>1454</v>
      </c>
      <c r="H326" s="9" t="s">
        <v>56</v>
      </c>
      <c r="I326" s="7"/>
      <c r="J326" s="23" t="s">
        <v>1455</v>
      </c>
      <c r="K326" s="24" t="s">
        <v>1456</v>
      </c>
      <c r="L326" s="22" t="s">
        <v>1457</v>
      </c>
      <c r="M326" s="25"/>
      <c r="N326" s="25"/>
      <c r="O326" s="26"/>
      <c r="P326" s="27"/>
      <c r="Q326" s="28"/>
      <c r="R326" s="28"/>
      <c r="S326" s="26"/>
    </row>
    <row r="327" customFormat="false" ht="15" hidden="false" customHeight="false" outlineLevel="0" collapsed="false">
      <c r="A327" s="7" t="n">
        <v>323</v>
      </c>
      <c r="B327" s="9" t="s">
        <v>19</v>
      </c>
      <c r="C327" s="22" t="s">
        <v>300</v>
      </c>
      <c r="D327" s="9" t="s">
        <v>1458</v>
      </c>
      <c r="E327" s="9" t="s">
        <v>49</v>
      </c>
      <c r="F327" s="9" t="s">
        <v>99</v>
      </c>
      <c r="G327" s="22" t="s">
        <v>1459</v>
      </c>
      <c r="H327" s="9" t="s">
        <v>56</v>
      </c>
      <c r="I327" s="7"/>
      <c r="J327" s="23" t="s">
        <v>1460</v>
      </c>
      <c r="K327" s="24" t="s">
        <v>1461</v>
      </c>
      <c r="L327" s="22" t="s">
        <v>1462</v>
      </c>
      <c r="M327" s="25"/>
      <c r="N327" s="25"/>
      <c r="O327" s="26"/>
      <c r="P327" s="27"/>
      <c r="Q327" s="28"/>
      <c r="R327" s="28"/>
      <c r="S327" s="26"/>
    </row>
    <row r="328" customFormat="false" ht="15" hidden="false" customHeight="false" outlineLevel="0" collapsed="false">
      <c r="A328" s="7" t="n">
        <v>324</v>
      </c>
      <c r="B328" s="9" t="s">
        <v>19</v>
      </c>
      <c r="C328" s="22" t="s">
        <v>300</v>
      </c>
      <c r="D328" s="9" t="s">
        <v>1458</v>
      </c>
      <c r="E328" s="9" t="s">
        <v>49</v>
      </c>
      <c r="F328" s="9" t="s">
        <v>99</v>
      </c>
      <c r="G328" s="22" t="s">
        <v>1463</v>
      </c>
      <c r="H328" s="9" t="s">
        <v>55</v>
      </c>
      <c r="I328" s="7"/>
      <c r="J328" s="23" t="s">
        <v>1464</v>
      </c>
      <c r="K328" s="24" t="s">
        <v>1465</v>
      </c>
      <c r="L328" s="22" t="s">
        <v>1466</v>
      </c>
      <c r="M328" s="25"/>
      <c r="N328" s="25"/>
      <c r="O328" s="26"/>
      <c r="P328" s="27"/>
      <c r="Q328" s="28"/>
      <c r="R328" s="28"/>
      <c r="S328" s="26"/>
    </row>
    <row r="329" customFormat="false" ht="15" hidden="false" customHeight="false" outlineLevel="0" collapsed="false">
      <c r="A329" s="7" t="n">
        <v>325</v>
      </c>
      <c r="B329" s="9" t="s">
        <v>19</v>
      </c>
      <c r="C329" s="22" t="s">
        <v>562</v>
      </c>
      <c r="D329" s="9" t="s">
        <v>1365</v>
      </c>
      <c r="E329" s="9" t="s">
        <v>47</v>
      </c>
      <c r="F329" s="9" t="s">
        <v>99</v>
      </c>
      <c r="G329" s="22" t="s">
        <v>1467</v>
      </c>
      <c r="H329" s="9" t="s">
        <v>57</v>
      </c>
      <c r="I329" s="7"/>
      <c r="J329" s="23" t="s">
        <v>1468</v>
      </c>
      <c r="K329" s="24" t="s">
        <v>1469</v>
      </c>
      <c r="L329" s="22" t="s">
        <v>1470</v>
      </c>
      <c r="M329" s="25"/>
      <c r="N329" s="25"/>
      <c r="O329" s="26"/>
      <c r="P329" s="27"/>
      <c r="Q329" s="28"/>
      <c r="R329" s="28"/>
      <c r="S329" s="26"/>
    </row>
    <row r="330" customFormat="false" ht="15" hidden="false" customHeight="false" outlineLevel="0" collapsed="false">
      <c r="A330" s="7" t="n">
        <v>326</v>
      </c>
      <c r="B330" s="9" t="s">
        <v>19</v>
      </c>
      <c r="C330" s="22" t="s">
        <v>562</v>
      </c>
      <c r="D330" s="9" t="s">
        <v>1365</v>
      </c>
      <c r="E330" s="9" t="s">
        <v>47</v>
      </c>
      <c r="F330" s="9" t="s">
        <v>99</v>
      </c>
      <c r="G330" s="22" t="s">
        <v>1471</v>
      </c>
      <c r="H330" s="9" t="s">
        <v>56</v>
      </c>
      <c r="I330" s="7"/>
      <c r="J330" s="23" t="s">
        <v>1472</v>
      </c>
      <c r="K330" s="24" t="s">
        <v>1473</v>
      </c>
      <c r="L330" s="22" t="s">
        <v>1474</v>
      </c>
      <c r="M330" s="25"/>
      <c r="N330" s="25"/>
      <c r="O330" s="26"/>
      <c r="P330" s="27"/>
      <c r="Q330" s="28"/>
      <c r="R330" s="28"/>
      <c r="S330" s="26"/>
    </row>
    <row r="331" customFormat="false" ht="15" hidden="false" customHeight="false" outlineLevel="0" collapsed="false">
      <c r="A331" s="7" t="n">
        <v>327</v>
      </c>
      <c r="B331" s="9" t="s">
        <v>19</v>
      </c>
      <c r="C331" s="22" t="s">
        <v>562</v>
      </c>
      <c r="D331" s="9" t="s">
        <v>1365</v>
      </c>
      <c r="E331" s="9" t="s">
        <v>47</v>
      </c>
      <c r="F331" s="9" t="s">
        <v>99</v>
      </c>
      <c r="G331" s="22" t="s">
        <v>1475</v>
      </c>
      <c r="H331" s="9" t="s">
        <v>56</v>
      </c>
      <c r="I331" s="7"/>
      <c r="J331" s="23" t="s">
        <v>1476</v>
      </c>
      <c r="K331" s="24" t="s">
        <v>1477</v>
      </c>
      <c r="L331" s="22" t="s">
        <v>1478</v>
      </c>
      <c r="M331" s="25"/>
      <c r="N331" s="25"/>
      <c r="O331" s="26"/>
      <c r="P331" s="27"/>
      <c r="Q331" s="28"/>
      <c r="R331" s="28"/>
      <c r="S331" s="26"/>
    </row>
    <row r="332" customFormat="false" ht="15" hidden="false" customHeight="false" outlineLevel="0" collapsed="false">
      <c r="A332" s="7" t="n">
        <v>328</v>
      </c>
      <c r="B332" s="9" t="s">
        <v>19</v>
      </c>
      <c r="C332" s="22" t="s">
        <v>562</v>
      </c>
      <c r="D332" s="9" t="s">
        <v>1365</v>
      </c>
      <c r="E332" s="9" t="s">
        <v>47</v>
      </c>
      <c r="F332" s="9" t="s">
        <v>99</v>
      </c>
      <c r="G332" s="22" t="s">
        <v>1479</v>
      </c>
      <c r="H332" s="9" t="s">
        <v>57</v>
      </c>
      <c r="I332" s="7"/>
      <c r="J332" s="23" t="s">
        <v>1480</v>
      </c>
      <c r="K332" s="24" t="s">
        <v>1481</v>
      </c>
      <c r="L332" s="22" t="s">
        <v>1482</v>
      </c>
      <c r="M332" s="25"/>
      <c r="N332" s="25"/>
      <c r="O332" s="26"/>
      <c r="P332" s="27"/>
      <c r="Q332" s="28"/>
      <c r="R332" s="28"/>
      <c r="S332" s="26"/>
    </row>
    <row r="333" customFormat="false" ht="15" hidden="false" customHeight="false" outlineLevel="0" collapsed="false">
      <c r="A333" s="7" t="n">
        <v>329</v>
      </c>
      <c r="B333" s="9" t="s">
        <v>19</v>
      </c>
      <c r="C333" s="22" t="s">
        <v>562</v>
      </c>
      <c r="D333" s="9" t="s">
        <v>1365</v>
      </c>
      <c r="E333" s="9" t="s">
        <v>47</v>
      </c>
      <c r="F333" s="9" t="s">
        <v>99</v>
      </c>
      <c r="G333" s="22" t="s">
        <v>1483</v>
      </c>
      <c r="H333" s="9" t="s">
        <v>56</v>
      </c>
      <c r="I333" s="7"/>
      <c r="J333" s="23" t="s">
        <v>1484</v>
      </c>
      <c r="K333" s="24" t="s">
        <v>1485</v>
      </c>
      <c r="L333" s="22" t="s">
        <v>1486</v>
      </c>
      <c r="M333" s="25"/>
      <c r="N333" s="25"/>
      <c r="O333" s="26"/>
      <c r="P333" s="27"/>
      <c r="Q333" s="28"/>
      <c r="R333" s="28"/>
      <c r="S333" s="26"/>
    </row>
    <row r="334" customFormat="false" ht="15" hidden="false" customHeight="false" outlineLevel="0" collapsed="false">
      <c r="A334" s="7" t="n">
        <v>330</v>
      </c>
      <c r="B334" s="9" t="s">
        <v>19</v>
      </c>
      <c r="C334" s="22" t="s">
        <v>562</v>
      </c>
      <c r="D334" s="9" t="s">
        <v>1365</v>
      </c>
      <c r="E334" s="9" t="s">
        <v>48</v>
      </c>
      <c r="F334" s="9" t="s">
        <v>99</v>
      </c>
      <c r="G334" s="22" t="s">
        <v>1487</v>
      </c>
      <c r="H334" s="9" t="s">
        <v>56</v>
      </c>
      <c r="I334" s="7"/>
      <c r="J334" s="23" t="s">
        <v>1488</v>
      </c>
      <c r="K334" s="24" t="s">
        <v>1489</v>
      </c>
      <c r="L334" s="22" t="s">
        <v>1490</v>
      </c>
      <c r="M334" s="25"/>
      <c r="N334" s="25"/>
      <c r="O334" s="26"/>
      <c r="P334" s="27"/>
      <c r="Q334" s="28"/>
      <c r="R334" s="28"/>
      <c r="S334" s="26"/>
    </row>
    <row r="335" customFormat="false" ht="15" hidden="false" customHeight="false" outlineLevel="0" collapsed="false">
      <c r="A335" s="7" t="n">
        <v>331</v>
      </c>
      <c r="B335" s="9" t="s">
        <v>19</v>
      </c>
      <c r="C335" s="22" t="s">
        <v>562</v>
      </c>
      <c r="D335" s="9" t="s">
        <v>1365</v>
      </c>
      <c r="E335" s="9" t="s">
        <v>48</v>
      </c>
      <c r="F335" s="9" t="s">
        <v>124</v>
      </c>
      <c r="G335" s="22" t="s">
        <v>1491</v>
      </c>
      <c r="H335" s="9" t="s">
        <v>56</v>
      </c>
      <c r="I335" s="7"/>
      <c r="J335" s="23" t="s">
        <v>1492</v>
      </c>
      <c r="K335" s="24" t="s">
        <v>1493</v>
      </c>
      <c r="L335" s="22" t="s">
        <v>1494</v>
      </c>
      <c r="M335" s="25"/>
      <c r="N335" s="25"/>
      <c r="O335" s="26"/>
      <c r="P335" s="27"/>
      <c r="Q335" s="28"/>
      <c r="R335" s="28"/>
      <c r="S335" s="26"/>
    </row>
    <row r="336" customFormat="false" ht="15" hidden="false" customHeight="false" outlineLevel="0" collapsed="false">
      <c r="A336" s="7" t="n">
        <v>332</v>
      </c>
      <c r="B336" s="9" t="s">
        <v>19</v>
      </c>
      <c r="C336" s="22" t="s">
        <v>562</v>
      </c>
      <c r="D336" s="9" t="s">
        <v>1445</v>
      </c>
      <c r="E336" s="9" t="s">
        <v>47</v>
      </c>
      <c r="F336" s="9" t="s">
        <v>99</v>
      </c>
      <c r="G336" s="22" t="s">
        <v>1495</v>
      </c>
      <c r="H336" s="9" t="s">
        <v>57</v>
      </c>
      <c r="I336" s="7"/>
      <c r="J336" s="23" t="s">
        <v>1496</v>
      </c>
      <c r="K336" s="24" t="s">
        <v>1497</v>
      </c>
      <c r="L336" s="22" t="s">
        <v>1498</v>
      </c>
      <c r="M336" s="25"/>
      <c r="N336" s="25"/>
      <c r="O336" s="26"/>
      <c r="P336" s="27"/>
      <c r="Q336" s="28"/>
      <c r="R336" s="28"/>
      <c r="S336" s="26"/>
    </row>
    <row r="337" customFormat="false" ht="15" hidden="false" customHeight="false" outlineLevel="0" collapsed="false">
      <c r="A337" s="7" t="n">
        <v>333</v>
      </c>
      <c r="B337" s="9" t="s">
        <v>19</v>
      </c>
      <c r="C337" s="22" t="s">
        <v>562</v>
      </c>
      <c r="D337" s="9" t="s">
        <v>1445</v>
      </c>
      <c r="E337" s="9" t="s">
        <v>47</v>
      </c>
      <c r="F337" s="9" t="s">
        <v>99</v>
      </c>
      <c r="G337" s="22" t="s">
        <v>1499</v>
      </c>
      <c r="H337" s="9" t="s">
        <v>56</v>
      </c>
      <c r="I337" s="7"/>
      <c r="J337" s="23" t="s">
        <v>1500</v>
      </c>
      <c r="K337" s="24" t="s">
        <v>1501</v>
      </c>
      <c r="L337" s="22" t="s">
        <v>1502</v>
      </c>
      <c r="M337" s="25"/>
      <c r="N337" s="25"/>
      <c r="O337" s="26"/>
      <c r="P337" s="27"/>
      <c r="Q337" s="28"/>
      <c r="R337" s="28"/>
      <c r="S337" s="26"/>
    </row>
    <row r="338" customFormat="false" ht="15" hidden="false" customHeight="false" outlineLevel="0" collapsed="false">
      <c r="A338" s="7" t="n">
        <v>334</v>
      </c>
      <c r="B338" s="9" t="s">
        <v>19</v>
      </c>
      <c r="C338" s="22" t="s">
        <v>562</v>
      </c>
      <c r="D338" s="9" t="s">
        <v>1445</v>
      </c>
      <c r="E338" s="9" t="s">
        <v>48</v>
      </c>
      <c r="F338" s="9" t="s">
        <v>99</v>
      </c>
      <c r="G338" s="22" t="s">
        <v>1503</v>
      </c>
      <c r="H338" s="9" t="s">
        <v>56</v>
      </c>
      <c r="I338" s="7"/>
      <c r="J338" s="23" t="s">
        <v>1504</v>
      </c>
      <c r="K338" s="24" t="s">
        <v>1505</v>
      </c>
      <c r="L338" s="22" t="s">
        <v>1506</v>
      </c>
      <c r="M338" s="25"/>
      <c r="N338" s="25"/>
      <c r="O338" s="26"/>
      <c r="P338" s="27"/>
      <c r="Q338" s="28"/>
      <c r="R338" s="28"/>
      <c r="S338" s="26"/>
    </row>
    <row r="339" customFormat="false" ht="15" hidden="false" customHeight="false" outlineLevel="0" collapsed="false">
      <c r="A339" s="7" t="n">
        <v>335</v>
      </c>
      <c r="B339" s="9" t="s">
        <v>19</v>
      </c>
      <c r="C339" s="22" t="s">
        <v>562</v>
      </c>
      <c r="D339" s="9" t="s">
        <v>1445</v>
      </c>
      <c r="E339" s="9" t="s">
        <v>48</v>
      </c>
      <c r="F339" s="9" t="s">
        <v>99</v>
      </c>
      <c r="G339" s="22" t="s">
        <v>1507</v>
      </c>
      <c r="H339" s="9" t="s">
        <v>55</v>
      </c>
      <c r="I339" s="7"/>
      <c r="J339" s="23" t="s">
        <v>1508</v>
      </c>
      <c r="K339" s="24" t="s">
        <v>1509</v>
      </c>
      <c r="L339" s="22" t="s">
        <v>1510</v>
      </c>
      <c r="M339" s="25"/>
      <c r="N339" s="25"/>
      <c r="O339" s="26"/>
      <c r="P339" s="27"/>
      <c r="Q339" s="28"/>
      <c r="R339" s="28"/>
      <c r="S339" s="26"/>
    </row>
    <row r="340" customFormat="false" ht="15" hidden="false" customHeight="false" outlineLevel="0" collapsed="false">
      <c r="A340" s="7" t="n">
        <v>336</v>
      </c>
      <c r="B340" s="9" t="s">
        <v>19</v>
      </c>
      <c r="C340" s="22" t="s">
        <v>562</v>
      </c>
      <c r="D340" s="9" t="s">
        <v>1445</v>
      </c>
      <c r="E340" s="9" t="s">
        <v>48</v>
      </c>
      <c r="F340" s="9" t="s">
        <v>99</v>
      </c>
      <c r="G340" s="22" t="s">
        <v>1511</v>
      </c>
      <c r="H340" s="9" t="s">
        <v>57</v>
      </c>
      <c r="I340" s="7"/>
      <c r="J340" s="23" t="s">
        <v>1512</v>
      </c>
      <c r="K340" s="24" t="s">
        <v>1513</v>
      </c>
      <c r="L340" s="22" t="s">
        <v>1514</v>
      </c>
      <c r="M340" s="25"/>
      <c r="N340" s="25"/>
      <c r="O340" s="26"/>
      <c r="P340" s="27"/>
      <c r="Q340" s="28"/>
      <c r="R340" s="28"/>
      <c r="S340" s="26"/>
    </row>
    <row r="341" customFormat="false" ht="15" hidden="false" customHeight="false" outlineLevel="0" collapsed="false">
      <c r="A341" s="7" t="n">
        <v>337</v>
      </c>
      <c r="B341" s="9" t="s">
        <v>19</v>
      </c>
      <c r="C341" s="22" t="s">
        <v>562</v>
      </c>
      <c r="D341" s="9" t="s">
        <v>1515</v>
      </c>
      <c r="E341" s="9" t="s">
        <v>48</v>
      </c>
      <c r="F341" s="9" t="s">
        <v>99</v>
      </c>
      <c r="G341" s="22" t="s">
        <v>1516</v>
      </c>
      <c r="H341" s="9" t="s">
        <v>56</v>
      </c>
      <c r="I341" s="7"/>
      <c r="J341" s="23" t="s">
        <v>1517</v>
      </c>
      <c r="K341" s="24" t="s">
        <v>1518</v>
      </c>
      <c r="L341" s="22" t="s">
        <v>1519</v>
      </c>
      <c r="M341" s="25"/>
      <c r="N341" s="25"/>
      <c r="O341" s="26"/>
      <c r="P341" s="27"/>
      <c r="Q341" s="28"/>
      <c r="R341" s="28"/>
      <c r="S341" s="26"/>
    </row>
    <row r="342" customFormat="false" ht="15" hidden="false" customHeight="false" outlineLevel="0" collapsed="false">
      <c r="A342" s="7" t="n">
        <v>338</v>
      </c>
      <c r="B342" s="9" t="s">
        <v>19</v>
      </c>
      <c r="C342" s="22" t="s">
        <v>562</v>
      </c>
      <c r="D342" s="9" t="s">
        <v>1458</v>
      </c>
      <c r="E342" s="9" t="s">
        <v>47</v>
      </c>
      <c r="F342" s="9" t="s">
        <v>124</v>
      </c>
      <c r="G342" s="22" t="s">
        <v>1520</v>
      </c>
      <c r="H342" s="9" t="s">
        <v>56</v>
      </c>
      <c r="I342" s="7"/>
      <c r="J342" s="23" t="s">
        <v>1521</v>
      </c>
      <c r="K342" s="24" t="s">
        <v>1522</v>
      </c>
      <c r="L342" s="22" t="s">
        <v>1523</v>
      </c>
      <c r="M342" s="25"/>
      <c r="N342" s="25"/>
      <c r="O342" s="26"/>
      <c r="P342" s="27"/>
      <c r="Q342" s="28"/>
      <c r="R342" s="28"/>
      <c r="S342" s="26"/>
    </row>
    <row r="343" customFormat="false" ht="15" hidden="false" customHeight="false" outlineLevel="0" collapsed="false">
      <c r="A343" s="7" t="n">
        <v>339</v>
      </c>
      <c r="B343" s="9" t="s">
        <v>19</v>
      </c>
      <c r="C343" s="22" t="s">
        <v>562</v>
      </c>
      <c r="D343" s="9" t="s">
        <v>1458</v>
      </c>
      <c r="E343" s="9" t="s">
        <v>48</v>
      </c>
      <c r="F343" s="9" t="s">
        <v>124</v>
      </c>
      <c r="G343" s="22" t="s">
        <v>1524</v>
      </c>
      <c r="H343" s="9" t="s">
        <v>56</v>
      </c>
      <c r="I343" s="7"/>
      <c r="J343" s="23" t="s">
        <v>1525</v>
      </c>
      <c r="K343" s="24" t="s">
        <v>1526</v>
      </c>
      <c r="L343" s="22" t="s">
        <v>1527</v>
      </c>
      <c r="M343" s="25"/>
      <c r="N343" s="25"/>
      <c r="O343" s="26"/>
      <c r="P343" s="27"/>
      <c r="Q343" s="28"/>
      <c r="R343" s="28"/>
      <c r="S343" s="26"/>
    </row>
    <row r="344" customFormat="false" ht="15" hidden="false" customHeight="false" outlineLevel="0" collapsed="false">
      <c r="A344" s="7" t="n">
        <v>340</v>
      </c>
      <c r="B344" s="9" t="s">
        <v>19</v>
      </c>
      <c r="C344" s="22" t="s">
        <v>562</v>
      </c>
      <c r="D344" s="9" t="s">
        <v>1458</v>
      </c>
      <c r="E344" s="9" t="s">
        <v>48</v>
      </c>
      <c r="F344" s="9" t="s">
        <v>124</v>
      </c>
      <c r="G344" s="22" t="s">
        <v>1528</v>
      </c>
      <c r="H344" s="9" t="s">
        <v>56</v>
      </c>
      <c r="I344" s="7"/>
      <c r="J344" s="23" t="s">
        <v>1529</v>
      </c>
      <c r="K344" s="24" t="s">
        <v>1530</v>
      </c>
      <c r="L344" s="22" t="s">
        <v>1531</v>
      </c>
      <c r="M344" s="25"/>
      <c r="N344" s="25"/>
      <c r="O344" s="26"/>
      <c r="P344" s="27"/>
      <c r="Q344" s="28"/>
      <c r="R344" s="28"/>
      <c r="S344" s="26"/>
    </row>
    <row r="345" customFormat="false" ht="15" hidden="false" customHeight="false" outlineLevel="0" collapsed="false">
      <c r="A345" s="7" t="n">
        <v>341</v>
      </c>
      <c r="B345" s="9" t="s">
        <v>19</v>
      </c>
      <c r="C345" s="22" t="s">
        <v>562</v>
      </c>
      <c r="D345" s="9" t="s">
        <v>1458</v>
      </c>
      <c r="E345" s="9" t="s">
        <v>48</v>
      </c>
      <c r="F345" s="9" t="s">
        <v>99</v>
      </c>
      <c r="G345" s="22" t="s">
        <v>1532</v>
      </c>
      <c r="H345" s="9" t="s">
        <v>57</v>
      </c>
      <c r="I345" s="7"/>
      <c r="J345" s="23" t="s">
        <v>1533</v>
      </c>
      <c r="K345" s="24" t="s">
        <v>1534</v>
      </c>
      <c r="L345" s="22" t="s">
        <v>1535</v>
      </c>
      <c r="M345" s="25"/>
      <c r="N345" s="25"/>
      <c r="O345" s="26"/>
      <c r="P345" s="27"/>
      <c r="Q345" s="28"/>
      <c r="R345" s="28"/>
      <c r="S345" s="26"/>
    </row>
    <row r="346" customFormat="false" ht="15" hidden="false" customHeight="false" outlineLevel="0" collapsed="false">
      <c r="A346" s="7" t="n">
        <v>342</v>
      </c>
      <c r="B346" s="9" t="s">
        <v>19</v>
      </c>
      <c r="C346" s="22" t="s">
        <v>562</v>
      </c>
      <c r="D346" s="9" t="s">
        <v>1458</v>
      </c>
      <c r="E346" s="9" t="s">
        <v>48</v>
      </c>
      <c r="F346" s="9" t="s">
        <v>99</v>
      </c>
      <c r="G346" s="22" t="s">
        <v>1536</v>
      </c>
      <c r="H346" s="9" t="s">
        <v>56</v>
      </c>
      <c r="I346" s="7"/>
      <c r="J346" s="23" t="s">
        <v>1537</v>
      </c>
      <c r="K346" s="24" t="s">
        <v>1538</v>
      </c>
      <c r="L346" s="22" t="s">
        <v>1539</v>
      </c>
      <c r="M346" s="25"/>
      <c r="N346" s="25"/>
      <c r="O346" s="26"/>
      <c r="P346" s="27"/>
      <c r="Q346" s="28"/>
      <c r="R346" s="28"/>
      <c r="S346" s="26"/>
    </row>
    <row r="347" customFormat="false" ht="15" hidden="false" customHeight="false" outlineLevel="0" collapsed="false">
      <c r="A347" s="7" t="n">
        <v>343</v>
      </c>
      <c r="B347" s="9" t="s">
        <v>19</v>
      </c>
      <c r="C347" s="22" t="s">
        <v>611</v>
      </c>
      <c r="D347" s="9" t="s">
        <v>1344</v>
      </c>
      <c r="E347" s="9" t="s">
        <v>47</v>
      </c>
      <c r="F347" s="9" t="s">
        <v>99</v>
      </c>
      <c r="G347" s="22" t="s">
        <v>1540</v>
      </c>
      <c r="H347" s="9" t="s">
        <v>56</v>
      </c>
      <c r="I347" s="7"/>
      <c r="J347" s="23" t="s">
        <v>1541</v>
      </c>
      <c r="K347" s="24" t="s">
        <v>1542</v>
      </c>
      <c r="L347" s="22" t="s">
        <v>1543</v>
      </c>
      <c r="M347" s="25"/>
      <c r="N347" s="25"/>
      <c r="O347" s="26"/>
      <c r="P347" s="27"/>
      <c r="Q347" s="28"/>
      <c r="R347" s="28"/>
      <c r="S347" s="26"/>
    </row>
    <row r="348" customFormat="false" ht="15" hidden="false" customHeight="false" outlineLevel="0" collapsed="false">
      <c r="A348" s="7" t="n">
        <v>344</v>
      </c>
      <c r="B348" s="9" t="s">
        <v>19</v>
      </c>
      <c r="C348" s="22" t="s">
        <v>611</v>
      </c>
      <c r="D348" s="9" t="s">
        <v>1344</v>
      </c>
      <c r="E348" s="9" t="s">
        <v>47</v>
      </c>
      <c r="F348" s="9" t="s">
        <v>99</v>
      </c>
      <c r="G348" s="22" t="s">
        <v>1544</v>
      </c>
      <c r="H348" s="9" t="s">
        <v>56</v>
      </c>
      <c r="I348" s="7"/>
      <c r="J348" s="23" t="s">
        <v>1545</v>
      </c>
      <c r="K348" s="24" t="s">
        <v>1546</v>
      </c>
      <c r="L348" s="22" t="s">
        <v>1547</v>
      </c>
      <c r="M348" s="25"/>
      <c r="N348" s="25"/>
      <c r="O348" s="26"/>
      <c r="P348" s="27"/>
      <c r="Q348" s="28"/>
      <c r="R348" s="28"/>
      <c r="S348" s="26"/>
    </row>
    <row r="349" customFormat="false" ht="15" hidden="false" customHeight="false" outlineLevel="0" collapsed="false">
      <c r="A349" s="7" t="n">
        <v>345</v>
      </c>
      <c r="B349" s="9" t="s">
        <v>19</v>
      </c>
      <c r="C349" s="22" t="s">
        <v>611</v>
      </c>
      <c r="D349" s="9" t="s">
        <v>1344</v>
      </c>
      <c r="E349" s="9" t="s">
        <v>47</v>
      </c>
      <c r="F349" s="9" t="s">
        <v>99</v>
      </c>
      <c r="G349" s="22" t="s">
        <v>1548</v>
      </c>
      <c r="H349" s="9" t="s">
        <v>57</v>
      </c>
      <c r="I349" s="7"/>
      <c r="J349" s="23" t="s">
        <v>1549</v>
      </c>
      <c r="K349" s="24" t="s">
        <v>1550</v>
      </c>
      <c r="L349" s="22" t="s">
        <v>1551</v>
      </c>
      <c r="M349" s="25"/>
      <c r="N349" s="25"/>
      <c r="O349" s="26"/>
      <c r="P349" s="27"/>
      <c r="Q349" s="28"/>
      <c r="R349" s="28"/>
      <c r="S349" s="26"/>
    </row>
    <row r="350" customFormat="false" ht="15" hidden="false" customHeight="false" outlineLevel="0" collapsed="false">
      <c r="A350" s="7" t="n">
        <v>346</v>
      </c>
      <c r="B350" s="9" t="s">
        <v>19</v>
      </c>
      <c r="C350" s="22" t="s">
        <v>611</v>
      </c>
      <c r="D350" s="9" t="s">
        <v>1344</v>
      </c>
      <c r="E350" s="9" t="s">
        <v>47</v>
      </c>
      <c r="F350" s="9" t="s">
        <v>99</v>
      </c>
      <c r="G350" s="22" t="s">
        <v>1552</v>
      </c>
      <c r="H350" s="9" t="s">
        <v>56</v>
      </c>
      <c r="I350" s="7"/>
      <c r="J350" s="23" t="s">
        <v>1553</v>
      </c>
      <c r="K350" s="24" t="s">
        <v>1554</v>
      </c>
      <c r="L350" s="22" t="s">
        <v>1555</v>
      </c>
      <c r="M350" s="25"/>
      <c r="N350" s="25"/>
      <c r="O350" s="26"/>
      <c r="P350" s="27"/>
      <c r="Q350" s="28"/>
      <c r="R350" s="28"/>
      <c r="S350" s="26"/>
    </row>
    <row r="351" customFormat="false" ht="15" hidden="false" customHeight="false" outlineLevel="0" collapsed="false">
      <c r="A351" s="7" t="n">
        <v>347</v>
      </c>
      <c r="B351" s="9" t="s">
        <v>19</v>
      </c>
      <c r="C351" s="22" t="s">
        <v>611</v>
      </c>
      <c r="D351" s="9" t="s">
        <v>1344</v>
      </c>
      <c r="E351" s="9" t="s">
        <v>48</v>
      </c>
      <c r="F351" s="9" t="s">
        <v>99</v>
      </c>
      <c r="G351" s="22" t="s">
        <v>1556</v>
      </c>
      <c r="H351" s="9" t="s">
        <v>57</v>
      </c>
      <c r="I351" s="7"/>
      <c r="J351" s="23" t="s">
        <v>1557</v>
      </c>
      <c r="K351" s="24" t="s">
        <v>1558</v>
      </c>
      <c r="L351" s="22" t="s">
        <v>1559</v>
      </c>
      <c r="M351" s="25"/>
      <c r="N351" s="25"/>
      <c r="O351" s="26"/>
      <c r="P351" s="27"/>
      <c r="Q351" s="28"/>
      <c r="R351" s="28"/>
      <c r="S351" s="26"/>
    </row>
    <row r="352" customFormat="false" ht="15" hidden="false" customHeight="false" outlineLevel="0" collapsed="false">
      <c r="A352" s="7" t="n">
        <v>348</v>
      </c>
      <c r="B352" s="9" t="s">
        <v>19</v>
      </c>
      <c r="C352" s="22" t="s">
        <v>611</v>
      </c>
      <c r="D352" s="9" t="s">
        <v>1344</v>
      </c>
      <c r="E352" s="9" t="s">
        <v>48</v>
      </c>
      <c r="F352" s="9" t="s">
        <v>99</v>
      </c>
      <c r="G352" s="22" t="s">
        <v>1560</v>
      </c>
      <c r="H352" s="9" t="s">
        <v>56</v>
      </c>
      <c r="I352" s="7"/>
      <c r="J352" s="23" t="s">
        <v>1561</v>
      </c>
      <c r="K352" s="24" t="s">
        <v>1562</v>
      </c>
      <c r="L352" s="22" t="s">
        <v>1563</v>
      </c>
      <c r="M352" s="25"/>
      <c r="N352" s="25"/>
      <c r="O352" s="26"/>
      <c r="P352" s="27"/>
      <c r="Q352" s="28"/>
      <c r="R352" s="28"/>
      <c r="S352" s="26"/>
    </row>
    <row r="353" customFormat="false" ht="15" hidden="false" customHeight="false" outlineLevel="0" collapsed="false">
      <c r="A353" s="7" t="n">
        <v>349</v>
      </c>
      <c r="B353" s="9" t="s">
        <v>19</v>
      </c>
      <c r="C353" s="22" t="s">
        <v>611</v>
      </c>
      <c r="D353" s="9" t="s">
        <v>1344</v>
      </c>
      <c r="E353" s="9" t="s">
        <v>48</v>
      </c>
      <c r="F353" s="9" t="s">
        <v>99</v>
      </c>
      <c r="G353" s="22" t="s">
        <v>1564</v>
      </c>
      <c r="H353" s="9" t="s">
        <v>56</v>
      </c>
      <c r="I353" s="7"/>
      <c r="J353" s="23" t="s">
        <v>1565</v>
      </c>
      <c r="K353" s="24" t="s">
        <v>1566</v>
      </c>
      <c r="L353" s="22" t="s">
        <v>1567</v>
      </c>
      <c r="M353" s="25"/>
      <c r="N353" s="25"/>
      <c r="O353" s="26"/>
      <c r="P353" s="27"/>
      <c r="Q353" s="28"/>
      <c r="R353" s="28"/>
      <c r="S353" s="26"/>
    </row>
    <row r="354" customFormat="false" ht="15" hidden="false" customHeight="false" outlineLevel="0" collapsed="false">
      <c r="A354" s="7" t="n">
        <v>350</v>
      </c>
      <c r="B354" s="9" t="s">
        <v>19</v>
      </c>
      <c r="C354" s="22" t="s">
        <v>611</v>
      </c>
      <c r="D354" s="9" t="s">
        <v>1428</v>
      </c>
      <c r="E354" s="9" t="s">
        <v>47</v>
      </c>
      <c r="F354" s="9" t="s">
        <v>99</v>
      </c>
      <c r="G354" s="22" t="s">
        <v>1568</v>
      </c>
      <c r="H354" s="9" t="s">
        <v>56</v>
      </c>
      <c r="I354" s="7"/>
      <c r="J354" s="23" t="s">
        <v>1569</v>
      </c>
      <c r="K354" s="24" t="s">
        <v>1570</v>
      </c>
      <c r="L354" s="22" t="s">
        <v>1571</v>
      </c>
      <c r="M354" s="25"/>
      <c r="N354" s="25"/>
      <c r="O354" s="26"/>
      <c r="P354" s="27"/>
      <c r="Q354" s="28"/>
      <c r="R354" s="28"/>
      <c r="S354" s="26"/>
    </row>
    <row r="355" customFormat="false" ht="15" hidden="false" customHeight="false" outlineLevel="0" collapsed="false">
      <c r="A355" s="7" t="n">
        <v>351</v>
      </c>
      <c r="B355" s="9" t="s">
        <v>19</v>
      </c>
      <c r="C355" s="22" t="s">
        <v>611</v>
      </c>
      <c r="D355" s="9" t="s">
        <v>1428</v>
      </c>
      <c r="E355" s="9" t="s">
        <v>47</v>
      </c>
      <c r="F355" s="9" t="s">
        <v>99</v>
      </c>
      <c r="G355" s="22" t="s">
        <v>1572</v>
      </c>
      <c r="H355" s="9" t="s">
        <v>56</v>
      </c>
      <c r="I355" s="7"/>
      <c r="J355" s="23" t="s">
        <v>1573</v>
      </c>
      <c r="K355" s="24" t="s">
        <v>1574</v>
      </c>
      <c r="L355" s="22" t="s">
        <v>1575</v>
      </c>
      <c r="M355" s="25"/>
      <c r="N355" s="25"/>
      <c r="O355" s="26"/>
      <c r="P355" s="27"/>
      <c r="Q355" s="28"/>
      <c r="R355" s="28"/>
      <c r="S355" s="26"/>
    </row>
    <row r="356" customFormat="false" ht="15" hidden="false" customHeight="false" outlineLevel="0" collapsed="false">
      <c r="A356" s="7" t="n">
        <v>352</v>
      </c>
      <c r="B356" s="9" t="s">
        <v>19</v>
      </c>
      <c r="C356" s="22" t="s">
        <v>611</v>
      </c>
      <c r="D356" s="9" t="s">
        <v>1428</v>
      </c>
      <c r="E356" s="9" t="s">
        <v>47</v>
      </c>
      <c r="F356" s="9" t="s">
        <v>99</v>
      </c>
      <c r="G356" s="22" t="s">
        <v>1576</v>
      </c>
      <c r="H356" s="9" t="s">
        <v>57</v>
      </c>
      <c r="I356" s="7"/>
      <c r="J356" s="23" t="s">
        <v>1577</v>
      </c>
      <c r="K356" s="24" t="s">
        <v>1578</v>
      </c>
      <c r="L356" s="22" t="s">
        <v>1579</v>
      </c>
      <c r="M356" s="25"/>
      <c r="N356" s="25"/>
      <c r="O356" s="26"/>
      <c r="P356" s="27"/>
      <c r="Q356" s="28"/>
      <c r="R356" s="28"/>
      <c r="S356" s="26"/>
    </row>
    <row r="357" customFormat="false" ht="15" hidden="false" customHeight="false" outlineLevel="0" collapsed="false">
      <c r="A357" s="7" t="n">
        <v>353</v>
      </c>
      <c r="B357" s="9" t="s">
        <v>19</v>
      </c>
      <c r="C357" s="22" t="s">
        <v>611</v>
      </c>
      <c r="D357" s="9" t="s">
        <v>1428</v>
      </c>
      <c r="E357" s="9" t="s">
        <v>47</v>
      </c>
      <c r="F357" s="9" t="s">
        <v>99</v>
      </c>
      <c r="G357" s="22" t="s">
        <v>1580</v>
      </c>
      <c r="H357" s="9" t="s">
        <v>57</v>
      </c>
      <c r="I357" s="7"/>
      <c r="J357" s="23" t="s">
        <v>1581</v>
      </c>
      <c r="K357" s="24" t="s">
        <v>1582</v>
      </c>
      <c r="L357" s="22" t="s">
        <v>1583</v>
      </c>
      <c r="M357" s="25"/>
      <c r="N357" s="25"/>
      <c r="O357" s="26"/>
      <c r="P357" s="27"/>
      <c r="Q357" s="28"/>
      <c r="R357" s="28"/>
      <c r="S357" s="26"/>
    </row>
    <row r="358" customFormat="false" ht="15" hidden="false" customHeight="false" outlineLevel="0" collapsed="false">
      <c r="A358" s="7" t="n">
        <v>354</v>
      </c>
      <c r="B358" s="9" t="s">
        <v>19</v>
      </c>
      <c r="C358" s="22" t="s">
        <v>611</v>
      </c>
      <c r="D358" s="9" t="s">
        <v>1428</v>
      </c>
      <c r="E358" s="9" t="s">
        <v>47</v>
      </c>
      <c r="F358" s="9" t="s">
        <v>99</v>
      </c>
      <c r="G358" s="22" t="s">
        <v>1584</v>
      </c>
      <c r="H358" s="9" t="s">
        <v>56</v>
      </c>
      <c r="I358" s="7"/>
      <c r="J358" s="23" t="s">
        <v>1585</v>
      </c>
      <c r="K358" s="24" t="s">
        <v>1586</v>
      </c>
      <c r="L358" s="22" t="s">
        <v>1587</v>
      </c>
      <c r="M358" s="25"/>
      <c r="N358" s="25"/>
      <c r="O358" s="26"/>
      <c r="P358" s="27"/>
      <c r="Q358" s="28"/>
      <c r="R358" s="28"/>
      <c r="S358" s="26"/>
    </row>
    <row r="359" customFormat="false" ht="15" hidden="false" customHeight="false" outlineLevel="0" collapsed="false">
      <c r="A359" s="7" t="n">
        <v>355</v>
      </c>
      <c r="B359" s="9" t="s">
        <v>19</v>
      </c>
      <c r="C359" s="22" t="s">
        <v>611</v>
      </c>
      <c r="D359" s="9" t="s">
        <v>1428</v>
      </c>
      <c r="E359" s="9" t="s">
        <v>48</v>
      </c>
      <c r="F359" s="9" t="s">
        <v>124</v>
      </c>
      <c r="G359" s="22" t="s">
        <v>1588</v>
      </c>
      <c r="H359" s="9" t="s">
        <v>56</v>
      </c>
      <c r="I359" s="7"/>
      <c r="J359" s="23" t="s">
        <v>1589</v>
      </c>
      <c r="K359" s="24" t="s">
        <v>1590</v>
      </c>
      <c r="L359" s="22" t="s">
        <v>1591</v>
      </c>
      <c r="M359" s="25"/>
      <c r="N359" s="25"/>
      <c r="O359" s="26"/>
      <c r="P359" s="27"/>
      <c r="Q359" s="28"/>
      <c r="R359" s="28"/>
      <c r="S359" s="26"/>
    </row>
    <row r="360" customFormat="false" ht="15" hidden="false" customHeight="false" outlineLevel="0" collapsed="false">
      <c r="A360" s="7" t="n">
        <v>356</v>
      </c>
      <c r="B360" s="9" t="s">
        <v>19</v>
      </c>
      <c r="C360" s="22" t="s">
        <v>611</v>
      </c>
      <c r="D360" s="9" t="s">
        <v>1428</v>
      </c>
      <c r="E360" s="9" t="s">
        <v>48</v>
      </c>
      <c r="F360" s="9" t="s">
        <v>99</v>
      </c>
      <c r="G360" s="22" t="s">
        <v>1592</v>
      </c>
      <c r="H360" s="9" t="s">
        <v>55</v>
      </c>
      <c r="I360" s="7"/>
      <c r="J360" s="23" t="s">
        <v>1593</v>
      </c>
      <c r="K360" s="24" t="s">
        <v>1594</v>
      </c>
      <c r="L360" s="22" t="s">
        <v>1595</v>
      </c>
      <c r="M360" s="25"/>
      <c r="N360" s="25"/>
      <c r="O360" s="26"/>
      <c r="P360" s="27"/>
      <c r="Q360" s="28"/>
      <c r="R360" s="28"/>
      <c r="S360" s="26"/>
    </row>
    <row r="361" customFormat="false" ht="15" hidden="false" customHeight="false" outlineLevel="0" collapsed="false">
      <c r="A361" s="7" t="n">
        <v>357</v>
      </c>
      <c r="B361" s="9" t="s">
        <v>19</v>
      </c>
      <c r="C361" s="22" t="s">
        <v>611</v>
      </c>
      <c r="D361" s="9" t="s">
        <v>1428</v>
      </c>
      <c r="E361" s="9" t="s">
        <v>48</v>
      </c>
      <c r="F361" s="9" t="s">
        <v>99</v>
      </c>
      <c r="G361" s="22" t="s">
        <v>1596</v>
      </c>
      <c r="H361" s="9" t="s">
        <v>57</v>
      </c>
      <c r="I361" s="7"/>
      <c r="J361" s="23" t="s">
        <v>1597</v>
      </c>
      <c r="K361" s="24" t="s">
        <v>1598</v>
      </c>
      <c r="L361" s="22" t="s">
        <v>1599</v>
      </c>
      <c r="M361" s="25"/>
      <c r="N361" s="25"/>
      <c r="O361" s="26"/>
      <c r="P361" s="27"/>
      <c r="Q361" s="28"/>
      <c r="R361" s="28"/>
      <c r="S361" s="26"/>
    </row>
    <row r="362" customFormat="false" ht="15" hidden="false" customHeight="false" outlineLevel="0" collapsed="false">
      <c r="A362" s="7" t="n">
        <v>358</v>
      </c>
      <c r="B362" s="9" t="s">
        <v>19</v>
      </c>
      <c r="C362" s="22" t="s">
        <v>611</v>
      </c>
      <c r="D362" s="9" t="s">
        <v>1428</v>
      </c>
      <c r="E362" s="9" t="s">
        <v>48</v>
      </c>
      <c r="F362" s="9" t="s">
        <v>99</v>
      </c>
      <c r="G362" s="22" t="s">
        <v>1600</v>
      </c>
      <c r="H362" s="9" t="s">
        <v>56</v>
      </c>
      <c r="I362" s="7"/>
      <c r="J362" s="23" t="s">
        <v>1601</v>
      </c>
      <c r="K362" s="24" t="s">
        <v>1602</v>
      </c>
      <c r="L362" s="22" t="s">
        <v>1603</v>
      </c>
      <c r="M362" s="25"/>
      <c r="N362" s="25"/>
      <c r="O362" s="26"/>
      <c r="P362" s="27"/>
      <c r="Q362" s="28"/>
      <c r="R362" s="28"/>
      <c r="S362" s="26"/>
    </row>
    <row r="363" customFormat="false" ht="15" hidden="false" customHeight="false" outlineLevel="0" collapsed="false">
      <c r="A363" s="7" t="n">
        <v>359</v>
      </c>
      <c r="B363" s="9" t="s">
        <v>19</v>
      </c>
      <c r="C363" s="22" t="s">
        <v>669</v>
      </c>
      <c r="D363" s="9" t="s">
        <v>1335</v>
      </c>
      <c r="E363" s="9" t="s">
        <v>47</v>
      </c>
      <c r="F363" s="9" t="s">
        <v>99</v>
      </c>
      <c r="G363" s="22" t="s">
        <v>1604</v>
      </c>
      <c r="H363" s="9" t="s">
        <v>57</v>
      </c>
      <c r="I363" s="7"/>
      <c r="J363" s="23" t="s">
        <v>1605</v>
      </c>
      <c r="K363" s="24" t="s">
        <v>1606</v>
      </c>
      <c r="L363" s="22" t="s">
        <v>1607</v>
      </c>
      <c r="M363" s="25"/>
      <c r="N363" s="25"/>
      <c r="O363" s="26"/>
      <c r="P363" s="27"/>
      <c r="Q363" s="28"/>
      <c r="R363" s="28"/>
      <c r="S363" s="26"/>
    </row>
    <row r="364" customFormat="false" ht="15" hidden="false" customHeight="false" outlineLevel="0" collapsed="false">
      <c r="A364" s="7" t="n">
        <v>360</v>
      </c>
      <c r="B364" s="9" t="s">
        <v>19</v>
      </c>
      <c r="C364" s="22" t="s">
        <v>669</v>
      </c>
      <c r="D364" s="9" t="s">
        <v>1335</v>
      </c>
      <c r="E364" s="9" t="s">
        <v>48</v>
      </c>
      <c r="F364" s="9" t="s">
        <v>99</v>
      </c>
      <c r="G364" s="22" t="s">
        <v>1608</v>
      </c>
      <c r="H364" s="9" t="s">
        <v>56</v>
      </c>
      <c r="I364" s="7"/>
      <c r="J364" s="23" t="s">
        <v>1609</v>
      </c>
      <c r="K364" s="24" t="s">
        <v>1610</v>
      </c>
      <c r="L364" s="22" t="s">
        <v>1611</v>
      </c>
      <c r="M364" s="25"/>
      <c r="N364" s="25"/>
      <c r="O364" s="26"/>
      <c r="P364" s="27"/>
      <c r="Q364" s="28"/>
      <c r="R364" s="28"/>
      <c r="S364" s="26"/>
    </row>
    <row r="365" customFormat="false" ht="15" hidden="false" customHeight="false" outlineLevel="0" collapsed="false">
      <c r="A365" s="7" t="n">
        <v>361</v>
      </c>
      <c r="B365" s="9" t="s">
        <v>19</v>
      </c>
      <c r="C365" s="22" t="s">
        <v>669</v>
      </c>
      <c r="D365" s="9" t="s">
        <v>1335</v>
      </c>
      <c r="E365" s="9" t="s">
        <v>48</v>
      </c>
      <c r="F365" s="9" t="s">
        <v>99</v>
      </c>
      <c r="G365" s="22" t="s">
        <v>1612</v>
      </c>
      <c r="H365" s="9" t="s">
        <v>56</v>
      </c>
      <c r="I365" s="7"/>
      <c r="J365" s="23" t="s">
        <v>1613</v>
      </c>
      <c r="K365" s="24" t="s">
        <v>1614</v>
      </c>
      <c r="L365" s="22" t="s">
        <v>1615</v>
      </c>
      <c r="M365" s="25"/>
      <c r="N365" s="25"/>
      <c r="O365" s="26"/>
      <c r="P365" s="27"/>
      <c r="Q365" s="28"/>
      <c r="R365" s="28"/>
      <c r="S365" s="26"/>
    </row>
    <row r="366" customFormat="false" ht="15" hidden="false" customHeight="false" outlineLevel="0" collapsed="false">
      <c r="A366" s="7" t="n">
        <v>362</v>
      </c>
      <c r="B366" s="9" t="s">
        <v>19</v>
      </c>
      <c r="C366" s="22" t="s">
        <v>669</v>
      </c>
      <c r="D366" s="9" t="s">
        <v>1335</v>
      </c>
      <c r="E366" s="9" t="s">
        <v>48</v>
      </c>
      <c r="F366" s="9" t="s">
        <v>99</v>
      </c>
      <c r="G366" s="22" t="s">
        <v>1616</v>
      </c>
      <c r="H366" s="9" t="s">
        <v>56</v>
      </c>
      <c r="I366" s="7"/>
      <c r="J366" s="23" t="s">
        <v>1617</v>
      </c>
      <c r="K366" s="24" t="s">
        <v>1618</v>
      </c>
      <c r="L366" s="22" t="s">
        <v>1619</v>
      </c>
      <c r="M366" s="25"/>
      <c r="N366" s="25"/>
      <c r="O366" s="26"/>
      <c r="P366" s="27"/>
      <c r="Q366" s="28"/>
      <c r="R366" s="28"/>
      <c r="S366" s="26"/>
    </row>
    <row r="367" customFormat="false" ht="15" hidden="false" customHeight="false" outlineLevel="0" collapsed="false">
      <c r="A367" s="7" t="n">
        <v>363</v>
      </c>
      <c r="B367" s="9" t="s">
        <v>19</v>
      </c>
      <c r="C367" s="22" t="s">
        <v>669</v>
      </c>
      <c r="D367" s="9" t="s">
        <v>1335</v>
      </c>
      <c r="E367" s="9" t="s">
        <v>48</v>
      </c>
      <c r="F367" s="9" t="s">
        <v>99</v>
      </c>
      <c r="G367" s="22" t="s">
        <v>1620</v>
      </c>
      <c r="H367" s="9" t="s">
        <v>57</v>
      </c>
      <c r="I367" s="7"/>
      <c r="J367" s="23" t="s">
        <v>1621</v>
      </c>
      <c r="K367" s="24" t="s">
        <v>1622</v>
      </c>
      <c r="L367" s="22" t="s">
        <v>1623</v>
      </c>
      <c r="M367" s="25"/>
      <c r="N367" s="25"/>
      <c r="O367" s="26"/>
      <c r="P367" s="27"/>
      <c r="Q367" s="28"/>
      <c r="R367" s="28"/>
      <c r="S367" s="26"/>
    </row>
    <row r="368" customFormat="false" ht="15" hidden="false" customHeight="false" outlineLevel="0" collapsed="false">
      <c r="A368" s="7" t="n">
        <v>364</v>
      </c>
      <c r="B368" s="9" t="s">
        <v>19</v>
      </c>
      <c r="C368" s="22" t="s">
        <v>669</v>
      </c>
      <c r="D368" s="9" t="s">
        <v>1374</v>
      </c>
      <c r="E368" s="9" t="s">
        <v>47</v>
      </c>
      <c r="F368" s="9" t="s">
        <v>99</v>
      </c>
      <c r="G368" s="22" t="s">
        <v>1624</v>
      </c>
      <c r="H368" s="9" t="s">
        <v>57</v>
      </c>
      <c r="I368" s="7"/>
      <c r="J368" s="23" t="s">
        <v>1625</v>
      </c>
      <c r="K368" s="24" t="s">
        <v>1626</v>
      </c>
      <c r="L368" s="22" t="s">
        <v>1627</v>
      </c>
      <c r="M368" s="25"/>
      <c r="N368" s="25"/>
      <c r="O368" s="26"/>
      <c r="P368" s="27"/>
      <c r="Q368" s="28"/>
      <c r="R368" s="28"/>
      <c r="S368" s="26"/>
    </row>
    <row r="369" customFormat="false" ht="15" hidden="false" customHeight="false" outlineLevel="0" collapsed="false">
      <c r="A369" s="7" t="n">
        <v>365</v>
      </c>
      <c r="B369" s="9" t="s">
        <v>19</v>
      </c>
      <c r="C369" s="22" t="s">
        <v>669</v>
      </c>
      <c r="D369" s="9" t="s">
        <v>1374</v>
      </c>
      <c r="E369" s="9" t="s">
        <v>47</v>
      </c>
      <c r="F369" s="9" t="s">
        <v>99</v>
      </c>
      <c r="G369" s="22" t="s">
        <v>1628</v>
      </c>
      <c r="H369" s="9" t="s">
        <v>56</v>
      </c>
      <c r="I369" s="7"/>
      <c r="J369" s="23" t="s">
        <v>1629</v>
      </c>
      <c r="K369" s="24" t="s">
        <v>1630</v>
      </c>
      <c r="L369" s="22" t="s">
        <v>1631</v>
      </c>
      <c r="M369" s="25"/>
      <c r="N369" s="25"/>
      <c r="O369" s="26"/>
      <c r="P369" s="27"/>
      <c r="Q369" s="28"/>
      <c r="R369" s="28"/>
      <c r="S369" s="26"/>
    </row>
    <row r="370" customFormat="false" ht="15" hidden="false" customHeight="false" outlineLevel="0" collapsed="false">
      <c r="A370" s="7" t="n">
        <v>366</v>
      </c>
      <c r="B370" s="9" t="s">
        <v>19</v>
      </c>
      <c r="C370" s="22" t="s">
        <v>669</v>
      </c>
      <c r="D370" s="9" t="s">
        <v>1374</v>
      </c>
      <c r="E370" s="9" t="s">
        <v>47</v>
      </c>
      <c r="F370" s="9" t="s">
        <v>99</v>
      </c>
      <c r="G370" s="22" t="s">
        <v>1632</v>
      </c>
      <c r="H370" s="9" t="s">
        <v>56</v>
      </c>
      <c r="I370" s="7"/>
      <c r="J370" s="23" t="s">
        <v>1633</v>
      </c>
      <c r="K370" s="24" t="s">
        <v>1634</v>
      </c>
      <c r="L370" s="22" t="s">
        <v>1635</v>
      </c>
      <c r="M370" s="25"/>
      <c r="N370" s="25"/>
      <c r="O370" s="26"/>
      <c r="P370" s="27"/>
      <c r="Q370" s="28"/>
      <c r="R370" s="28"/>
      <c r="S370" s="26"/>
    </row>
    <row r="371" customFormat="false" ht="15" hidden="false" customHeight="false" outlineLevel="0" collapsed="false">
      <c r="A371" s="7" t="n">
        <v>367</v>
      </c>
      <c r="B371" s="9" t="s">
        <v>19</v>
      </c>
      <c r="C371" s="22" t="s">
        <v>669</v>
      </c>
      <c r="D371" s="9" t="s">
        <v>1374</v>
      </c>
      <c r="E371" s="9" t="s">
        <v>47</v>
      </c>
      <c r="F371" s="9" t="s">
        <v>99</v>
      </c>
      <c r="G371" s="22" t="s">
        <v>1636</v>
      </c>
      <c r="H371" s="9" t="s">
        <v>57</v>
      </c>
      <c r="I371" s="7"/>
      <c r="J371" s="23" t="s">
        <v>1637</v>
      </c>
      <c r="K371" s="24" t="s">
        <v>1638</v>
      </c>
      <c r="L371" s="22" t="s">
        <v>1639</v>
      </c>
      <c r="M371" s="25"/>
      <c r="N371" s="25"/>
      <c r="O371" s="26"/>
      <c r="P371" s="27"/>
      <c r="Q371" s="28"/>
      <c r="R371" s="28"/>
      <c r="S371" s="26"/>
    </row>
    <row r="372" customFormat="false" ht="15" hidden="false" customHeight="false" outlineLevel="0" collapsed="false">
      <c r="A372" s="7" t="n">
        <v>368</v>
      </c>
      <c r="B372" s="9" t="s">
        <v>19</v>
      </c>
      <c r="C372" s="22" t="s">
        <v>669</v>
      </c>
      <c r="D372" s="9" t="s">
        <v>1374</v>
      </c>
      <c r="E372" s="9" t="s">
        <v>47</v>
      </c>
      <c r="F372" s="9" t="s">
        <v>99</v>
      </c>
      <c r="G372" s="22" t="s">
        <v>1640</v>
      </c>
      <c r="H372" s="9" t="s">
        <v>57</v>
      </c>
      <c r="I372" s="7"/>
      <c r="J372" s="23" t="s">
        <v>1641</v>
      </c>
      <c r="K372" s="24" t="s">
        <v>1642</v>
      </c>
      <c r="L372" s="22" t="s">
        <v>1643</v>
      </c>
      <c r="M372" s="25"/>
      <c r="N372" s="25"/>
      <c r="O372" s="26"/>
      <c r="P372" s="27"/>
      <c r="Q372" s="28"/>
      <c r="R372" s="28"/>
      <c r="S372" s="26"/>
    </row>
    <row r="373" customFormat="false" ht="15" hidden="false" customHeight="false" outlineLevel="0" collapsed="false">
      <c r="A373" s="7" t="n">
        <v>369</v>
      </c>
      <c r="B373" s="9" t="s">
        <v>19</v>
      </c>
      <c r="C373" s="22" t="s">
        <v>669</v>
      </c>
      <c r="D373" s="9" t="s">
        <v>1374</v>
      </c>
      <c r="E373" s="9" t="s">
        <v>47</v>
      </c>
      <c r="F373" s="9" t="s">
        <v>99</v>
      </c>
      <c r="G373" s="22" t="s">
        <v>1644</v>
      </c>
      <c r="H373" s="9" t="s">
        <v>57</v>
      </c>
      <c r="I373" s="7"/>
      <c r="J373" s="23" t="s">
        <v>1645</v>
      </c>
      <c r="K373" s="24" t="s">
        <v>1646</v>
      </c>
      <c r="L373" s="22" t="s">
        <v>1647</v>
      </c>
      <c r="M373" s="25"/>
      <c r="N373" s="25"/>
      <c r="O373" s="26"/>
      <c r="P373" s="27"/>
      <c r="Q373" s="28"/>
      <c r="R373" s="28"/>
      <c r="S373" s="26"/>
    </row>
    <row r="374" customFormat="false" ht="15" hidden="false" customHeight="false" outlineLevel="0" collapsed="false">
      <c r="A374" s="7" t="n">
        <v>370</v>
      </c>
      <c r="B374" s="9" t="s">
        <v>19</v>
      </c>
      <c r="C374" s="22" t="s">
        <v>669</v>
      </c>
      <c r="D374" s="9" t="s">
        <v>1374</v>
      </c>
      <c r="E374" s="9" t="s">
        <v>48</v>
      </c>
      <c r="F374" s="9" t="s">
        <v>99</v>
      </c>
      <c r="G374" s="22" t="s">
        <v>1648</v>
      </c>
      <c r="H374" s="9" t="s">
        <v>56</v>
      </c>
      <c r="I374" s="7"/>
      <c r="J374" s="23" t="s">
        <v>1649</v>
      </c>
      <c r="K374" s="24" t="s">
        <v>1650</v>
      </c>
      <c r="L374" s="22" t="s">
        <v>1651</v>
      </c>
      <c r="M374" s="25"/>
      <c r="N374" s="25"/>
      <c r="O374" s="26"/>
      <c r="P374" s="27"/>
      <c r="Q374" s="28"/>
      <c r="R374" s="28"/>
      <c r="S374" s="26"/>
    </row>
    <row r="375" customFormat="false" ht="15" hidden="false" customHeight="false" outlineLevel="0" collapsed="false">
      <c r="A375" s="7" t="n">
        <v>371</v>
      </c>
      <c r="B375" s="9" t="s">
        <v>19</v>
      </c>
      <c r="C375" s="22" t="s">
        <v>669</v>
      </c>
      <c r="D375" s="9" t="s">
        <v>1374</v>
      </c>
      <c r="E375" s="9" t="s">
        <v>48</v>
      </c>
      <c r="F375" s="9" t="s">
        <v>99</v>
      </c>
      <c r="G375" s="22" t="s">
        <v>1652</v>
      </c>
      <c r="H375" s="9" t="s">
        <v>57</v>
      </c>
      <c r="I375" s="7"/>
      <c r="J375" s="23" t="s">
        <v>1653</v>
      </c>
      <c r="K375" s="24" t="s">
        <v>1654</v>
      </c>
      <c r="L375" s="22" t="s">
        <v>1655</v>
      </c>
      <c r="M375" s="25"/>
      <c r="N375" s="25"/>
      <c r="O375" s="26"/>
      <c r="P375" s="27"/>
      <c r="Q375" s="28"/>
      <c r="R375" s="28"/>
      <c r="S375" s="26"/>
    </row>
    <row r="376" customFormat="false" ht="15" hidden="false" customHeight="false" outlineLevel="0" collapsed="false">
      <c r="A376" s="7" t="n">
        <v>372</v>
      </c>
      <c r="B376" s="9" t="s">
        <v>19</v>
      </c>
      <c r="C376" s="22" t="s">
        <v>669</v>
      </c>
      <c r="D376" s="9" t="s">
        <v>1374</v>
      </c>
      <c r="E376" s="9" t="s">
        <v>48</v>
      </c>
      <c r="F376" s="9" t="s">
        <v>99</v>
      </c>
      <c r="G376" s="22" t="s">
        <v>1656</v>
      </c>
      <c r="H376" s="9" t="s">
        <v>56</v>
      </c>
      <c r="I376" s="7"/>
      <c r="J376" s="23" t="s">
        <v>1657</v>
      </c>
      <c r="K376" s="24" t="s">
        <v>1658</v>
      </c>
      <c r="L376" s="22" t="s">
        <v>1659</v>
      </c>
      <c r="M376" s="25"/>
      <c r="N376" s="25"/>
      <c r="O376" s="26"/>
      <c r="P376" s="27"/>
      <c r="Q376" s="28"/>
      <c r="R376" s="28"/>
      <c r="S376" s="26"/>
    </row>
    <row r="377" customFormat="false" ht="15" hidden="false" customHeight="false" outlineLevel="0" collapsed="false">
      <c r="A377" s="7" t="n">
        <v>373</v>
      </c>
      <c r="B377" s="9" t="s">
        <v>19</v>
      </c>
      <c r="C377" s="22" t="s">
        <v>669</v>
      </c>
      <c r="D377" s="9" t="s">
        <v>1374</v>
      </c>
      <c r="E377" s="9" t="s">
        <v>48</v>
      </c>
      <c r="F377" s="9" t="s">
        <v>99</v>
      </c>
      <c r="G377" s="22" t="s">
        <v>1660</v>
      </c>
      <c r="H377" s="9" t="s">
        <v>56</v>
      </c>
      <c r="I377" s="7"/>
      <c r="J377" s="23" t="s">
        <v>1661</v>
      </c>
      <c r="K377" s="24" t="s">
        <v>1662</v>
      </c>
      <c r="L377" s="22" t="s">
        <v>1663</v>
      </c>
      <c r="M377" s="25"/>
      <c r="N377" s="25"/>
      <c r="O377" s="26"/>
      <c r="P377" s="27"/>
      <c r="Q377" s="28"/>
      <c r="R377" s="28"/>
      <c r="S377" s="26"/>
    </row>
    <row r="378" customFormat="false" ht="15" hidden="false" customHeight="false" outlineLevel="0" collapsed="false">
      <c r="A378" s="7" t="n">
        <v>374</v>
      </c>
      <c r="B378" s="9" t="s">
        <v>19</v>
      </c>
      <c r="C378" s="22" t="s">
        <v>669</v>
      </c>
      <c r="D378" s="9" t="s">
        <v>1374</v>
      </c>
      <c r="E378" s="9" t="s">
        <v>48</v>
      </c>
      <c r="F378" s="9" t="s">
        <v>99</v>
      </c>
      <c r="G378" s="22" t="s">
        <v>1664</v>
      </c>
      <c r="H378" s="9" t="s">
        <v>56</v>
      </c>
      <c r="I378" s="7"/>
      <c r="J378" s="23" t="s">
        <v>1665</v>
      </c>
      <c r="K378" s="24" t="s">
        <v>1666</v>
      </c>
      <c r="L378" s="22" t="s">
        <v>1667</v>
      </c>
      <c r="M378" s="25"/>
      <c r="N378" s="25"/>
      <c r="O378" s="26"/>
      <c r="P378" s="27"/>
      <c r="Q378" s="28"/>
      <c r="R378" s="28"/>
      <c r="S378" s="26"/>
    </row>
    <row r="379" customFormat="false" ht="15" hidden="false" customHeight="false" outlineLevel="0" collapsed="false">
      <c r="A379" s="7" t="n">
        <v>375</v>
      </c>
      <c r="B379" s="9" t="s">
        <v>19</v>
      </c>
      <c r="C379" s="22" t="s">
        <v>669</v>
      </c>
      <c r="D379" s="9" t="s">
        <v>1374</v>
      </c>
      <c r="E379" s="9" t="s">
        <v>48</v>
      </c>
      <c r="F379" s="9" t="s">
        <v>99</v>
      </c>
      <c r="G379" s="22" t="s">
        <v>1668</v>
      </c>
      <c r="H379" s="9" t="s">
        <v>56</v>
      </c>
      <c r="I379" s="7"/>
      <c r="J379" s="23" t="s">
        <v>1669</v>
      </c>
      <c r="K379" s="24" t="s">
        <v>1670</v>
      </c>
      <c r="L379" s="22" t="s">
        <v>1671</v>
      </c>
      <c r="M379" s="25"/>
      <c r="N379" s="25"/>
      <c r="O379" s="26"/>
      <c r="P379" s="27"/>
      <c r="Q379" s="28"/>
      <c r="R379" s="28"/>
      <c r="S379" s="26"/>
    </row>
    <row r="380" customFormat="false" ht="15" hidden="false" customHeight="false" outlineLevel="0" collapsed="false">
      <c r="A380" s="7" t="n">
        <v>376</v>
      </c>
      <c r="B380" s="9" t="s">
        <v>19</v>
      </c>
      <c r="C380" s="22" t="s">
        <v>669</v>
      </c>
      <c r="D380" s="9" t="s">
        <v>1374</v>
      </c>
      <c r="E380" s="9" t="s">
        <v>48</v>
      </c>
      <c r="F380" s="9" t="s">
        <v>99</v>
      </c>
      <c r="G380" s="22" t="s">
        <v>1672</v>
      </c>
      <c r="H380" s="9" t="s">
        <v>56</v>
      </c>
      <c r="I380" s="7"/>
      <c r="J380" s="23" t="s">
        <v>1673</v>
      </c>
      <c r="K380" s="24" t="s">
        <v>1674</v>
      </c>
      <c r="L380" s="22" t="s">
        <v>1675</v>
      </c>
      <c r="M380" s="25"/>
      <c r="N380" s="25"/>
      <c r="O380" s="26"/>
      <c r="P380" s="27"/>
      <c r="Q380" s="28"/>
      <c r="R380" s="28"/>
      <c r="S380" s="26"/>
    </row>
    <row r="381" customFormat="false" ht="15" hidden="false" customHeight="false" outlineLevel="0" collapsed="false">
      <c r="A381" s="7" t="n">
        <v>377</v>
      </c>
      <c r="B381" s="9" t="s">
        <v>19</v>
      </c>
      <c r="C381" s="22" t="s">
        <v>725</v>
      </c>
      <c r="D381" s="9" t="s">
        <v>1326</v>
      </c>
      <c r="E381" s="9" t="s">
        <v>47</v>
      </c>
      <c r="F381" s="9" t="s">
        <v>99</v>
      </c>
      <c r="G381" s="22" t="s">
        <v>1676</v>
      </c>
      <c r="H381" s="9" t="s">
        <v>56</v>
      </c>
      <c r="I381" s="7"/>
      <c r="J381" s="23" t="s">
        <v>1677</v>
      </c>
      <c r="K381" s="24" t="s">
        <v>1678</v>
      </c>
      <c r="L381" s="22" t="s">
        <v>1679</v>
      </c>
      <c r="M381" s="25"/>
      <c r="N381" s="25"/>
      <c r="O381" s="26"/>
      <c r="P381" s="27"/>
      <c r="Q381" s="28"/>
      <c r="R381" s="28"/>
      <c r="S381" s="26"/>
    </row>
    <row r="382" customFormat="false" ht="15" hidden="false" customHeight="false" outlineLevel="0" collapsed="false">
      <c r="A382" s="7" t="n">
        <v>378</v>
      </c>
      <c r="B382" s="9" t="s">
        <v>19</v>
      </c>
      <c r="C382" s="22" t="s">
        <v>725</v>
      </c>
      <c r="D382" s="9" t="s">
        <v>1326</v>
      </c>
      <c r="E382" s="9" t="s">
        <v>47</v>
      </c>
      <c r="F382" s="9" t="s">
        <v>99</v>
      </c>
      <c r="G382" s="22" t="s">
        <v>1680</v>
      </c>
      <c r="H382" s="9" t="s">
        <v>57</v>
      </c>
      <c r="I382" s="7"/>
      <c r="J382" s="23" t="s">
        <v>1681</v>
      </c>
      <c r="K382" s="24" t="s">
        <v>1682</v>
      </c>
      <c r="L382" s="22" t="s">
        <v>1683</v>
      </c>
      <c r="M382" s="25"/>
      <c r="N382" s="25"/>
      <c r="O382" s="26"/>
      <c r="P382" s="27"/>
      <c r="Q382" s="28"/>
      <c r="R382" s="28"/>
      <c r="S382" s="26"/>
    </row>
    <row r="383" customFormat="false" ht="15" hidden="false" customHeight="false" outlineLevel="0" collapsed="false">
      <c r="A383" s="7" t="n">
        <v>379</v>
      </c>
      <c r="B383" s="9" t="s">
        <v>19</v>
      </c>
      <c r="C383" s="22" t="s">
        <v>725</v>
      </c>
      <c r="D383" s="9" t="s">
        <v>1326</v>
      </c>
      <c r="E383" s="9" t="s">
        <v>47</v>
      </c>
      <c r="F383" s="9" t="s">
        <v>99</v>
      </c>
      <c r="G383" s="22" t="s">
        <v>1684</v>
      </c>
      <c r="H383" s="9" t="s">
        <v>56</v>
      </c>
      <c r="I383" s="7"/>
      <c r="J383" s="23" t="s">
        <v>1685</v>
      </c>
      <c r="K383" s="24" t="s">
        <v>1686</v>
      </c>
      <c r="L383" s="22" t="s">
        <v>1687</v>
      </c>
      <c r="M383" s="25"/>
      <c r="N383" s="25"/>
      <c r="O383" s="26"/>
      <c r="P383" s="27"/>
      <c r="Q383" s="28"/>
      <c r="R383" s="28"/>
      <c r="S383" s="26"/>
    </row>
    <row r="384" customFormat="false" ht="15" hidden="false" customHeight="false" outlineLevel="0" collapsed="false">
      <c r="A384" s="7" t="n">
        <v>380</v>
      </c>
      <c r="B384" s="9" t="s">
        <v>19</v>
      </c>
      <c r="C384" s="22" t="s">
        <v>725</v>
      </c>
      <c r="D384" s="9" t="s">
        <v>1326</v>
      </c>
      <c r="E384" s="9" t="s">
        <v>47</v>
      </c>
      <c r="F384" s="9" t="s">
        <v>99</v>
      </c>
      <c r="G384" s="22" t="s">
        <v>1688</v>
      </c>
      <c r="H384" s="9" t="s">
        <v>57</v>
      </c>
      <c r="I384" s="7"/>
      <c r="J384" s="23" t="s">
        <v>1689</v>
      </c>
      <c r="K384" s="24" t="s">
        <v>1690</v>
      </c>
      <c r="L384" s="22" t="s">
        <v>1691</v>
      </c>
      <c r="M384" s="25"/>
      <c r="N384" s="25"/>
      <c r="O384" s="26"/>
      <c r="P384" s="27"/>
      <c r="Q384" s="28"/>
      <c r="R384" s="28"/>
      <c r="S384" s="26"/>
    </row>
    <row r="385" customFormat="false" ht="15" hidden="false" customHeight="false" outlineLevel="0" collapsed="false">
      <c r="A385" s="7" t="n">
        <v>381</v>
      </c>
      <c r="B385" s="9" t="s">
        <v>19</v>
      </c>
      <c r="C385" s="22" t="s">
        <v>725</v>
      </c>
      <c r="D385" s="9" t="s">
        <v>1326</v>
      </c>
      <c r="E385" s="9" t="s">
        <v>48</v>
      </c>
      <c r="F385" s="9" t="s">
        <v>99</v>
      </c>
      <c r="G385" s="22" t="s">
        <v>1692</v>
      </c>
      <c r="H385" s="9" t="s">
        <v>56</v>
      </c>
      <c r="I385" s="7"/>
      <c r="J385" s="23" t="s">
        <v>1693</v>
      </c>
      <c r="K385" s="24" t="s">
        <v>1694</v>
      </c>
      <c r="L385" s="22" t="s">
        <v>1695</v>
      </c>
      <c r="M385" s="25"/>
      <c r="N385" s="25"/>
      <c r="O385" s="26"/>
      <c r="P385" s="27"/>
      <c r="Q385" s="28"/>
      <c r="R385" s="28"/>
      <c r="S385" s="26"/>
    </row>
    <row r="386" customFormat="false" ht="15" hidden="false" customHeight="false" outlineLevel="0" collapsed="false">
      <c r="A386" s="7" t="n">
        <v>382</v>
      </c>
      <c r="B386" s="9" t="s">
        <v>19</v>
      </c>
      <c r="C386" s="22" t="s">
        <v>725</v>
      </c>
      <c r="D386" s="9" t="s">
        <v>1326</v>
      </c>
      <c r="E386" s="9" t="s">
        <v>48</v>
      </c>
      <c r="F386" s="9" t="s">
        <v>99</v>
      </c>
      <c r="G386" s="22" t="s">
        <v>1696</v>
      </c>
      <c r="H386" s="9" t="s">
        <v>55</v>
      </c>
      <c r="I386" s="7"/>
      <c r="J386" s="23" t="s">
        <v>1697</v>
      </c>
      <c r="K386" s="24" t="s">
        <v>1698</v>
      </c>
      <c r="L386" s="22" t="s">
        <v>1699</v>
      </c>
      <c r="M386" s="25"/>
      <c r="N386" s="25"/>
      <c r="O386" s="26"/>
      <c r="P386" s="27"/>
      <c r="Q386" s="28"/>
      <c r="R386" s="28"/>
      <c r="S386" s="26"/>
    </row>
    <row r="387" customFormat="false" ht="15" hidden="false" customHeight="false" outlineLevel="0" collapsed="false">
      <c r="A387" s="7" t="n">
        <v>383</v>
      </c>
      <c r="B387" s="9" t="s">
        <v>19</v>
      </c>
      <c r="C387" s="22" t="s">
        <v>725</v>
      </c>
      <c r="D387" s="9" t="s">
        <v>1403</v>
      </c>
      <c r="E387" s="9" t="s">
        <v>47</v>
      </c>
      <c r="F387" s="9" t="s">
        <v>99</v>
      </c>
      <c r="G387" s="22" t="s">
        <v>1700</v>
      </c>
      <c r="H387" s="9" t="s">
        <v>56</v>
      </c>
      <c r="I387" s="7"/>
      <c r="J387" s="23" t="s">
        <v>1701</v>
      </c>
      <c r="K387" s="24" t="s">
        <v>1702</v>
      </c>
      <c r="L387" s="22" t="s">
        <v>1703</v>
      </c>
      <c r="M387" s="25"/>
      <c r="N387" s="25"/>
      <c r="O387" s="26"/>
      <c r="P387" s="27"/>
      <c r="Q387" s="28"/>
      <c r="R387" s="28"/>
      <c r="S387" s="26"/>
    </row>
    <row r="388" customFormat="false" ht="15" hidden="false" customHeight="false" outlineLevel="0" collapsed="false">
      <c r="A388" s="7" t="n">
        <v>384</v>
      </c>
      <c r="B388" s="9" t="s">
        <v>19</v>
      </c>
      <c r="C388" s="22" t="s">
        <v>725</v>
      </c>
      <c r="D388" s="9" t="s">
        <v>1403</v>
      </c>
      <c r="E388" s="9" t="s">
        <v>47</v>
      </c>
      <c r="F388" s="9" t="s">
        <v>99</v>
      </c>
      <c r="G388" s="22" t="s">
        <v>1704</v>
      </c>
      <c r="H388" s="9" t="s">
        <v>56</v>
      </c>
      <c r="I388" s="7"/>
      <c r="J388" s="23" t="s">
        <v>1705</v>
      </c>
      <c r="K388" s="24" t="s">
        <v>1706</v>
      </c>
      <c r="L388" s="22" t="s">
        <v>1707</v>
      </c>
      <c r="M388" s="25"/>
      <c r="N388" s="25"/>
      <c r="O388" s="26"/>
      <c r="P388" s="27"/>
      <c r="Q388" s="28"/>
      <c r="R388" s="28"/>
      <c r="S388" s="26"/>
    </row>
    <row r="389" customFormat="false" ht="15" hidden="false" customHeight="false" outlineLevel="0" collapsed="false">
      <c r="A389" s="7" t="n">
        <v>385</v>
      </c>
      <c r="B389" s="9" t="s">
        <v>19</v>
      </c>
      <c r="C389" s="22" t="s">
        <v>725</v>
      </c>
      <c r="D389" s="9" t="s">
        <v>1403</v>
      </c>
      <c r="E389" s="9" t="s">
        <v>47</v>
      </c>
      <c r="F389" s="9" t="s">
        <v>99</v>
      </c>
      <c r="G389" s="22" t="s">
        <v>1708</v>
      </c>
      <c r="H389" s="9" t="s">
        <v>56</v>
      </c>
      <c r="I389" s="7"/>
      <c r="J389" s="23" t="s">
        <v>1709</v>
      </c>
      <c r="K389" s="24" t="s">
        <v>1710</v>
      </c>
      <c r="L389" s="22" t="s">
        <v>1711</v>
      </c>
      <c r="M389" s="25"/>
      <c r="N389" s="25"/>
      <c r="O389" s="26"/>
      <c r="P389" s="27"/>
      <c r="Q389" s="28"/>
      <c r="R389" s="28"/>
      <c r="S389" s="26"/>
    </row>
    <row r="390" customFormat="false" ht="15" hidden="false" customHeight="false" outlineLevel="0" collapsed="false">
      <c r="A390" s="7" t="n">
        <v>386</v>
      </c>
      <c r="B390" s="9" t="s">
        <v>19</v>
      </c>
      <c r="C390" s="22" t="s">
        <v>725</v>
      </c>
      <c r="D390" s="9" t="s">
        <v>1403</v>
      </c>
      <c r="E390" s="9" t="s">
        <v>47</v>
      </c>
      <c r="F390" s="9" t="s">
        <v>99</v>
      </c>
      <c r="G390" s="22" t="s">
        <v>1712</v>
      </c>
      <c r="H390" s="9" t="s">
        <v>56</v>
      </c>
      <c r="I390" s="7"/>
      <c r="J390" s="23" t="s">
        <v>1713</v>
      </c>
      <c r="K390" s="24" t="s">
        <v>1714</v>
      </c>
      <c r="L390" s="22" t="s">
        <v>1715</v>
      </c>
      <c r="M390" s="25"/>
      <c r="N390" s="25"/>
      <c r="O390" s="26"/>
      <c r="P390" s="27"/>
      <c r="Q390" s="28"/>
      <c r="R390" s="28"/>
      <c r="S390" s="26"/>
    </row>
    <row r="391" customFormat="false" ht="15" hidden="false" customHeight="false" outlineLevel="0" collapsed="false">
      <c r="A391" s="7" t="n">
        <v>387</v>
      </c>
      <c r="B391" s="9" t="s">
        <v>19</v>
      </c>
      <c r="C391" s="22" t="s">
        <v>725</v>
      </c>
      <c r="D391" s="9" t="s">
        <v>1403</v>
      </c>
      <c r="E391" s="9" t="s">
        <v>47</v>
      </c>
      <c r="F391" s="9" t="s">
        <v>99</v>
      </c>
      <c r="G391" s="22" t="s">
        <v>1716</v>
      </c>
      <c r="H391" s="9" t="s">
        <v>57</v>
      </c>
      <c r="I391" s="7"/>
      <c r="J391" s="23" t="s">
        <v>1717</v>
      </c>
      <c r="K391" s="24" t="s">
        <v>1718</v>
      </c>
      <c r="L391" s="22" t="s">
        <v>1719</v>
      </c>
      <c r="M391" s="25"/>
      <c r="N391" s="25"/>
      <c r="O391" s="26"/>
      <c r="P391" s="27"/>
      <c r="Q391" s="28"/>
      <c r="R391" s="28"/>
      <c r="S391" s="26"/>
    </row>
    <row r="392" customFormat="false" ht="15" hidden="false" customHeight="false" outlineLevel="0" collapsed="false">
      <c r="A392" s="7" t="n">
        <v>388</v>
      </c>
      <c r="B392" s="9" t="s">
        <v>19</v>
      </c>
      <c r="C392" s="22" t="s">
        <v>725</v>
      </c>
      <c r="D392" s="9" t="s">
        <v>1403</v>
      </c>
      <c r="E392" s="9" t="s">
        <v>48</v>
      </c>
      <c r="F392" s="9" t="s">
        <v>99</v>
      </c>
      <c r="G392" s="22" t="s">
        <v>1720</v>
      </c>
      <c r="H392" s="9" t="s">
        <v>57</v>
      </c>
      <c r="I392" s="7"/>
      <c r="J392" s="23" t="s">
        <v>1721</v>
      </c>
      <c r="K392" s="24" t="s">
        <v>1722</v>
      </c>
      <c r="L392" s="22" t="s">
        <v>1723</v>
      </c>
      <c r="M392" s="25"/>
      <c r="N392" s="25"/>
      <c r="O392" s="26"/>
      <c r="P392" s="27"/>
      <c r="Q392" s="28"/>
      <c r="R392" s="28"/>
      <c r="S392" s="26"/>
    </row>
    <row r="393" customFormat="false" ht="15" hidden="false" customHeight="false" outlineLevel="0" collapsed="false">
      <c r="A393" s="7" t="n">
        <v>389</v>
      </c>
      <c r="B393" s="9" t="s">
        <v>19</v>
      </c>
      <c r="C393" s="22" t="s">
        <v>725</v>
      </c>
      <c r="D393" s="9" t="s">
        <v>1403</v>
      </c>
      <c r="E393" s="9" t="s">
        <v>48</v>
      </c>
      <c r="F393" s="9" t="s">
        <v>99</v>
      </c>
      <c r="G393" s="22" t="s">
        <v>1724</v>
      </c>
      <c r="H393" s="9" t="s">
        <v>56</v>
      </c>
      <c r="I393" s="7"/>
      <c r="J393" s="23" t="s">
        <v>1725</v>
      </c>
      <c r="K393" s="24" t="s">
        <v>1726</v>
      </c>
      <c r="L393" s="22" t="s">
        <v>1727</v>
      </c>
      <c r="M393" s="25"/>
      <c r="N393" s="25"/>
      <c r="O393" s="26"/>
      <c r="P393" s="27"/>
      <c r="Q393" s="28"/>
      <c r="R393" s="28"/>
      <c r="S393" s="26"/>
    </row>
    <row r="394" customFormat="false" ht="15" hidden="false" customHeight="false" outlineLevel="0" collapsed="false">
      <c r="A394" s="7" t="n">
        <v>390</v>
      </c>
      <c r="B394" s="9" t="s">
        <v>19</v>
      </c>
      <c r="C394" s="22" t="s">
        <v>725</v>
      </c>
      <c r="D394" s="9" t="s">
        <v>1403</v>
      </c>
      <c r="E394" s="9" t="s">
        <v>48</v>
      </c>
      <c r="F394" s="9" t="s">
        <v>99</v>
      </c>
      <c r="G394" s="22" t="s">
        <v>1728</v>
      </c>
      <c r="H394" s="9" t="s">
        <v>56</v>
      </c>
      <c r="I394" s="7"/>
      <c r="J394" s="23" t="s">
        <v>1729</v>
      </c>
      <c r="K394" s="24" t="s">
        <v>1730</v>
      </c>
      <c r="L394" s="22" t="s">
        <v>1731</v>
      </c>
      <c r="M394" s="25"/>
      <c r="N394" s="25"/>
      <c r="O394" s="26"/>
      <c r="P394" s="27"/>
      <c r="Q394" s="28"/>
      <c r="R394" s="28"/>
      <c r="S394" s="26"/>
    </row>
    <row r="395" customFormat="false" ht="15" hidden="false" customHeight="false" outlineLevel="0" collapsed="false">
      <c r="A395" s="7" t="n">
        <v>391</v>
      </c>
      <c r="B395" s="9" t="s">
        <v>19</v>
      </c>
      <c r="C395" s="22" t="s">
        <v>725</v>
      </c>
      <c r="D395" s="9" t="s">
        <v>1403</v>
      </c>
      <c r="E395" s="9" t="s">
        <v>48</v>
      </c>
      <c r="F395" s="9" t="s">
        <v>99</v>
      </c>
      <c r="G395" s="22" t="s">
        <v>1732</v>
      </c>
      <c r="H395" s="9" t="s">
        <v>57</v>
      </c>
      <c r="I395" s="7"/>
      <c r="J395" s="23" t="s">
        <v>1733</v>
      </c>
      <c r="K395" s="24" t="s">
        <v>1734</v>
      </c>
      <c r="L395" s="22" t="s">
        <v>1735</v>
      </c>
      <c r="M395" s="25"/>
      <c r="N395" s="25"/>
      <c r="O395" s="26"/>
      <c r="P395" s="27"/>
      <c r="Q395" s="28"/>
      <c r="R395" s="28"/>
      <c r="S395" s="26"/>
    </row>
    <row r="396" customFormat="false" ht="15" hidden="false" customHeight="false" outlineLevel="0" collapsed="false">
      <c r="A396" s="7" t="n">
        <v>392</v>
      </c>
      <c r="B396" s="9" t="s">
        <v>19</v>
      </c>
      <c r="C396" s="22" t="s">
        <v>725</v>
      </c>
      <c r="D396" s="9" t="s">
        <v>1403</v>
      </c>
      <c r="E396" s="9" t="s">
        <v>48</v>
      </c>
      <c r="F396" s="9" t="s">
        <v>99</v>
      </c>
      <c r="G396" s="22" t="s">
        <v>1736</v>
      </c>
      <c r="H396" s="9" t="s">
        <v>56</v>
      </c>
      <c r="I396" s="7"/>
      <c r="J396" s="23" t="s">
        <v>1737</v>
      </c>
      <c r="K396" s="24" t="s">
        <v>1738</v>
      </c>
      <c r="L396" s="22" t="s">
        <v>1739</v>
      </c>
      <c r="M396" s="25"/>
      <c r="N396" s="25"/>
      <c r="O396" s="26"/>
      <c r="P396" s="27"/>
      <c r="Q396" s="28"/>
      <c r="R396" s="28"/>
      <c r="S396" s="26"/>
    </row>
    <row r="397" customFormat="false" ht="15" hidden="false" customHeight="false" outlineLevel="0" collapsed="false">
      <c r="A397" s="7" t="n">
        <v>393</v>
      </c>
      <c r="B397" s="9" t="s">
        <v>19</v>
      </c>
      <c r="C397" s="22" t="s">
        <v>725</v>
      </c>
      <c r="D397" s="9" t="s">
        <v>1403</v>
      </c>
      <c r="E397" s="9" t="s">
        <v>48</v>
      </c>
      <c r="F397" s="9" t="s">
        <v>99</v>
      </c>
      <c r="G397" s="22" t="s">
        <v>1740</v>
      </c>
      <c r="H397" s="9" t="s">
        <v>56</v>
      </c>
      <c r="I397" s="7" t="s">
        <v>869</v>
      </c>
      <c r="J397" s="23" t="s">
        <v>1741</v>
      </c>
      <c r="K397" s="24" t="s">
        <v>1742</v>
      </c>
      <c r="L397" s="22" t="s">
        <v>1743</v>
      </c>
      <c r="M397" s="25"/>
      <c r="N397" s="25"/>
      <c r="O397" s="26"/>
      <c r="P397" s="27"/>
      <c r="Q397" s="28"/>
      <c r="R397" s="28"/>
      <c r="S397" s="26"/>
    </row>
    <row r="398" customFormat="false" ht="15" hidden="false" customHeight="false" outlineLevel="0" collapsed="false">
      <c r="A398" s="7" t="n">
        <v>394</v>
      </c>
      <c r="B398" s="9" t="s">
        <v>21</v>
      </c>
      <c r="C398" s="22" t="s">
        <v>1744</v>
      </c>
      <c r="D398" s="9" t="s">
        <v>899</v>
      </c>
      <c r="E398" s="9" t="s">
        <v>47</v>
      </c>
      <c r="F398" s="9" t="s">
        <v>99</v>
      </c>
      <c r="G398" s="22" t="s">
        <v>1745</v>
      </c>
      <c r="H398" s="7"/>
      <c r="I398" s="7"/>
      <c r="J398" s="23" t="s">
        <v>1746</v>
      </c>
      <c r="K398" s="24" t="s">
        <v>1747</v>
      </c>
      <c r="L398" s="22" t="s">
        <v>1748</v>
      </c>
      <c r="M398" s="25"/>
      <c r="N398" s="25"/>
      <c r="O398" s="26"/>
      <c r="P398" s="27"/>
      <c r="Q398" s="28"/>
      <c r="R398" s="28"/>
      <c r="S398" s="26"/>
    </row>
    <row r="399" customFormat="false" ht="15" hidden="false" customHeight="false" outlineLevel="0" collapsed="false">
      <c r="A399" s="7" t="n">
        <v>395</v>
      </c>
      <c r="B399" s="9" t="s">
        <v>21</v>
      </c>
      <c r="C399" s="22" t="s">
        <v>1744</v>
      </c>
      <c r="D399" s="9" t="s">
        <v>899</v>
      </c>
      <c r="E399" s="9" t="s">
        <v>48</v>
      </c>
      <c r="F399" s="9" t="s">
        <v>124</v>
      </c>
      <c r="G399" s="22" t="s">
        <v>1749</v>
      </c>
      <c r="H399" s="7"/>
      <c r="I399" s="7"/>
      <c r="J399" s="23" t="s">
        <v>1750</v>
      </c>
      <c r="K399" s="24" t="s">
        <v>1751</v>
      </c>
      <c r="L399" s="22" t="s">
        <v>1752</v>
      </c>
      <c r="M399" s="25"/>
      <c r="N399" s="25"/>
      <c r="O399" s="26"/>
      <c r="P399" s="27"/>
      <c r="Q399" s="28"/>
      <c r="R399" s="28"/>
      <c r="S399" s="26"/>
    </row>
    <row r="400" customFormat="false" ht="15" hidden="false" customHeight="false" outlineLevel="0" collapsed="false">
      <c r="A400" s="7" t="n">
        <v>396</v>
      </c>
      <c r="B400" s="9" t="s">
        <v>21</v>
      </c>
      <c r="C400" s="22" t="s">
        <v>1744</v>
      </c>
      <c r="D400" s="9" t="s">
        <v>917</v>
      </c>
      <c r="E400" s="9" t="s">
        <v>47</v>
      </c>
      <c r="F400" s="9" t="s">
        <v>99</v>
      </c>
      <c r="G400" s="22" t="s">
        <v>1753</v>
      </c>
      <c r="H400" s="7"/>
      <c r="I400" s="7"/>
      <c r="J400" s="23" t="s">
        <v>1754</v>
      </c>
      <c r="K400" s="24" t="s">
        <v>1755</v>
      </c>
      <c r="L400" s="22" t="s">
        <v>1756</v>
      </c>
      <c r="M400" s="25"/>
      <c r="N400" s="25"/>
      <c r="O400" s="26"/>
      <c r="P400" s="27"/>
      <c r="Q400" s="28"/>
      <c r="R400" s="28"/>
      <c r="S400" s="26"/>
    </row>
    <row r="401" customFormat="false" ht="15" hidden="false" customHeight="false" outlineLevel="0" collapsed="false">
      <c r="A401" s="7" t="n">
        <v>397</v>
      </c>
      <c r="B401" s="9" t="s">
        <v>21</v>
      </c>
      <c r="C401" s="22" t="s">
        <v>1744</v>
      </c>
      <c r="D401" s="9" t="s">
        <v>917</v>
      </c>
      <c r="E401" s="9" t="s">
        <v>47</v>
      </c>
      <c r="F401" s="9" t="s">
        <v>99</v>
      </c>
      <c r="G401" s="22" t="s">
        <v>1757</v>
      </c>
      <c r="H401" s="7"/>
      <c r="I401" s="7"/>
      <c r="J401" s="23" t="s">
        <v>1758</v>
      </c>
      <c r="K401" s="24" t="s">
        <v>1759</v>
      </c>
      <c r="L401" s="22" t="s">
        <v>1760</v>
      </c>
      <c r="M401" s="25"/>
      <c r="N401" s="25"/>
      <c r="O401" s="26"/>
      <c r="P401" s="27"/>
      <c r="Q401" s="28"/>
      <c r="R401" s="28"/>
      <c r="S401" s="26"/>
    </row>
    <row r="402" customFormat="false" ht="15" hidden="false" customHeight="false" outlineLevel="0" collapsed="false">
      <c r="A402" s="7" t="n">
        <v>398</v>
      </c>
      <c r="B402" s="9" t="s">
        <v>21</v>
      </c>
      <c r="C402" s="22" t="s">
        <v>1744</v>
      </c>
      <c r="D402" s="9" t="s">
        <v>917</v>
      </c>
      <c r="E402" s="9" t="s">
        <v>47</v>
      </c>
      <c r="F402" s="9" t="s">
        <v>99</v>
      </c>
      <c r="G402" s="22" t="s">
        <v>1761</v>
      </c>
      <c r="H402" s="7"/>
      <c r="I402" s="7"/>
      <c r="J402" s="23" t="s">
        <v>1762</v>
      </c>
      <c r="K402" s="24" t="s">
        <v>1763</v>
      </c>
      <c r="L402" s="22" t="s">
        <v>1764</v>
      </c>
      <c r="M402" s="25"/>
      <c r="N402" s="25"/>
      <c r="O402" s="26"/>
      <c r="P402" s="27"/>
      <c r="Q402" s="28"/>
      <c r="R402" s="28"/>
      <c r="S402" s="26"/>
    </row>
    <row r="403" customFormat="false" ht="15" hidden="false" customHeight="false" outlineLevel="0" collapsed="false">
      <c r="A403" s="7" t="n">
        <v>399</v>
      </c>
      <c r="B403" s="9" t="s">
        <v>21</v>
      </c>
      <c r="C403" s="22" t="s">
        <v>1744</v>
      </c>
      <c r="D403" s="9" t="s">
        <v>917</v>
      </c>
      <c r="E403" s="9" t="s">
        <v>48</v>
      </c>
      <c r="F403" s="9" t="s">
        <v>124</v>
      </c>
      <c r="G403" s="22" t="s">
        <v>1765</v>
      </c>
      <c r="H403" s="7"/>
      <c r="I403" s="7"/>
      <c r="J403" s="23" t="s">
        <v>1766</v>
      </c>
      <c r="K403" s="24" t="s">
        <v>1767</v>
      </c>
      <c r="L403" s="22" t="s">
        <v>1768</v>
      </c>
      <c r="M403" s="25"/>
      <c r="N403" s="25"/>
      <c r="O403" s="26"/>
      <c r="P403" s="27"/>
      <c r="Q403" s="28"/>
      <c r="R403" s="28"/>
      <c r="S403" s="26"/>
    </row>
    <row r="404" customFormat="false" ht="15" hidden="false" customHeight="false" outlineLevel="0" collapsed="false">
      <c r="A404" s="7" t="n">
        <v>400</v>
      </c>
      <c r="B404" s="9" t="s">
        <v>21</v>
      </c>
      <c r="C404" s="22" t="s">
        <v>1744</v>
      </c>
      <c r="D404" s="9" t="s">
        <v>917</v>
      </c>
      <c r="E404" s="9" t="s">
        <v>48</v>
      </c>
      <c r="F404" s="9" t="s">
        <v>124</v>
      </c>
      <c r="G404" s="22" t="s">
        <v>1769</v>
      </c>
      <c r="H404" s="7"/>
      <c r="I404" s="7"/>
      <c r="J404" s="23" t="s">
        <v>1770</v>
      </c>
      <c r="K404" s="24" t="s">
        <v>1771</v>
      </c>
      <c r="L404" s="22" t="s">
        <v>1772</v>
      </c>
      <c r="M404" s="25"/>
      <c r="N404" s="25"/>
      <c r="O404" s="26"/>
      <c r="P404" s="27"/>
      <c r="Q404" s="28"/>
      <c r="R404" s="28"/>
      <c r="S404" s="26"/>
    </row>
    <row r="405" customFormat="false" ht="15" hidden="false" customHeight="false" outlineLevel="0" collapsed="false">
      <c r="A405" s="7" t="n">
        <v>401</v>
      </c>
      <c r="B405" s="9" t="s">
        <v>21</v>
      </c>
      <c r="C405" s="22" t="s">
        <v>1744</v>
      </c>
      <c r="D405" s="9" t="s">
        <v>917</v>
      </c>
      <c r="E405" s="9" t="s">
        <v>48</v>
      </c>
      <c r="F405" s="9" t="s">
        <v>99</v>
      </c>
      <c r="G405" s="22" t="s">
        <v>1773</v>
      </c>
      <c r="H405" s="7"/>
      <c r="I405" s="7"/>
      <c r="J405" s="23" t="s">
        <v>1774</v>
      </c>
      <c r="K405" s="24" t="s">
        <v>1775</v>
      </c>
      <c r="L405" s="22" t="s">
        <v>1776</v>
      </c>
      <c r="M405" s="25"/>
      <c r="N405" s="25"/>
      <c r="O405" s="26"/>
      <c r="P405" s="27"/>
      <c r="Q405" s="28"/>
      <c r="R405" s="28"/>
      <c r="S405" s="26"/>
    </row>
    <row r="406" customFormat="false" ht="15" hidden="false" customHeight="false" outlineLevel="0" collapsed="false">
      <c r="A406" s="7" t="n">
        <v>402</v>
      </c>
      <c r="B406" s="9" t="s">
        <v>21</v>
      </c>
      <c r="C406" s="22" t="s">
        <v>1744</v>
      </c>
      <c r="D406" s="9" t="s">
        <v>917</v>
      </c>
      <c r="E406" s="9" t="s">
        <v>48</v>
      </c>
      <c r="F406" s="9" t="s">
        <v>99</v>
      </c>
      <c r="G406" s="22" t="s">
        <v>1777</v>
      </c>
      <c r="H406" s="7"/>
      <c r="I406" s="7"/>
      <c r="J406" s="23" t="s">
        <v>1778</v>
      </c>
      <c r="K406" s="24" t="s">
        <v>1779</v>
      </c>
      <c r="L406" s="22" t="s">
        <v>1780</v>
      </c>
      <c r="M406" s="25"/>
      <c r="N406" s="25"/>
      <c r="O406" s="26"/>
      <c r="P406" s="27"/>
      <c r="Q406" s="28"/>
      <c r="R406" s="28"/>
      <c r="S406" s="26"/>
    </row>
    <row r="407" customFormat="false" ht="15" hidden="false" customHeight="false" outlineLevel="0" collapsed="false">
      <c r="A407" s="7" t="n">
        <v>403</v>
      </c>
      <c r="B407" s="9" t="s">
        <v>21</v>
      </c>
      <c r="C407" s="22" t="s">
        <v>1781</v>
      </c>
      <c r="D407" s="9" t="s">
        <v>1782</v>
      </c>
      <c r="E407" s="9" t="s">
        <v>47</v>
      </c>
      <c r="F407" s="9" t="s">
        <v>99</v>
      </c>
      <c r="G407" s="22" t="s">
        <v>1783</v>
      </c>
      <c r="H407" s="7"/>
      <c r="I407" s="7" t="s">
        <v>869</v>
      </c>
      <c r="J407" s="23" t="s">
        <v>1784</v>
      </c>
      <c r="K407" s="24" t="s">
        <v>1785</v>
      </c>
      <c r="L407" s="22" t="s">
        <v>1786</v>
      </c>
      <c r="M407" s="25"/>
      <c r="N407" s="25"/>
      <c r="O407" s="26"/>
      <c r="P407" s="27"/>
      <c r="Q407" s="28"/>
      <c r="R407" s="28"/>
      <c r="S407" s="26"/>
    </row>
    <row r="408" customFormat="false" ht="15" hidden="false" customHeight="false" outlineLevel="0" collapsed="false">
      <c r="A408" s="7" t="n">
        <v>404</v>
      </c>
      <c r="B408" s="9" t="s">
        <v>21</v>
      </c>
      <c r="C408" s="22" t="s">
        <v>1781</v>
      </c>
      <c r="D408" s="9" t="s">
        <v>1782</v>
      </c>
      <c r="E408" s="9" t="s">
        <v>47</v>
      </c>
      <c r="F408" s="9" t="s">
        <v>99</v>
      </c>
      <c r="G408" s="22" t="s">
        <v>1787</v>
      </c>
      <c r="H408" s="7"/>
      <c r="I408" s="7"/>
      <c r="J408" s="23" t="s">
        <v>1788</v>
      </c>
      <c r="K408" s="24" t="s">
        <v>1789</v>
      </c>
      <c r="L408" s="22" t="s">
        <v>1790</v>
      </c>
      <c r="M408" s="25"/>
      <c r="N408" s="25"/>
      <c r="O408" s="26"/>
      <c r="P408" s="27"/>
      <c r="Q408" s="28"/>
      <c r="R408" s="28"/>
      <c r="S408" s="26"/>
    </row>
    <row r="409" customFormat="false" ht="15" hidden="false" customHeight="false" outlineLevel="0" collapsed="false">
      <c r="A409" s="7" t="n">
        <v>405</v>
      </c>
      <c r="B409" s="9" t="s">
        <v>21</v>
      </c>
      <c r="C409" s="22" t="s">
        <v>1781</v>
      </c>
      <c r="D409" s="9" t="s">
        <v>1782</v>
      </c>
      <c r="E409" s="9" t="s">
        <v>47</v>
      </c>
      <c r="F409" s="9" t="s">
        <v>99</v>
      </c>
      <c r="G409" s="22" t="s">
        <v>1791</v>
      </c>
      <c r="H409" s="7"/>
      <c r="I409" s="7"/>
      <c r="J409" s="23" t="s">
        <v>1792</v>
      </c>
      <c r="K409" s="24" t="s">
        <v>1793</v>
      </c>
      <c r="L409" s="22" t="s">
        <v>1794</v>
      </c>
      <c r="M409" s="25"/>
      <c r="N409" s="25"/>
      <c r="O409" s="26"/>
      <c r="P409" s="27"/>
      <c r="Q409" s="28"/>
      <c r="R409" s="28"/>
      <c r="S409" s="26"/>
    </row>
    <row r="410" customFormat="false" ht="15" hidden="false" customHeight="false" outlineLevel="0" collapsed="false">
      <c r="A410" s="7" t="n">
        <v>406</v>
      </c>
      <c r="B410" s="9" t="s">
        <v>21</v>
      </c>
      <c r="C410" s="22" t="s">
        <v>1781</v>
      </c>
      <c r="D410" s="9" t="s">
        <v>1782</v>
      </c>
      <c r="E410" s="9" t="s">
        <v>47</v>
      </c>
      <c r="F410" s="9" t="s">
        <v>99</v>
      </c>
      <c r="G410" s="22" t="s">
        <v>1795</v>
      </c>
      <c r="H410" s="7"/>
      <c r="I410" s="7" t="s">
        <v>869</v>
      </c>
      <c r="J410" s="23" t="s">
        <v>1796</v>
      </c>
      <c r="K410" s="24" t="s">
        <v>1797</v>
      </c>
      <c r="L410" s="22" t="s">
        <v>1798</v>
      </c>
      <c r="M410" s="25"/>
      <c r="N410" s="25"/>
      <c r="O410" s="26"/>
      <c r="P410" s="27"/>
      <c r="Q410" s="28"/>
      <c r="R410" s="28"/>
      <c r="S410" s="26"/>
    </row>
    <row r="411" customFormat="false" ht="15" hidden="false" customHeight="false" outlineLevel="0" collapsed="false">
      <c r="A411" s="7" t="n">
        <v>407</v>
      </c>
      <c r="B411" s="9" t="s">
        <v>21</v>
      </c>
      <c r="C411" s="22" t="s">
        <v>1781</v>
      </c>
      <c r="D411" s="9" t="s">
        <v>1782</v>
      </c>
      <c r="E411" s="9" t="s">
        <v>48</v>
      </c>
      <c r="F411" s="9" t="s">
        <v>99</v>
      </c>
      <c r="G411" s="22" t="s">
        <v>1799</v>
      </c>
      <c r="H411" s="7"/>
      <c r="I411" s="7"/>
      <c r="J411" s="23" t="s">
        <v>1800</v>
      </c>
      <c r="K411" s="24" t="s">
        <v>1801</v>
      </c>
      <c r="L411" s="22" t="s">
        <v>1802</v>
      </c>
      <c r="M411" s="25"/>
      <c r="N411" s="25"/>
      <c r="O411" s="26"/>
      <c r="P411" s="27"/>
      <c r="Q411" s="28"/>
      <c r="R411" s="28"/>
      <c r="S411" s="26"/>
    </row>
    <row r="412" customFormat="false" ht="15" hidden="false" customHeight="false" outlineLevel="0" collapsed="false">
      <c r="A412" s="7" t="n">
        <v>408</v>
      </c>
      <c r="B412" s="9" t="s">
        <v>21</v>
      </c>
      <c r="C412" s="22" t="s">
        <v>1781</v>
      </c>
      <c r="D412" s="9" t="s">
        <v>886</v>
      </c>
      <c r="E412" s="9" t="s">
        <v>47</v>
      </c>
      <c r="F412" s="9" t="s">
        <v>99</v>
      </c>
      <c r="G412" s="22" t="s">
        <v>1803</v>
      </c>
      <c r="H412" s="7"/>
      <c r="I412" s="7"/>
      <c r="J412" s="23" t="s">
        <v>1804</v>
      </c>
      <c r="K412" s="24" t="s">
        <v>1805</v>
      </c>
      <c r="L412" s="22" t="s">
        <v>1806</v>
      </c>
      <c r="M412" s="25"/>
      <c r="N412" s="25"/>
      <c r="O412" s="26"/>
      <c r="P412" s="27"/>
      <c r="Q412" s="28"/>
      <c r="R412" s="28"/>
      <c r="S412" s="26"/>
    </row>
    <row r="413" customFormat="false" ht="15" hidden="false" customHeight="false" outlineLevel="0" collapsed="false">
      <c r="A413" s="7" t="n">
        <v>409</v>
      </c>
      <c r="B413" s="9" t="s">
        <v>21</v>
      </c>
      <c r="C413" s="22" t="s">
        <v>1781</v>
      </c>
      <c r="D413" s="9" t="s">
        <v>886</v>
      </c>
      <c r="E413" s="9" t="s">
        <v>47</v>
      </c>
      <c r="F413" s="9" t="s">
        <v>99</v>
      </c>
      <c r="G413" s="22" t="s">
        <v>1807</v>
      </c>
      <c r="H413" s="7"/>
      <c r="I413" s="7"/>
      <c r="J413" s="23" t="s">
        <v>1808</v>
      </c>
      <c r="K413" s="24" t="s">
        <v>1809</v>
      </c>
      <c r="L413" s="22" t="s">
        <v>1810</v>
      </c>
      <c r="M413" s="25"/>
      <c r="N413" s="25"/>
      <c r="O413" s="26"/>
      <c r="P413" s="27"/>
      <c r="Q413" s="28"/>
      <c r="R413" s="28"/>
      <c r="S413" s="26"/>
    </row>
    <row r="414" customFormat="false" ht="15" hidden="false" customHeight="false" outlineLevel="0" collapsed="false">
      <c r="A414" s="7" t="n">
        <v>410</v>
      </c>
      <c r="B414" s="9" t="s">
        <v>21</v>
      </c>
      <c r="C414" s="22" t="s">
        <v>1781</v>
      </c>
      <c r="D414" s="9" t="s">
        <v>886</v>
      </c>
      <c r="E414" s="9" t="s">
        <v>47</v>
      </c>
      <c r="F414" s="9" t="s">
        <v>99</v>
      </c>
      <c r="G414" s="22" t="s">
        <v>1811</v>
      </c>
      <c r="H414" s="7"/>
      <c r="I414" s="7"/>
      <c r="J414" s="23" t="s">
        <v>1812</v>
      </c>
      <c r="K414" s="24" t="s">
        <v>1813</v>
      </c>
      <c r="L414" s="22" t="s">
        <v>1814</v>
      </c>
      <c r="M414" s="25"/>
      <c r="N414" s="25"/>
      <c r="O414" s="26"/>
      <c r="P414" s="27"/>
      <c r="Q414" s="28"/>
      <c r="R414" s="28"/>
      <c r="S414" s="26"/>
    </row>
    <row r="415" customFormat="false" ht="15" hidden="false" customHeight="false" outlineLevel="0" collapsed="false">
      <c r="A415" s="7" t="n">
        <v>411</v>
      </c>
      <c r="B415" s="9" t="s">
        <v>21</v>
      </c>
      <c r="C415" s="22" t="s">
        <v>1781</v>
      </c>
      <c r="D415" s="9" t="s">
        <v>886</v>
      </c>
      <c r="E415" s="9" t="s">
        <v>48</v>
      </c>
      <c r="F415" s="9" t="s">
        <v>124</v>
      </c>
      <c r="G415" s="22" t="s">
        <v>1815</v>
      </c>
      <c r="H415" s="7"/>
      <c r="I415" s="7"/>
      <c r="J415" s="23" t="s">
        <v>1816</v>
      </c>
      <c r="K415" s="24" t="s">
        <v>1817</v>
      </c>
      <c r="L415" s="22" t="s">
        <v>1818</v>
      </c>
      <c r="M415" s="25"/>
      <c r="N415" s="25"/>
      <c r="O415" s="26"/>
      <c r="P415" s="27"/>
      <c r="Q415" s="28"/>
      <c r="R415" s="28"/>
      <c r="S415" s="26"/>
    </row>
    <row r="416" customFormat="false" ht="15" hidden="false" customHeight="false" outlineLevel="0" collapsed="false">
      <c r="A416" s="7" t="n">
        <v>412</v>
      </c>
      <c r="B416" s="9" t="s">
        <v>21</v>
      </c>
      <c r="C416" s="22" t="s">
        <v>1781</v>
      </c>
      <c r="D416" s="9" t="s">
        <v>1000</v>
      </c>
      <c r="E416" s="9" t="s">
        <v>47</v>
      </c>
      <c r="F416" s="9" t="s">
        <v>99</v>
      </c>
      <c r="G416" s="22" t="s">
        <v>1819</v>
      </c>
      <c r="H416" s="7"/>
      <c r="I416" s="7"/>
      <c r="J416" s="23" t="s">
        <v>1820</v>
      </c>
      <c r="K416" s="24" t="s">
        <v>1821</v>
      </c>
      <c r="L416" s="22" t="s">
        <v>1822</v>
      </c>
      <c r="M416" s="25"/>
      <c r="N416" s="25"/>
      <c r="O416" s="26"/>
      <c r="P416" s="27"/>
      <c r="Q416" s="28"/>
      <c r="R416" s="28"/>
      <c r="S416" s="26"/>
    </row>
    <row r="417" customFormat="false" ht="15" hidden="false" customHeight="false" outlineLevel="0" collapsed="false">
      <c r="A417" s="7" t="n">
        <v>413</v>
      </c>
      <c r="B417" s="9" t="s">
        <v>21</v>
      </c>
      <c r="C417" s="22" t="s">
        <v>1781</v>
      </c>
      <c r="D417" s="9" t="s">
        <v>1000</v>
      </c>
      <c r="E417" s="9" t="s">
        <v>47</v>
      </c>
      <c r="F417" s="9" t="s">
        <v>99</v>
      </c>
      <c r="G417" s="22" t="s">
        <v>1823</v>
      </c>
      <c r="H417" s="7"/>
      <c r="I417" s="7"/>
      <c r="J417" s="23" t="s">
        <v>1824</v>
      </c>
      <c r="K417" s="24" t="s">
        <v>1825</v>
      </c>
      <c r="L417" s="22" t="s">
        <v>1826</v>
      </c>
      <c r="M417" s="25"/>
      <c r="N417" s="25"/>
      <c r="O417" s="26"/>
      <c r="P417" s="27"/>
      <c r="Q417" s="28"/>
      <c r="R417" s="28"/>
      <c r="S417" s="26"/>
    </row>
    <row r="418" customFormat="false" ht="15" hidden="false" customHeight="false" outlineLevel="0" collapsed="false">
      <c r="A418" s="7" t="n">
        <v>414</v>
      </c>
      <c r="B418" s="9" t="s">
        <v>21</v>
      </c>
      <c r="C418" s="22" t="s">
        <v>300</v>
      </c>
      <c r="D418" s="9" t="s">
        <v>886</v>
      </c>
      <c r="E418" s="9" t="s">
        <v>49</v>
      </c>
      <c r="F418" s="9" t="s">
        <v>124</v>
      </c>
      <c r="G418" s="22" t="s">
        <v>1827</v>
      </c>
      <c r="H418" s="7"/>
      <c r="I418" s="7"/>
      <c r="J418" s="23" t="s">
        <v>1828</v>
      </c>
      <c r="K418" s="24" t="s">
        <v>1829</v>
      </c>
      <c r="L418" s="22" t="s">
        <v>1830</v>
      </c>
      <c r="M418" s="25"/>
      <c r="N418" s="25"/>
      <c r="O418" s="26"/>
      <c r="P418" s="27"/>
      <c r="Q418" s="28"/>
      <c r="R418" s="28"/>
      <c r="S418" s="26"/>
    </row>
    <row r="419" customFormat="false" ht="15" hidden="false" customHeight="false" outlineLevel="0" collapsed="false">
      <c r="A419" s="7" t="n">
        <v>415</v>
      </c>
      <c r="B419" s="9" t="s">
        <v>21</v>
      </c>
      <c r="C419" s="22" t="s">
        <v>300</v>
      </c>
      <c r="D419" s="9" t="s">
        <v>899</v>
      </c>
      <c r="E419" s="9" t="s">
        <v>49</v>
      </c>
      <c r="F419" s="9" t="s">
        <v>99</v>
      </c>
      <c r="G419" s="22" t="s">
        <v>1831</v>
      </c>
      <c r="H419" s="7"/>
      <c r="I419" s="7"/>
      <c r="J419" s="23" t="s">
        <v>1832</v>
      </c>
      <c r="K419" s="24" t="s">
        <v>1833</v>
      </c>
      <c r="L419" s="22" t="s">
        <v>1834</v>
      </c>
      <c r="M419" s="25"/>
      <c r="N419" s="25"/>
      <c r="O419" s="26"/>
      <c r="P419" s="27"/>
      <c r="Q419" s="28"/>
      <c r="R419" s="28"/>
      <c r="S419" s="26"/>
    </row>
    <row r="420" customFormat="false" ht="15" hidden="false" customHeight="false" outlineLevel="0" collapsed="false">
      <c r="A420" s="7" t="n">
        <v>416</v>
      </c>
      <c r="B420" s="9" t="s">
        <v>21</v>
      </c>
      <c r="C420" s="22" t="s">
        <v>300</v>
      </c>
      <c r="D420" s="9" t="s">
        <v>899</v>
      </c>
      <c r="E420" s="9" t="s">
        <v>49</v>
      </c>
      <c r="F420" s="9" t="s">
        <v>124</v>
      </c>
      <c r="G420" s="22" t="s">
        <v>1835</v>
      </c>
      <c r="H420" s="7"/>
      <c r="I420" s="7"/>
      <c r="J420" s="23" t="s">
        <v>1836</v>
      </c>
      <c r="K420" s="24" t="s">
        <v>1837</v>
      </c>
      <c r="L420" s="22" t="s">
        <v>1838</v>
      </c>
      <c r="M420" s="25"/>
      <c r="N420" s="25"/>
      <c r="O420" s="26"/>
      <c r="P420" s="27"/>
      <c r="Q420" s="28"/>
      <c r="R420" s="28"/>
      <c r="S420" s="26"/>
    </row>
    <row r="421" customFormat="false" ht="15" hidden="false" customHeight="false" outlineLevel="0" collapsed="false">
      <c r="A421" s="7" t="n">
        <v>417</v>
      </c>
      <c r="B421" s="9" t="s">
        <v>21</v>
      </c>
      <c r="C421" s="22" t="s">
        <v>300</v>
      </c>
      <c r="D421" s="9" t="s">
        <v>899</v>
      </c>
      <c r="E421" s="9" t="s">
        <v>49</v>
      </c>
      <c r="F421" s="9" t="s">
        <v>124</v>
      </c>
      <c r="G421" s="22" t="s">
        <v>1839</v>
      </c>
      <c r="H421" s="7"/>
      <c r="I421" s="7"/>
      <c r="J421" s="23" t="s">
        <v>1840</v>
      </c>
      <c r="K421" s="24" t="s">
        <v>1841</v>
      </c>
      <c r="L421" s="22" t="s">
        <v>1842</v>
      </c>
      <c r="M421" s="25"/>
      <c r="N421" s="25"/>
      <c r="O421" s="26"/>
      <c r="P421" s="27"/>
      <c r="Q421" s="28"/>
      <c r="R421" s="28"/>
      <c r="S421" s="26"/>
    </row>
    <row r="422" customFormat="false" ht="15" hidden="false" customHeight="false" outlineLevel="0" collapsed="false">
      <c r="A422" s="7" t="n">
        <v>418</v>
      </c>
      <c r="B422" s="9" t="s">
        <v>21</v>
      </c>
      <c r="C422" s="22" t="s">
        <v>300</v>
      </c>
      <c r="D422" s="9" t="s">
        <v>917</v>
      </c>
      <c r="E422" s="9" t="s">
        <v>49</v>
      </c>
      <c r="F422" s="9" t="s">
        <v>124</v>
      </c>
      <c r="G422" s="22" t="s">
        <v>1843</v>
      </c>
      <c r="H422" s="7"/>
      <c r="I422" s="7" t="s">
        <v>869</v>
      </c>
      <c r="J422" s="23" t="s">
        <v>1844</v>
      </c>
      <c r="K422" s="24" t="s">
        <v>1845</v>
      </c>
      <c r="L422" s="22" t="s">
        <v>1768</v>
      </c>
      <c r="M422" s="25"/>
      <c r="N422" s="25"/>
      <c r="O422" s="26"/>
      <c r="P422" s="27"/>
      <c r="Q422" s="28"/>
      <c r="R422" s="28"/>
      <c r="S422" s="26"/>
    </row>
    <row r="423" customFormat="false" ht="15" hidden="false" customHeight="false" outlineLevel="0" collapsed="false">
      <c r="A423" s="7" t="n">
        <v>419</v>
      </c>
      <c r="B423" s="9" t="s">
        <v>21</v>
      </c>
      <c r="C423" s="22" t="s">
        <v>300</v>
      </c>
      <c r="D423" s="9" t="s">
        <v>917</v>
      </c>
      <c r="E423" s="9" t="s">
        <v>49</v>
      </c>
      <c r="F423" s="9" t="s">
        <v>124</v>
      </c>
      <c r="G423" s="22" t="s">
        <v>1846</v>
      </c>
      <c r="H423" s="7"/>
      <c r="I423" s="7"/>
      <c r="J423" s="23" t="s">
        <v>1847</v>
      </c>
      <c r="K423" s="24" t="s">
        <v>1848</v>
      </c>
      <c r="L423" s="22" t="s">
        <v>1849</v>
      </c>
      <c r="M423" s="25"/>
      <c r="N423" s="25"/>
      <c r="O423" s="26"/>
      <c r="P423" s="27"/>
      <c r="Q423" s="28"/>
      <c r="R423" s="28"/>
      <c r="S423" s="26"/>
    </row>
    <row r="424" customFormat="false" ht="15" hidden="false" customHeight="false" outlineLevel="0" collapsed="false">
      <c r="A424" s="7" t="n">
        <v>420</v>
      </c>
      <c r="B424" s="9" t="s">
        <v>21</v>
      </c>
      <c r="C424" s="22" t="s">
        <v>300</v>
      </c>
      <c r="D424" s="9" t="s">
        <v>917</v>
      </c>
      <c r="E424" s="9" t="s">
        <v>49</v>
      </c>
      <c r="F424" s="9" t="s">
        <v>124</v>
      </c>
      <c r="G424" s="22" t="s">
        <v>1850</v>
      </c>
      <c r="H424" s="7"/>
      <c r="I424" s="7"/>
      <c r="J424" s="23" t="s">
        <v>1851</v>
      </c>
      <c r="K424" s="24" t="s">
        <v>1852</v>
      </c>
      <c r="L424" s="22" t="s">
        <v>1849</v>
      </c>
      <c r="M424" s="25"/>
      <c r="N424" s="25"/>
      <c r="O424" s="26"/>
      <c r="P424" s="27"/>
      <c r="Q424" s="28"/>
      <c r="R424" s="28"/>
      <c r="S424" s="26"/>
    </row>
    <row r="425" customFormat="false" ht="15" hidden="false" customHeight="false" outlineLevel="0" collapsed="false">
      <c r="A425" s="7" t="n">
        <v>421</v>
      </c>
      <c r="B425" s="9" t="s">
        <v>23</v>
      </c>
      <c r="C425" s="22" t="s">
        <v>300</v>
      </c>
      <c r="D425" s="9" t="s">
        <v>1000</v>
      </c>
      <c r="E425" s="9" t="s">
        <v>49</v>
      </c>
      <c r="F425" s="9" t="s">
        <v>99</v>
      </c>
      <c r="G425" s="22" t="s">
        <v>1853</v>
      </c>
      <c r="H425" s="9" t="s">
        <v>56</v>
      </c>
      <c r="I425" s="7"/>
      <c r="J425" s="23" t="s">
        <v>1854</v>
      </c>
      <c r="K425" s="24" t="s">
        <v>1855</v>
      </c>
      <c r="L425" s="22" t="s">
        <v>1856</v>
      </c>
      <c r="M425" s="25"/>
      <c r="N425" s="25"/>
      <c r="O425" s="26"/>
      <c r="P425" s="27"/>
      <c r="Q425" s="28"/>
      <c r="R425" s="28"/>
      <c r="S425" s="26"/>
    </row>
    <row r="426" customFormat="false" ht="15" hidden="false" customHeight="false" outlineLevel="0" collapsed="false">
      <c r="A426" s="7" t="n">
        <v>422</v>
      </c>
      <c r="B426" s="9" t="s">
        <v>23</v>
      </c>
      <c r="C426" s="22" t="s">
        <v>300</v>
      </c>
      <c r="D426" s="9" t="s">
        <v>1000</v>
      </c>
      <c r="E426" s="9" t="s">
        <v>49</v>
      </c>
      <c r="F426" s="9" t="s">
        <v>99</v>
      </c>
      <c r="G426" s="22" t="s">
        <v>1857</v>
      </c>
      <c r="H426" s="9" t="s">
        <v>56</v>
      </c>
      <c r="I426" s="7" t="s">
        <v>869</v>
      </c>
      <c r="J426" s="23" t="s">
        <v>1858</v>
      </c>
      <c r="K426" s="24" t="s">
        <v>1859</v>
      </c>
      <c r="L426" s="22" t="s">
        <v>1860</v>
      </c>
      <c r="M426" s="25"/>
      <c r="N426" s="25"/>
      <c r="O426" s="26"/>
      <c r="P426" s="27"/>
      <c r="Q426" s="28"/>
      <c r="R426" s="28"/>
      <c r="S426" s="26"/>
    </row>
    <row r="427" customFormat="false" ht="15" hidden="false" customHeight="false" outlineLevel="0" collapsed="false">
      <c r="A427" s="7" t="n">
        <v>423</v>
      </c>
      <c r="B427" s="9" t="s">
        <v>23</v>
      </c>
      <c r="C427" s="22" t="s">
        <v>300</v>
      </c>
      <c r="D427" s="9" t="s">
        <v>1000</v>
      </c>
      <c r="E427" s="9" t="s">
        <v>49</v>
      </c>
      <c r="F427" s="9" t="s">
        <v>124</v>
      </c>
      <c r="G427" s="22" t="s">
        <v>1861</v>
      </c>
      <c r="H427" s="9" t="s">
        <v>56</v>
      </c>
      <c r="I427" s="7"/>
      <c r="J427" s="23" t="s">
        <v>1862</v>
      </c>
      <c r="K427" s="24" t="s">
        <v>1863</v>
      </c>
      <c r="L427" s="22" t="s">
        <v>1864</v>
      </c>
      <c r="M427" s="25"/>
      <c r="N427" s="25"/>
      <c r="O427" s="26"/>
      <c r="P427" s="27"/>
      <c r="Q427" s="28"/>
      <c r="R427" s="28"/>
      <c r="S427" s="26"/>
    </row>
    <row r="428" customFormat="false" ht="15" hidden="false" customHeight="false" outlineLevel="0" collapsed="false">
      <c r="A428" s="7" t="n">
        <v>424</v>
      </c>
      <c r="B428" s="9" t="s">
        <v>23</v>
      </c>
      <c r="C428" s="22" t="s">
        <v>300</v>
      </c>
      <c r="D428" s="9" t="s">
        <v>1000</v>
      </c>
      <c r="E428" s="9" t="s">
        <v>49</v>
      </c>
      <c r="F428" s="9" t="s">
        <v>124</v>
      </c>
      <c r="G428" s="22" t="s">
        <v>1865</v>
      </c>
      <c r="H428" s="9" t="s">
        <v>56</v>
      </c>
      <c r="I428" s="7" t="s">
        <v>869</v>
      </c>
      <c r="J428" s="23" t="s">
        <v>1866</v>
      </c>
      <c r="K428" s="24" t="s">
        <v>1867</v>
      </c>
      <c r="L428" s="22" t="s">
        <v>1868</v>
      </c>
      <c r="M428" s="25"/>
      <c r="N428" s="25"/>
      <c r="O428" s="26"/>
      <c r="P428" s="27"/>
      <c r="Q428" s="28"/>
      <c r="R428" s="28"/>
      <c r="S428" s="26"/>
    </row>
    <row r="429" customFormat="false" ht="15" hidden="false" customHeight="false" outlineLevel="0" collapsed="false">
      <c r="A429" s="7" t="n">
        <v>425</v>
      </c>
      <c r="B429" s="9" t="s">
        <v>23</v>
      </c>
      <c r="C429" s="22" t="s">
        <v>300</v>
      </c>
      <c r="D429" s="9" t="s">
        <v>1869</v>
      </c>
      <c r="E429" s="9" t="s">
        <v>49</v>
      </c>
      <c r="F429" s="9" t="s">
        <v>99</v>
      </c>
      <c r="G429" s="22" t="s">
        <v>1870</v>
      </c>
      <c r="H429" s="9" t="s">
        <v>55</v>
      </c>
      <c r="I429" s="7"/>
      <c r="J429" s="23" t="s">
        <v>1871</v>
      </c>
      <c r="K429" s="24" t="s">
        <v>1872</v>
      </c>
      <c r="L429" s="22" t="s">
        <v>1873</v>
      </c>
      <c r="M429" s="25"/>
      <c r="N429" s="25"/>
      <c r="O429" s="26"/>
      <c r="P429" s="27"/>
      <c r="Q429" s="28"/>
      <c r="R429" s="28"/>
      <c r="S429" s="26"/>
    </row>
    <row r="430" customFormat="false" ht="15" hidden="false" customHeight="false" outlineLevel="0" collapsed="false">
      <c r="A430" s="7" t="n">
        <v>426</v>
      </c>
      <c r="B430" s="9" t="s">
        <v>23</v>
      </c>
      <c r="C430" s="22" t="s">
        <v>300</v>
      </c>
      <c r="D430" s="9" t="s">
        <v>526</v>
      </c>
      <c r="E430" s="9" t="s">
        <v>49</v>
      </c>
      <c r="F430" s="9" t="s">
        <v>124</v>
      </c>
      <c r="G430" s="22" t="s">
        <v>1874</v>
      </c>
      <c r="H430" s="9" t="s">
        <v>57</v>
      </c>
      <c r="I430" s="7" t="s">
        <v>869</v>
      </c>
      <c r="J430" s="23" t="s">
        <v>1875</v>
      </c>
      <c r="K430" s="24" t="s">
        <v>1876</v>
      </c>
      <c r="L430" s="22" t="s">
        <v>1877</v>
      </c>
      <c r="M430" s="25"/>
      <c r="N430" s="25"/>
      <c r="O430" s="26"/>
      <c r="P430" s="27"/>
      <c r="Q430" s="28"/>
      <c r="R430" s="28"/>
      <c r="S430" s="26"/>
    </row>
    <row r="431" customFormat="false" ht="15" hidden="false" customHeight="false" outlineLevel="0" collapsed="false">
      <c r="A431" s="7" t="n">
        <v>427</v>
      </c>
      <c r="B431" s="9" t="s">
        <v>23</v>
      </c>
      <c r="C431" s="22" t="s">
        <v>300</v>
      </c>
      <c r="D431" s="9" t="s">
        <v>526</v>
      </c>
      <c r="E431" s="9" t="s">
        <v>49</v>
      </c>
      <c r="F431" s="9" t="s">
        <v>124</v>
      </c>
      <c r="G431" s="22" t="s">
        <v>1878</v>
      </c>
      <c r="H431" s="9" t="s">
        <v>56</v>
      </c>
      <c r="I431" s="7"/>
      <c r="J431" s="23" t="s">
        <v>1879</v>
      </c>
      <c r="K431" s="24" t="s">
        <v>1880</v>
      </c>
      <c r="L431" s="22" t="s">
        <v>1881</v>
      </c>
      <c r="M431" s="25"/>
      <c r="N431" s="25"/>
      <c r="O431" s="26"/>
      <c r="P431" s="27"/>
      <c r="Q431" s="28"/>
      <c r="R431" s="28"/>
      <c r="S431" s="26"/>
    </row>
    <row r="432" customFormat="false" ht="15" hidden="false" customHeight="false" outlineLevel="0" collapsed="false">
      <c r="A432" s="7" t="n">
        <v>428</v>
      </c>
      <c r="B432" s="9" t="s">
        <v>23</v>
      </c>
      <c r="C432" s="22" t="s">
        <v>300</v>
      </c>
      <c r="D432" s="9" t="s">
        <v>526</v>
      </c>
      <c r="E432" s="9" t="s">
        <v>49</v>
      </c>
      <c r="F432" s="9" t="s">
        <v>124</v>
      </c>
      <c r="G432" s="22" t="s">
        <v>1882</v>
      </c>
      <c r="H432" s="9" t="s">
        <v>56</v>
      </c>
      <c r="I432" s="7"/>
      <c r="J432" s="23" t="s">
        <v>1883</v>
      </c>
      <c r="K432" s="24" t="s">
        <v>1884</v>
      </c>
      <c r="L432" s="22" t="s">
        <v>1885</v>
      </c>
      <c r="M432" s="25"/>
      <c r="N432" s="25"/>
      <c r="O432" s="26"/>
      <c r="P432" s="27"/>
      <c r="Q432" s="28"/>
      <c r="R432" s="28"/>
      <c r="S432" s="26"/>
    </row>
    <row r="433" customFormat="false" ht="15" hidden="false" customHeight="false" outlineLevel="0" collapsed="false">
      <c r="A433" s="7" t="n">
        <v>429</v>
      </c>
      <c r="B433" s="9" t="s">
        <v>23</v>
      </c>
      <c r="C433" s="22" t="s">
        <v>300</v>
      </c>
      <c r="D433" s="9" t="s">
        <v>526</v>
      </c>
      <c r="E433" s="9" t="s">
        <v>49</v>
      </c>
      <c r="F433" s="9" t="s">
        <v>99</v>
      </c>
      <c r="G433" s="22" t="s">
        <v>1886</v>
      </c>
      <c r="H433" s="9" t="s">
        <v>56</v>
      </c>
      <c r="I433" s="7"/>
      <c r="J433" s="23" t="s">
        <v>1887</v>
      </c>
      <c r="K433" s="24" t="s">
        <v>1888</v>
      </c>
      <c r="L433" s="22" t="s">
        <v>1889</v>
      </c>
      <c r="M433" s="25"/>
      <c r="N433" s="25"/>
      <c r="O433" s="26"/>
      <c r="P433" s="27"/>
      <c r="Q433" s="28"/>
      <c r="R433" s="28"/>
      <c r="S433" s="26"/>
    </row>
    <row r="434" customFormat="false" ht="15" hidden="false" customHeight="false" outlineLevel="0" collapsed="false">
      <c r="A434" s="7" t="n">
        <v>430</v>
      </c>
      <c r="B434" s="9" t="s">
        <v>23</v>
      </c>
      <c r="C434" s="22" t="s">
        <v>611</v>
      </c>
      <c r="D434" s="9" t="s">
        <v>1890</v>
      </c>
      <c r="E434" s="9" t="s">
        <v>48</v>
      </c>
      <c r="F434" s="9" t="s">
        <v>124</v>
      </c>
      <c r="G434" s="22" t="s">
        <v>1891</v>
      </c>
      <c r="H434" s="9" t="s">
        <v>56</v>
      </c>
      <c r="I434" s="7" t="s">
        <v>869</v>
      </c>
      <c r="J434" s="23" t="s">
        <v>1892</v>
      </c>
      <c r="K434" s="24" t="s">
        <v>1893</v>
      </c>
      <c r="L434" s="22" t="s">
        <v>1894</v>
      </c>
      <c r="M434" s="25"/>
      <c r="N434" s="25"/>
      <c r="O434" s="26"/>
      <c r="P434" s="27"/>
      <c r="Q434" s="28"/>
      <c r="R434" s="28"/>
      <c r="S434" s="26"/>
    </row>
    <row r="435" customFormat="false" ht="15" hidden="false" customHeight="false" outlineLevel="0" collapsed="false">
      <c r="A435" s="7" t="n">
        <v>431</v>
      </c>
      <c r="B435" s="9" t="s">
        <v>23</v>
      </c>
      <c r="C435" s="22" t="s">
        <v>611</v>
      </c>
      <c r="D435" s="9" t="s">
        <v>899</v>
      </c>
      <c r="E435" s="9" t="s">
        <v>47</v>
      </c>
      <c r="F435" s="9" t="s">
        <v>99</v>
      </c>
      <c r="G435" s="22" t="s">
        <v>1895</v>
      </c>
      <c r="H435" s="9" t="s">
        <v>57</v>
      </c>
      <c r="I435" s="7"/>
      <c r="J435" s="23" t="s">
        <v>1896</v>
      </c>
      <c r="K435" s="24" t="s">
        <v>1897</v>
      </c>
      <c r="L435" s="22" t="s">
        <v>1898</v>
      </c>
      <c r="M435" s="25"/>
      <c r="N435" s="25"/>
      <c r="O435" s="26"/>
      <c r="P435" s="27"/>
      <c r="Q435" s="28"/>
      <c r="R435" s="28"/>
      <c r="S435" s="26"/>
    </row>
    <row r="436" customFormat="false" ht="15" hidden="false" customHeight="false" outlineLevel="0" collapsed="false">
      <c r="A436" s="7" t="n">
        <v>432</v>
      </c>
      <c r="B436" s="9" t="s">
        <v>23</v>
      </c>
      <c r="C436" s="22" t="s">
        <v>611</v>
      </c>
      <c r="D436" s="9" t="s">
        <v>899</v>
      </c>
      <c r="E436" s="9" t="s">
        <v>47</v>
      </c>
      <c r="F436" s="9" t="s">
        <v>99</v>
      </c>
      <c r="G436" s="22" t="s">
        <v>1899</v>
      </c>
      <c r="H436" s="9" t="s">
        <v>56</v>
      </c>
      <c r="I436" s="7" t="s">
        <v>869</v>
      </c>
      <c r="J436" s="23" t="s">
        <v>1900</v>
      </c>
      <c r="K436" s="24" t="s">
        <v>1901</v>
      </c>
      <c r="L436" s="22" t="s">
        <v>1902</v>
      </c>
      <c r="M436" s="25"/>
      <c r="N436" s="25"/>
      <c r="O436" s="26"/>
      <c r="P436" s="27"/>
      <c r="Q436" s="28"/>
      <c r="R436" s="28"/>
      <c r="S436" s="26"/>
    </row>
    <row r="437" customFormat="false" ht="15" hidden="false" customHeight="false" outlineLevel="0" collapsed="false">
      <c r="A437" s="7" t="n">
        <v>433</v>
      </c>
      <c r="B437" s="9" t="s">
        <v>23</v>
      </c>
      <c r="C437" s="22" t="s">
        <v>611</v>
      </c>
      <c r="D437" s="9" t="s">
        <v>526</v>
      </c>
      <c r="E437" s="9" t="s">
        <v>47</v>
      </c>
      <c r="F437" s="9" t="s">
        <v>99</v>
      </c>
      <c r="G437" s="22" t="s">
        <v>1903</v>
      </c>
      <c r="H437" s="9" t="s">
        <v>56</v>
      </c>
      <c r="I437" s="7"/>
      <c r="J437" s="23" t="s">
        <v>1904</v>
      </c>
      <c r="K437" s="24" t="s">
        <v>1905</v>
      </c>
      <c r="L437" s="22" t="s">
        <v>1906</v>
      </c>
      <c r="M437" s="25"/>
      <c r="N437" s="25"/>
      <c r="O437" s="26"/>
      <c r="P437" s="27"/>
      <c r="Q437" s="28"/>
      <c r="R437" s="28"/>
      <c r="S437" s="26"/>
    </row>
    <row r="438" customFormat="false" ht="15" hidden="false" customHeight="false" outlineLevel="0" collapsed="false">
      <c r="A438" s="7" t="n">
        <v>434</v>
      </c>
      <c r="B438" s="9" t="s">
        <v>23</v>
      </c>
      <c r="C438" s="22" t="s">
        <v>611</v>
      </c>
      <c r="D438" s="9" t="s">
        <v>526</v>
      </c>
      <c r="E438" s="9" t="s">
        <v>48</v>
      </c>
      <c r="F438" s="9" t="s">
        <v>124</v>
      </c>
      <c r="G438" s="22" t="s">
        <v>1907</v>
      </c>
      <c r="H438" s="9" t="s">
        <v>56</v>
      </c>
      <c r="I438" s="7" t="s">
        <v>869</v>
      </c>
      <c r="J438" s="23" t="s">
        <v>1908</v>
      </c>
      <c r="K438" s="24" t="s">
        <v>1909</v>
      </c>
      <c r="L438" s="22" t="s">
        <v>1910</v>
      </c>
      <c r="M438" s="25"/>
      <c r="N438" s="25"/>
      <c r="O438" s="26"/>
      <c r="P438" s="27"/>
      <c r="Q438" s="28"/>
      <c r="R438" s="28"/>
      <c r="S438" s="26"/>
    </row>
    <row r="439" customFormat="false" ht="15" hidden="false" customHeight="false" outlineLevel="0" collapsed="false">
      <c r="A439" s="7" t="n">
        <v>435</v>
      </c>
      <c r="B439" s="9" t="s">
        <v>23</v>
      </c>
      <c r="C439" s="22" t="s">
        <v>611</v>
      </c>
      <c r="D439" s="9" t="s">
        <v>526</v>
      </c>
      <c r="E439" s="9" t="s">
        <v>48</v>
      </c>
      <c r="F439" s="9" t="s">
        <v>124</v>
      </c>
      <c r="G439" s="22" t="s">
        <v>1911</v>
      </c>
      <c r="H439" s="9" t="s">
        <v>56</v>
      </c>
      <c r="I439" s="7"/>
      <c r="J439" s="23" t="s">
        <v>1912</v>
      </c>
      <c r="K439" s="24" t="s">
        <v>1913</v>
      </c>
      <c r="L439" s="22" t="s">
        <v>1914</v>
      </c>
      <c r="M439" s="25"/>
      <c r="N439" s="25"/>
      <c r="O439" s="26"/>
      <c r="P439" s="27"/>
      <c r="Q439" s="28"/>
      <c r="R439" s="28"/>
      <c r="S439" s="26"/>
    </row>
    <row r="440" customFormat="false" ht="15" hidden="false" customHeight="false" outlineLevel="0" collapsed="false">
      <c r="A440" s="7" t="n">
        <v>436</v>
      </c>
      <c r="B440" s="9" t="s">
        <v>23</v>
      </c>
      <c r="C440" s="22" t="s">
        <v>611</v>
      </c>
      <c r="D440" s="9" t="s">
        <v>526</v>
      </c>
      <c r="E440" s="9" t="s">
        <v>48</v>
      </c>
      <c r="F440" s="9" t="s">
        <v>124</v>
      </c>
      <c r="G440" s="22" t="s">
        <v>1915</v>
      </c>
      <c r="H440" s="9" t="s">
        <v>56</v>
      </c>
      <c r="I440" s="7"/>
      <c r="J440" s="23" t="s">
        <v>1916</v>
      </c>
      <c r="K440" s="24" t="s">
        <v>1917</v>
      </c>
      <c r="L440" s="22" t="s">
        <v>1918</v>
      </c>
      <c r="M440" s="25"/>
      <c r="N440" s="25"/>
      <c r="O440" s="26"/>
      <c r="P440" s="27"/>
      <c r="Q440" s="28"/>
      <c r="R440" s="28"/>
      <c r="S440" s="26"/>
    </row>
    <row r="441" customFormat="false" ht="15" hidden="false" customHeight="false" outlineLevel="0" collapsed="false">
      <c r="A441" s="7" t="n">
        <v>437</v>
      </c>
      <c r="B441" s="9" t="s">
        <v>23</v>
      </c>
      <c r="C441" s="22" t="s">
        <v>725</v>
      </c>
      <c r="D441" s="9" t="s">
        <v>1000</v>
      </c>
      <c r="E441" s="9" t="s">
        <v>47</v>
      </c>
      <c r="F441" s="9" t="s">
        <v>99</v>
      </c>
      <c r="G441" s="22" t="s">
        <v>1919</v>
      </c>
      <c r="H441" s="9" t="s">
        <v>56</v>
      </c>
      <c r="I441" s="7"/>
      <c r="J441" s="23" t="s">
        <v>1920</v>
      </c>
      <c r="K441" s="24" t="s">
        <v>1921</v>
      </c>
      <c r="L441" s="22" t="s">
        <v>1922</v>
      </c>
      <c r="M441" s="25"/>
      <c r="N441" s="25"/>
      <c r="O441" s="26"/>
      <c r="P441" s="27"/>
      <c r="Q441" s="28"/>
      <c r="R441" s="28"/>
      <c r="S441" s="26"/>
    </row>
    <row r="442" customFormat="false" ht="15" hidden="false" customHeight="false" outlineLevel="0" collapsed="false">
      <c r="A442" s="7" t="n">
        <v>438</v>
      </c>
      <c r="B442" s="9" t="s">
        <v>23</v>
      </c>
      <c r="C442" s="22" t="s">
        <v>725</v>
      </c>
      <c r="D442" s="9" t="s">
        <v>1000</v>
      </c>
      <c r="E442" s="9" t="s">
        <v>48</v>
      </c>
      <c r="F442" s="9" t="s">
        <v>99</v>
      </c>
      <c r="G442" s="22" t="s">
        <v>1923</v>
      </c>
      <c r="H442" s="9" t="s">
        <v>57</v>
      </c>
      <c r="I442" s="7"/>
      <c r="J442" s="23" t="s">
        <v>1924</v>
      </c>
      <c r="K442" s="24" t="s">
        <v>1925</v>
      </c>
      <c r="L442" s="22" t="s">
        <v>1926</v>
      </c>
      <c r="M442" s="25"/>
      <c r="N442" s="25"/>
      <c r="O442" s="26"/>
      <c r="P442" s="27"/>
      <c r="Q442" s="28"/>
      <c r="R442" s="28"/>
      <c r="S442" s="26"/>
    </row>
    <row r="443" customFormat="false" ht="15" hidden="false" customHeight="false" outlineLevel="0" collapsed="false">
      <c r="A443" s="7" t="n">
        <v>439</v>
      </c>
      <c r="B443" s="9" t="s">
        <v>23</v>
      </c>
      <c r="C443" s="22" t="s">
        <v>725</v>
      </c>
      <c r="D443" s="9" t="s">
        <v>1000</v>
      </c>
      <c r="E443" s="9" t="s">
        <v>48</v>
      </c>
      <c r="F443" s="9" t="s">
        <v>99</v>
      </c>
      <c r="G443" s="22" t="s">
        <v>1927</v>
      </c>
      <c r="H443" s="9" t="s">
        <v>57</v>
      </c>
      <c r="I443" s="7"/>
      <c r="J443" s="23" t="s">
        <v>1928</v>
      </c>
      <c r="K443" s="24" t="s">
        <v>1929</v>
      </c>
      <c r="L443" s="22" t="s">
        <v>1930</v>
      </c>
      <c r="M443" s="25"/>
      <c r="N443" s="25"/>
      <c r="O443" s="26"/>
      <c r="P443" s="27"/>
      <c r="Q443" s="28"/>
      <c r="R443" s="28"/>
      <c r="S443" s="26"/>
    </row>
    <row r="444" customFormat="false" ht="15" hidden="false" customHeight="false" outlineLevel="0" collapsed="false">
      <c r="A444" s="7" t="n">
        <v>440</v>
      </c>
      <c r="B444" s="9" t="s">
        <v>23</v>
      </c>
      <c r="C444" s="22" t="s">
        <v>725</v>
      </c>
      <c r="D444" s="9" t="s">
        <v>1000</v>
      </c>
      <c r="E444" s="9" t="s">
        <v>48</v>
      </c>
      <c r="F444" s="9" t="s">
        <v>99</v>
      </c>
      <c r="G444" s="22" t="s">
        <v>1931</v>
      </c>
      <c r="H444" s="9" t="s">
        <v>57</v>
      </c>
      <c r="I444" s="7"/>
      <c r="J444" s="23" t="s">
        <v>1932</v>
      </c>
      <c r="K444" s="24" t="s">
        <v>1933</v>
      </c>
      <c r="L444" s="22" t="s">
        <v>1934</v>
      </c>
      <c r="M444" s="25"/>
      <c r="N444" s="25"/>
      <c r="O444" s="26"/>
      <c r="P444" s="27"/>
      <c r="Q444" s="28"/>
      <c r="R444" s="28"/>
      <c r="S444" s="26"/>
    </row>
    <row r="445" customFormat="false" ht="15" hidden="false" customHeight="false" outlineLevel="0" collapsed="false">
      <c r="A445" s="7" t="n">
        <v>441</v>
      </c>
      <c r="B445" s="9" t="s">
        <v>23</v>
      </c>
      <c r="C445" s="22" t="s">
        <v>725</v>
      </c>
      <c r="D445" s="9" t="s">
        <v>1869</v>
      </c>
      <c r="E445" s="9" t="s">
        <v>47</v>
      </c>
      <c r="F445" s="9" t="s">
        <v>99</v>
      </c>
      <c r="G445" s="22" t="s">
        <v>1935</v>
      </c>
      <c r="H445" s="9" t="s">
        <v>57</v>
      </c>
      <c r="I445" s="7"/>
      <c r="J445" s="23" t="s">
        <v>1936</v>
      </c>
      <c r="K445" s="24" t="s">
        <v>1937</v>
      </c>
      <c r="L445" s="22" t="s">
        <v>1938</v>
      </c>
      <c r="M445" s="25"/>
      <c r="N445" s="25"/>
      <c r="O445" s="26"/>
      <c r="P445" s="27"/>
      <c r="Q445" s="28"/>
      <c r="R445" s="28"/>
      <c r="S445" s="26"/>
    </row>
    <row r="446" customFormat="false" ht="15" hidden="false" customHeight="false" outlineLevel="0" collapsed="false">
      <c r="A446" s="7" t="n">
        <v>442</v>
      </c>
      <c r="B446" s="9" t="s">
        <v>23</v>
      </c>
      <c r="C446" s="22" t="s">
        <v>725</v>
      </c>
      <c r="D446" s="9" t="s">
        <v>1869</v>
      </c>
      <c r="E446" s="9" t="s">
        <v>47</v>
      </c>
      <c r="F446" s="9" t="s">
        <v>99</v>
      </c>
      <c r="G446" s="22" t="s">
        <v>1939</v>
      </c>
      <c r="H446" s="9" t="s">
        <v>55</v>
      </c>
      <c r="I446" s="7" t="s">
        <v>869</v>
      </c>
      <c r="J446" s="23" t="s">
        <v>1940</v>
      </c>
      <c r="K446" s="24" t="s">
        <v>1941</v>
      </c>
      <c r="L446" s="22" t="s">
        <v>1942</v>
      </c>
      <c r="M446" s="25"/>
      <c r="N446" s="25"/>
      <c r="O446" s="26"/>
      <c r="P446" s="27"/>
      <c r="Q446" s="28"/>
      <c r="R446" s="28"/>
      <c r="S446" s="26"/>
    </row>
    <row r="447" customFormat="false" ht="15" hidden="false" customHeight="false" outlineLevel="0" collapsed="false">
      <c r="A447" s="7" t="n">
        <v>443</v>
      </c>
      <c r="B447" s="9" t="s">
        <v>25</v>
      </c>
      <c r="C447" s="22" t="s">
        <v>1943</v>
      </c>
      <c r="D447" s="9" t="s">
        <v>886</v>
      </c>
      <c r="E447" s="9" t="s">
        <v>47</v>
      </c>
      <c r="F447" s="9" t="s">
        <v>99</v>
      </c>
      <c r="G447" s="22" t="s">
        <v>1944</v>
      </c>
      <c r="H447" s="9" t="s">
        <v>57</v>
      </c>
      <c r="I447" s="7"/>
      <c r="J447" s="23" t="s">
        <v>1945</v>
      </c>
      <c r="K447" s="24" t="s">
        <v>1946</v>
      </c>
      <c r="L447" s="22" t="s">
        <v>1947</v>
      </c>
      <c r="M447" s="25"/>
      <c r="N447" s="25"/>
      <c r="O447" s="26"/>
      <c r="P447" s="27"/>
      <c r="Q447" s="28"/>
      <c r="R447" s="28"/>
      <c r="S447" s="26"/>
    </row>
    <row r="448" customFormat="false" ht="15" hidden="false" customHeight="false" outlineLevel="0" collapsed="false">
      <c r="A448" s="7" t="n">
        <v>444</v>
      </c>
      <c r="B448" s="9" t="s">
        <v>25</v>
      </c>
      <c r="C448" s="22" t="s">
        <v>1943</v>
      </c>
      <c r="D448" s="9" t="s">
        <v>886</v>
      </c>
      <c r="E448" s="9" t="s">
        <v>47</v>
      </c>
      <c r="F448" s="9" t="s">
        <v>99</v>
      </c>
      <c r="G448" s="22" t="s">
        <v>1948</v>
      </c>
      <c r="H448" s="9" t="s">
        <v>57</v>
      </c>
      <c r="I448" s="7"/>
      <c r="J448" s="23" t="s">
        <v>1949</v>
      </c>
      <c r="K448" s="24" t="s">
        <v>1950</v>
      </c>
      <c r="L448" s="22" t="s">
        <v>1951</v>
      </c>
      <c r="M448" s="25"/>
      <c r="N448" s="25"/>
      <c r="O448" s="26"/>
      <c r="P448" s="27"/>
      <c r="Q448" s="28"/>
      <c r="R448" s="28"/>
      <c r="S448" s="26"/>
    </row>
    <row r="449" customFormat="false" ht="15" hidden="false" customHeight="false" outlineLevel="0" collapsed="false">
      <c r="A449" s="7" t="n">
        <v>445</v>
      </c>
      <c r="B449" s="9" t="s">
        <v>25</v>
      </c>
      <c r="C449" s="22" t="s">
        <v>1943</v>
      </c>
      <c r="D449" s="9" t="s">
        <v>886</v>
      </c>
      <c r="E449" s="9" t="s">
        <v>47</v>
      </c>
      <c r="F449" s="9" t="s">
        <v>99</v>
      </c>
      <c r="G449" s="22" t="s">
        <v>1952</v>
      </c>
      <c r="H449" s="9" t="s">
        <v>56</v>
      </c>
      <c r="I449" s="7"/>
      <c r="J449" s="23" t="s">
        <v>1953</v>
      </c>
      <c r="K449" s="24" t="s">
        <v>1954</v>
      </c>
      <c r="L449" s="22" t="s">
        <v>1955</v>
      </c>
      <c r="M449" s="25"/>
      <c r="N449" s="25"/>
      <c r="O449" s="26"/>
      <c r="P449" s="27"/>
      <c r="Q449" s="28"/>
      <c r="R449" s="28"/>
      <c r="S449" s="26"/>
    </row>
    <row r="450" customFormat="false" ht="15" hidden="false" customHeight="false" outlineLevel="0" collapsed="false">
      <c r="A450" s="7" t="n">
        <v>446</v>
      </c>
      <c r="B450" s="9" t="s">
        <v>25</v>
      </c>
      <c r="C450" s="22" t="s">
        <v>1943</v>
      </c>
      <c r="D450" s="9" t="s">
        <v>886</v>
      </c>
      <c r="E450" s="9" t="s">
        <v>48</v>
      </c>
      <c r="F450" s="9" t="s">
        <v>99</v>
      </c>
      <c r="G450" s="22" t="s">
        <v>1956</v>
      </c>
      <c r="H450" s="9" t="s">
        <v>56</v>
      </c>
      <c r="I450" s="7"/>
      <c r="J450" s="23" t="s">
        <v>1957</v>
      </c>
      <c r="K450" s="24" t="s">
        <v>1958</v>
      </c>
      <c r="L450" s="22" t="s">
        <v>1959</v>
      </c>
      <c r="M450" s="25"/>
      <c r="N450" s="25"/>
      <c r="O450" s="26"/>
      <c r="P450" s="27"/>
      <c r="Q450" s="28"/>
      <c r="R450" s="28"/>
      <c r="S450" s="26"/>
    </row>
    <row r="451" customFormat="false" ht="15" hidden="false" customHeight="false" outlineLevel="0" collapsed="false">
      <c r="A451" s="7" t="n">
        <v>447</v>
      </c>
      <c r="B451" s="9" t="s">
        <v>25</v>
      </c>
      <c r="C451" s="22" t="s">
        <v>1943</v>
      </c>
      <c r="D451" s="9" t="s">
        <v>886</v>
      </c>
      <c r="E451" s="9" t="s">
        <v>48</v>
      </c>
      <c r="F451" s="9" t="s">
        <v>99</v>
      </c>
      <c r="G451" s="22" t="s">
        <v>1960</v>
      </c>
      <c r="H451" s="9" t="s">
        <v>56</v>
      </c>
      <c r="I451" s="7"/>
      <c r="J451" s="23" t="s">
        <v>1961</v>
      </c>
      <c r="K451" s="24" t="s">
        <v>1962</v>
      </c>
      <c r="L451" s="22" t="s">
        <v>1963</v>
      </c>
      <c r="M451" s="25"/>
      <c r="N451" s="25"/>
      <c r="O451" s="26"/>
      <c r="P451" s="27"/>
      <c r="Q451" s="28"/>
      <c r="R451" s="28"/>
      <c r="S451" s="26"/>
    </row>
    <row r="452" customFormat="false" ht="15" hidden="false" customHeight="false" outlineLevel="0" collapsed="false">
      <c r="A452" s="7" t="n">
        <v>448</v>
      </c>
      <c r="B452" s="9" t="s">
        <v>25</v>
      </c>
      <c r="C452" s="22" t="s">
        <v>1964</v>
      </c>
      <c r="D452" s="9" t="s">
        <v>899</v>
      </c>
      <c r="E452" s="9" t="s">
        <v>47</v>
      </c>
      <c r="F452" s="9" t="s">
        <v>99</v>
      </c>
      <c r="G452" s="22" t="s">
        <v>1965</v>
      </c>
      <c r="H452" s="9" t="s">
        <v>56</v>
      </c>
      <c r="I452" s="7"/>
      <c r="J452" s="23" t="s">
        <v>1966</v>
      </c>
      <c r="K452" s="24" t="s">
        <v>1967</v>
      </c>
      <c r="L452" s="22" t="s">
        <v>1968</v>
      </c>
      <c r="M452" s="25"/>
      <c r="N452" s="25"/>
      <c r="O452" s="26"/>
      <c r="P452" s="27"/>
      <c r="Q452" s="28"/>
      <c r="R452" s="28"/>
      <c r="S452" s="26"/>
    </row>
    <row r="453" customFormat="false" ht="15" hidden="false" customHeight="false" outlineLevel="0" collapsed="false">
      <c r="A453" s="7" t="n">
        <v>449</v>
      </c>
      <c r="B453" s="9" t="s">
        <v>25</v>
      </c>
      <c r="C453" s="22" t="s">
        <v>1964</v>
      </c>
      <c r="D453" s="9" t="s">
        <v>899</v>
      </c>
      <c r="E453" s="9" t="s">
        <v>47</v>
      </c>
      <c r="F453" s="9" t="s">
        <v>99</v>
      </c>
      <c r="G453" s="22" t="s">
        <v>1969</v>
      </c>
      <c r="H453" s="9" t="s">
        <v>56</v>
      </c>
      <c r="I453" s="7"/>
      <c r="J453" s="23" t="s">
        <v>1970</v>
      </c>
      <c r="K453" s="24" t="s">
        <v>1971</v>
      </c>
      <c r="L453" s="22" t="s">
        <v>1972</v>
      </c>
      <c r="M453" s="25"/>
      <c r="N453" s="25"/>
      <c r="O453" s="26"/>
      <c r="P453" s="27"/>
      <c r="Q453" s="28"/>
      <c r="R453" s="28"/>
      <c r="S453" s="26"/>
    </row>
    <row r="454" customFormat="false" ht="15" hidden="false" customHeight="false" outlineLevel="0" collapsed="false">
      <c r="A454" s="7" t="n">
        <v>450</v>
      </c>
      <c r="B454" s="9" t="s">
        <v>25</v>
      </c>
      <c r="C454" s="22" t="s">
        <v>1964</v>
      </c>
      <c r="D454" s="9" t="s">
        <v>917</v>
      </c>
      <c r="E454" s="9" t="s">
        <v>47</v>
      </c>
      <c r="F454" s="9" t="s">
        <v>99</v>
      </c>
      <c r="G454" s="22" t="s">
        <v>1973</v>
      </c>
      <c r="H454" s="9" t="s">
        <v>56</v>
      </c>
      <c r="I454" s="7"/>
      <c r="J454" s="23" t="s">
        <v>1974</v>
      </c>
      <c r="K454" s="24" t="s">
        <v>1975</v>
      </c>
      <c r="L454" s="22" t="s">
        <v>1976</v>
      </c>
      <c r="M454" s="25"/>
      <c r="N454" s="25"/>
      <c r="O454" s="26"/>
      <c r="P454" s="27"/>
      <c r="Q454" s="28"/>
      <c r="R454" s="28"/>
      <c r="S454" s="26"/>
    </row>
    <row r="455" customFormat="false" ht="15" hidden="false" customHeight="false" outlineLevel="0" collapsed="false">
      <c r="A455" s="7" t="n">
        <v>451</v>
      </c>
      <c r="B455" s="9" t="s">
        <v>25</v>
      </c>
      <c r="C455" s="22" t="s">
        <v>1964</v>
      </c>
      <c r="D455" s="9" t="s">
        <v>917</v>
      </c>
      <c r="E455" s="9" t="s">
        <v>47</v>
      </c>
      <c r="F455" s="9" t="s">
        <v>99</v>
      </c>
      <c r="G455" s="22" t="s">
        <v>1977</v>
      </c>
      <c r="H455" s="9" t="s">
        <v>56</v>
      </c>
      <c r="I455" s="7"/>
      <c r="J455" s="23" t="s">
        <v>1978</v>
      </c>
      <c r="K455" s="24" t="s">
        <v>1979</v>
      </c>
      <c r="L455" s="22" t="s">
        <v>1980</v>
      </c>
      <c r="M455" s="25"/>
      <c r="N455" s="25"/>
      <c r="O455" s="26"/>
      <c r="P455" s="27"/>
      <c r="Q455" s="28"/>
      <c r="R455" s="28"/>
      <c r="S455" s="26"/>
    </row>
    <row r="456" customFormat="false" ht="15" hidden="false" customHeight="false" outlineLevel="0" collapsed="false">
      <c r="A456" s="7" t="n">
        <v>452</v>
      </c>
      <c r="B456" s="9" t="s">
        <v>25</v>
      </c>
      <c r="C456" s="22" t="s">
        <v>1964</v>
      </c>
      <c r="D456" s="9" t="s">
        <v>917</v>
      </c>
      <c r="E456" s="9" t="s">
        <v>48</v>
      </c>
      <c r="F456" s="9" t="s">
        <v>99</v>
      </c>
      <c r="G456" s="22" t="s">
        <v>1981</v>
      </c>
      <c r="H456" s="9" t="s">
        <v>57</v>
      </c>
      <c r="I456" s="7"/>
      <c r="J456" s="23" t="s">
        <v>1982</v>
      </c>
      <c r="K456" s="24" t="s">
        <v>1983</v>
      </c>
      <c r="L456" s="22" t="s">
        <v>1984</v>
      </c>
      <c r="M456" s="25"/>
      <c r="N456" s="25"/>
      <c r="O456" s="26"/>
      <c r="P456" s="27"/>
      <c r="Q456" s="28"/>
      <c r="R456" s="28"/>
      <c r="S456" s="26"/>
    </row>
    <row r="457" customFormat="false" ht="15" hidden="false" customHeight="false" outlineLevel="0" collapsed="false">
      <c r="A457" s="7" t="n">
        <v>453</v>
      </c>
      <c r="B457" s="9" t="s">
        <v>25</v>
      </c>
      <c r="C457" s="22" t="s">
        <v>1964</v>
      </c>
      <c r="D457" s="9" t="s">
        <v>917</v>
      </c>
      <c r="E457" s="9" t="s">
        <v>48</v>
      </c>
      <c r="F457" s="9" t="s">
        <v>99</v>
      </c>
      <c r="G457" s="22" t="s">
        <v>1985</v>
      </c>
      <c r="H457" s="9" t="s">
        <v>56</v>
      </c>
      <c r="I457" s="7"/>
      <c r="J457" s="23" t="s">
        <v>1986</v>
      </c>
      <c r="K457" s="24" t="s">
        <v>1987</v>
      </c>
      <c r="L457" s="22" t="s">
        <v>1988</v>
      </c>
      <c r="M457" s="25"/>
      <c r="N457" s="25"/>
      <c r="O457" s="26"/>
      <c r="P457" s="27"/>
      <c r="Q457" s="28"/>
      <c r="R457" s="28"/>
      <c r="S457" s="26"/>
    </row>
    <row r="458" customFormat="false" ht="15" hidden="false" customHeight="false" outlineLevel="0" collapsed="false">
      <c r="A458" s="7" t="n">
        <v>454</v>
      </c>
      <c r="B458" s="9" t="s">
        <v>25</v>
      </c>
      <c r="C458" s="22" t="s">
        <v>300</v>
      </c>
      <c r="D458" s="9" t="s">
        <v>886</v>
      </c>
      <c r="E458" s="9" t="s">
        <v>49</v>
      </c>
      <c r="F458" s="9" t="s">
        <v>99</v>
      </c>
      <c r="G458" s="22" t="s">
        <v>1989</v>
      </c>
      <c r="H458" s="9" t="s">
        <v>56</v>
      </c>
      <c r="I458" s="7"/>
      <c r="J458" s="23" t="s">
        <v>1990</v>
      </c>
      <c r="K458" s="24" t="s">
        <v>1991</v>
      </c>
      <c r="L458" s="22" t="s">
        <v>1992</v>
      </c>
      <c r="M458" s="25"/>
      <c r="N458" s="25"/>
      <c r="O458" s="26"/>
      <c r="P458" s="27"/>
      <c r="Q458" s="28"/>
      <c r="R458" s="28"/>
      <c r="S458" s="26"/>
    </row>
    <row r="459" customFormat="false" ht="15" hidden="false" customHeight="false" outlineLevel="0" collapsed="false">
      <c r="A459" s="7" t="n">
        <v>455</v>
      </c>
      <c r="B459" s="9" t="s">
        <v>25</v>
      </c>
      <c r="C459" s="22" t="s">
        <v>300</v>
      </c>
      <c r="D459" s="9" t="s">
        <v>886</v>
      </c>
      <c r="E459" s="9" t="s">
        <v>49</v>
      </c>
      <c r="F459" s="9" t="s">
        <v>124</v>
      </c>
      <c r="G459" s="22" t="s">
        <v>1993</v>
      </c>
      <c r="H459" s="9" t="s">
        <v>56</v>
      </c>
      <c r="I459" s="7"/>
      <c r="J459" s="23" t="s">
        <v>1994</v>
      </c>
      <c r="K459" s="24" t="s">
        <v>1995</v>
      </c>
      <c r="L459" s="22" t="s">
        <v>1996</v>
      </c>
      <c r="M459" s="25"/>
      <c r="N459" s="25"/>
      <c r="O459" s="26"/>
      <c r="P459" s="27"/>
      <c r="Q459" s="28"/>
      <c r="R459" s="28"/>
      <c r="S459" s="26"/>
    </row>
    <row r="460" customFormat="false" ht="15" hidden="false" customHeight="false" outlineLevel="0" collapsed="false">
      <c r="A460" s="7" t="n">
        <v>456</v>
      </c>
      <c r="B460" s="9" t="s">
        <v>25</v>
      </c>
      <c r="C460" s="22" t="s">
        <v>300</v>
      </c>
      <c r="D460" s="9" t="s">
        <v>917</v>
      </c>
      <c r="E460" s="9" t="s">
        <v>49</v>
      </c>
      <c r="F460" s="9" t="s">
        <v>99</v>
      </c>
      <c r="G460" s="22" t="s">
        <v>1997</v>
      </c>
      <c r="H460" s="9" t="s">
        <v>56</v>
      </c>
      <c r="I460" s="7"/>
      <c r="J460" s="23" t="s">
        <v>1998</v>
      </c>
      <c r="K460" s="24" t="s">
        <v>1999</v>
      </c>
      <c r="L460" s="22" t="s">
        <v>2000</v>
      </c>
      <c r="M460" s="25"/>
      <c r="N460" s="25"/>
      <c r="O460" s="26"/>
      <c r="P460" s="27"/>
      <c r="Q460" s="28"/>
      <c r="R460" s="28"/>
      <c r="S460" s="26"/>
    </row>
    <row r="461" customFormat="false" ht="15" hidden="false" customHeight="false" outlineLevel="0" collapsed="false">
      <c r="A461" s="7" t="n">
        <v>457</v>
      </c>
      <c r="B461" s="9" t="s">
        <v>25</v>
      </c>
      <c r="C461" s="22" t="s">
        <v>300</v>
      </c>
      <c r="D461" s="9" t="s">
        <v>2001</v>
      </c>
      <c r="E461" s="9" t="s">
        <v>49</v>
      </c>
      <c r="F461" s="9" t="s">
        <v>124</v>
      </c>
      <c r="G461" s="22" t="s">
        <v>2002</v>
      </c>
      <c r="H461" s="9" t="s">
        <v>56</v>
      </c>
      <c r="I461" s="7"/>
      <c r="J461" s="23" t="s">
        <v>2003</v>
      </c>
      <c r="K461" s="24" t="s">
        <v>2004</v>
      </c>
      <c r="L461" s="22" t="s">
        <v>2005</v>
      </c>
      <c r="M461" s="25"/>
      <c r="N461" s="25"/>
      <c r="O461" s="26"/>
      <c r="P461" s="27"/>
      <c r="Q461" s="28"/>
      <c r="R461" s="28"/>
      <c r="S461" s="26"/>
    </row>
    <row r="462" customFormat="false" ht="15" hidden="false" customHeight="false" outlineLevel="0" collapsed="false">
      <c r="A462" s="7" t="n">
        <v>458</v>
      </c>
      <c r="B462" s="9" t="s">
        <v>25</v>
      </c>
      <c r="C462" s="22" t="s">
        <v>300</v>
      </c>
      <c r="D462" s="9" t="s">
        <v>526</v>
      </c>
      <c r="E462" s="9" t="s">
        <v>49</v>
      </c>
      <c r="F462" s="9" t="s">
        <v>99</v>
      </c>
      <c r="G462" s="22" t="s">
        <v>2006</v>
      </c>
      <c r="H462" s="9" t="s">
        <v>56</v>
      </c>
      <c r="I462" s="7"/>
      <c r="J462" s="23" t="s">
        <v>2007</v>
      </c>
      <c r="K462" s="24" t="s">
        <v>2008</v>
      </c>
      <c r="L462" s="22" t="s">
        <v>2009</v>
      </c>
      <c r="M462" s="25"/>
      <c r="N462" s="25"/>
      <c r="O462" s="26"/>
      <c r="P462" s="27"/>
      <c r="Q462" s="28"/>
      <c r="R462" s="28"/>
      <c r="S462" s="26"/>
    </row>
    <row r="463" customFormat="false" ht="15" hidden="false" customHeight="false" outlineLevel="0" collapsed="false">
      <c r="A463" s="7" t="n">
        <v>459</v>
      </c>
      <c r="B463" s="9" t="s">
        <v>29</v>
      </c>
      <c r="C463" s="22" t="s">
        <v>2010</v>
      </c>
      <c r="D463" s="9" t="s">
        <v>2011</v>
      </c>
      <c r="E463" s="9" t="s">
        <v>47</v>
      </c>
      <c r="F463" s="9" t="s">
        <v>99</v>
      </c>
      <c r="G463" s="22" t="s">
        <v>2012</v>
      </c>
      <c r="H463" s="9" t="s">
        <v>56</v>
      </c>
      <c r="I463" s="7"/>
      <c r="J463" s="23" t="s">
        <v>2013</v>
      </c>
      <c r="K463" s="24" t="s">
        <v>2014</v>
      </c>
      <c r="L463" s="22" t="s">
        <v>2015</v>
      </c>
      <c r="M463" s="25"/>
      <c r="N463" s="25"/>
      <c r="O463" s="26"/>
      <c r="P463" s="27"/>
      <c r="Q463" s="28"/>
      <c r="R463" s="28"/>
      <c r="S463" s="26"/>
    </row>
    <row r="464" customFormat="false" ht="15" hidden="false" customHeight="false" outlineLevel="0" collapsed="false">
      <c r="A464" s="7" t="n">
        <v>460</v>
      </c>
      <c r="B464" s="9" t="s">
        <v>29</v>
      </c>
      <c r="C464" s="22" t="s">
        <v>2010</v>
      </c>
      <c r="D464" s="9" t="s">
        <v>2011</v>
      </c>
      <c r="E464" s="9" t="s">
        <v>47</v>
      </c>
      <c r="F464" s="9" t="s">
        <v>99</v>
      </c>
      <c r="G464" s="22" t="s">
        <v>2016</v>
      </c>
      <c r="H464" s="9" t="s">
        <v>56</v>
      </c>
      <c r="I464" s="7"/>
      <c r="J464" s="23" t="s">
        <v>2017</v>
      </c>
      <c r="K464" s="24" t="s">
        <v>2018</v>
      </c>
      <c r="L464" s="22" t="s">
        <v>2019</v>
      </c>
      <c r="M464" s="25"/>
      <c r="N464" s="25"/>
      <c r="O464" s="26"/>
      <c r="P464" s="27"/>
      <c r="Q464" s="28"/>
      <c r="R464" s="28"/>
      <c r="S464" s="26"/>
    </row>
    <row r="465" customFormat="false" ht="15" hidden="false" customHeight="false" outlineLevel="0" collapsed="false">
      <c r="A465" s="7" t="n">
        <v>461</v>
      </c>
      <c r="B465" s="9" t="s">
        <v>29</v>
      </c>
      <c r="C465" s="22" t="s">
        <v>2010</v>
      </c>
      <c r="D465" s="9" t="s">
        <v>2011</v>
      </c>
      <c r="E465" s="9" t="s">
        <v>48</v>
      </c>
      <c r="F465" s="9" t="s">
        <v>99</v>
      </c>
      <c r="G465" s="22" t="s">
        <v>2020</v>
      </c>
      <c r="H465" s="9" t="s">
        <v>57</v>
      </c>
      <c r="I465" s="7"/>
      <c r="J465" s="23" t="s">
        <v>2021</v>
      </c>
      <c r="K465" s="24" t="s">
        <v>2022</v>
      </c>
      <c r="L465" s="22" t="s">
        <v>2023</v>
      </c>
      <c r="M465" s="25"/>
      <c r="N465" s="25"/>
      <c r="O465" s="26"/>
      <c r="P465" s="27"/>
      <c r="Q465" s="28"/>
      <c r="R465" s="28"/>
      <c r="S465" s="26"/>
    </row>
    <row r="466" customFormat="false" ht="15" hidden="false" customHeight="false" outlineLevel="0" collapsed="false">
      <c r="A466" s="7" t="n">
        <v>462</v>
      </c>
      <c r="B466" s="9" t="s">
        <v>29</v>
      </c>
      <c r="C466" s="22" t="s">
        <v>2024</v>
      </c>
      <c r="D466" s="9" t="s">
        <v>2025</v>
      </c>
      <c r="E466" s="9" t="s">
        <v>47</v>
      </c>
      <c r="F466" s="9" t="s">
        <v>99</v>
      </c>
      <c r="G466" s="22" t="s">
        <v>2026</v>
      </c>
      <c r="H466" s="9" t="s">
        <v>57</v>
      </c>
      <c r="I466" s="7"/>
      <c r="J466" s="23" t="s">
        <v>2027</v>
      </c>
      <c r="K466" s="24" t="s">
        <v>2028</v>
      </c>
      <c r="L466" s="22" t="s">
        <v>2029</v>
      </c>
      <c r="M466" s="25"/>
      <c r="N466" s="25"/>
      <c r="O466" s="26"/>
      <c r="P466" s="27"/>
      <c r="Q466" s="28"/>
      <c r="R466" s="28"/>
      <c r="S466" s="26"/>
    </row>
    <row r="467" customFormat="false" ht="15" hidden="false" customHeight="false" outlineLevel="0" collapsed="false">
      <c r="A467" s="7" t="n">
        <v>463</v>
      </c>
      <c r="B467" s="9" t="s">
        <v>29</v>
      </c>
      <c r="C467" s="22" t="s">
        <v>2024</v>
      </c>
      <c r="D467" s="9" t="s">
        <v>2025</v>
      </c>
      <c r="E467" s="9" t="s">
        <v>47</v>
      </c>
      <c r="F467" s="9" t="s">
        <v>99</v>
      </c>
      <c r="G467" s="22" t="s">
        <v>2030</v>
      </c>
      <c r="H467" s="9" t="s">
        <v>56</v>
      </c>
      <c r="I467" s="7"/>
      <c r="J467" s="23" t="s">
        <v>2031</v>
      </c>
      <c r="K467" s="24" t="s">
        <v>2032</v>
      </c>
      <c r="L467" s="22" t="s">
        <v>2033</v>
      </c>
      <c r="M467" s="25"/>
      <c r="N467" s="25"/>
      <c r="O467" s="26"/>
      <c r="P467" s="27"/>
      <c r="Q467" s="28"/>
      <c r="R467" s="28"/>
      <c r="S467" s="26"/>
    </row>
    <row r="468" customFormat="false" ht="15" hidden="false" customHeight="false" outlineLevel="0" collapsed="false">
      <c r="A468" s="7" t="n">
        <v>464</v>
      </c>
      <c r="B468" s="9" t="s">
        <v>29</v>
      </c>
      <c r="C468" s="22" t="s">
        <v>2024</v>
      </c>
      <c r="D468" s="9" t="s">
        <v>2025</v>
      </c>
      <c r="E468" s="9" t="s">
        <v>47</v>
      </c>
      <c r="F468" s="9" t="s">
        <v>99</v>
      </c>
      <c r="G468" s="22" t="s">
        <v>2034</v>
      </c>
      <c r="H468" s="9" t="s">
        <v>57</v>
      </c>
      <c r="I468" s="7"/>
      <c r="J468" s="23" t="s">
        <v>2035</v>
      </c>
      <c r="K468" s="24" t="s">
        <v>2036</v>
      </c>
      <c r="L468" s="22" t="s">
        <v>2037</v>
      </c>
      <c r="M468" s="25"/>
      <c r="N468" s="25"/>
      <c r="O468" s="26"/>
      <c r="P468" s="27"/>
      <c r="Q468" s="28"/>
      <c r="R468" s="28"/>
      <c r="S468" s="26"/>
    </row>
    <row r="469" customFormat="false" ht="15" hidden="false" customHeight="false" outlineLevel="0" collapsed="false">
      <c r="A469" s="7" t="n">
        <v>465</v>
      </c>
      <c r="B469" s="9" t="s">
        <v>29</v>
      </c>
      <c r="C469" s="22" t="s">
        <v>2024</v>
      </c>
      <c r="D469" s="9" t="s">
        <v>2025</v>
      </c>
      <c r="E469" s="9" t="s">
        <v>47</v>
      </c>
      <c r="F469" s="9" t="s">
        <v>99</v>
      </c>
      <c r="G469" s="22" t="s">
        <v>2038</v>
      </c>
      <c r="H469" s="9" t="s">
        <v>56</v>
      </c>
      <c r="I469" s="7"/>
      <c r="J469" s="23" t="s">
        <v>2039</v>
      </c>
      <c r="K469" s="24" t="s">
        <v>2040</v>
      </c>
      <c r="L469" s="22" t="s">
        <v>2041</v>
      </c>
      <c r="M469" s="25"/>
      <c r="N469" s="25"/>
      <c r="O469" s="26"/>
      <c r="P469" s="27"/>
      <c r="Q469" s="28"/>
      <c r="R469" s="28"/>
      <c r="S469" s="26"/>
    </row>
    <row r="470" customFormat="false" ht="15" hidden="false" customHeight="false" outlineLevel="0" collapsed="false">
      <c r="A470" s="7" t="n">
        <v>466</v>
      </c>
      <c r="B470" s="9" t="s">
        <v>29</v>
      </c>
      <c r="C470" s="22" t="s">
        <v>2024</v>
      </c>
      <c r="D470" s="9" t="s">
        <v>2025</v>
      </c>
      <c r="E470" s="9" t="s">
        <v>47</v>
      </c>
      <c r="F470" s="9" t="s">
        <v>99</v>
      </c>
      <c r="G470" s="22" t="s">
        <v>2042</v>
      </c>
      <c r="H470" s="9" t="s">
        <v>57</v>
      </c>
      <c r="I470" s="7"/>
      <c r="J470" s="23" t="s">
        <v>2043</v>
      </c>
      <c r="K470" s="24" t="s">
        <v>2044</v>
      </c>
      <c r="L470" s="22" t="s">
        <v>2045</v>
      </c>
      <c r="M470" s="25"/>
      <c r="N470" s="25"/>
      <c r="O470" s="26"/>
      <c r="P470" s="27"/>
      <c r="Q470" s="28"/>
      <c r="R470" s="28"/>
      <c r="S470" s="26"/>
    </row>
    <row r="471" customFormat="false" ht="15" hidden="false" customHeight="false" outlineLevel="0" collapsed="false">
      <c r="A471" s="7" t="n">
        <v>467</v>
      </c>
      <c r="B471" s="9" t="s">
        <v>29</v>
      </c>
      <c r="C471" s="22" t="s">
        <v>2024</v>
      </c>
      <c r="D471" s="9" t="s">
        <v>2025</v>
      </c>
      <c r="E471" s="9" t="s">
        <v>47</v>
      </c>
      <c r="F471" s="9" t="s">
        <v>99</v>
      </c>
      <c r="G471" s="22" t="s">
        <v>2046</v>
      </c>
      <c r="H471" s="9" t="s">
        <v>56</v>
      </c>
      <c r="I471" s="7"/>
      <c r="J471" s="23" t="s">
        <v>2047</v>
      </c>
      <c r="K471" s="24" t="s">
        <v>2048</v>
      </c>
      <c r="L471" s="22" t="s">
        <v>2049</v>
      </c>
      <c r="M471" s="25"/>
      <c r="N471" s="25"/>
      <c r="O471" s="26"/>
      <c r="P471" s="27"/>
      <c r="Q471" s="28"/>
      <c r="R471" s="28"/>
      <c r="S471" s="26"/>
    </row>
    <row r="472" customFormat="false" ht="15" hidden="false" customHeight="false" outlineLevel="0" collapsed="false">
      <c r="A472" s="7" t="n">
        <v>468</v>
      </c>
      <c r="B472" s="9" t="s">
        <v>29</v>
      </c>
      <c r="C472" s="22" t="s">
        <v>2024</v>
      </c>
      <c r="D472" s="9" t="s">
        <v>2025</v>
      </c>
      <c r="E472" s="9" t="s">
        <v>48</v>
      </c>
      <c r="F472" s="9" t="s">
        <v>99</v>
      </c>
      <c r="G472" s="22" t="s">
        <v>2050</v>
      </c>
      <c r="H472" s="9" t="s">
        <v>56</v>
      </c>
      <c r="I472" s="7"/>
      <c r="J472" s="23" t="s">
        <v>2051</v>
      </c>
      <c r="K472" s="24" t="s">
        <v>2052</v>
      </c>
      <c r="L472" s="22" t="s">
        <v>2053</v>
      </c>
      <c r="M472" s="25"/>
      <c r="N472" s="25"/>
      <c r="O472" s="26"/>
      <c r="P472" s="27"/>
      <c r="Q472" s="28"/>
      <c r="R472" s="28"/>
      <c r="S472" s="26"/>
    </row>
    <row r="473" customFormat="false" ht="15" hidden="false" customHeight="false" outlineLevel="0" collapsed="false">
      <c r="A473" s="7" t="n">
        <v>469</v>
      </c>
      <c r="B473" s="9" t="s">
        <v>29</v>
      </c>
      <c r="C473" s="22" t="s">
        <v>2054</v>
      </c>
      <c r="D473" s="9" t="s">
        <v>2055</v>
      </c>
      <c r="E473" s="9" t="s">
        <v>47</v>
      </c>
      <c r="F473" s="9" t="s">
        <v>99</v>
      </c>
      <c r="G473" s="22" t="s">
        <v>2056</v>
      </c>
      <c r="H473" s="9" t="s">
        <v>57</v>
      </c>
      <c r="I473" s="7"/>
      <c r="J473" s="23" t="s">
        <v>2057</v>
      </c>
      <c r="K473" s="24" t="s">
        <v>2058</v>
      </c>
      <c r="L473" s="22" t="s">
        <v>2059</v>
      </c>
      <c r="M473" s="25"/>
      <c r="N473" s="25"/>
      <c r="O473" s="26"/>
      <c r="P473" s="27"/>
      <c r="Q473" s="28"/>
      <c r="R473" s="28"/>
      <c r="S473" s="26"/>
    </row>
    <row r="474" customFormat="false" ht="15" hidden="false" customHeight="false" outlineLevel="0" collapsed="false">
      <c r="A474" s="7" t="n">
        <v>470</v>
      </c>
      <c r="B474" s="9" t="s">
        <v>29</v>
      </c>
      <c r="C474" s="22" t="s">
        <v>2054</v>
      </c>
      <c r="D474" s="9" t="s">
        <v>2055</v>
      </c>
      <c r="E474" s="9" t="s">
        <v>48</v>
      </c>
      <c r="F474" s="9" t="s">
        <v>99</v>
      </c>
      <c r="G474" s="22" t="s">
        <v>2060</v>
      </c>
      <c r="H474" s="9" t="s">
        <v>57</v>
      </c>
      <c r="I474" s="7"/>
      <c r="J474" s="23" t="s">
        <v>2061</v>
      </c>
      <c r="K474" s="24" t="s">
        <v>2062</v>
      </c>
      <c r="L474" s="22" t="s">
        <v>2063</v>
      </c>
      <c r="M474" s="25"/>
      <c r="N474" s="25"/>
      <c r="O474" s="26"/>
      <c r="P474" s="27"/>
      <c r="Q474" s="28"/>
      <c r="R474" s="28"/>
      <c r="S474" s="26"/>
    </row>
    <row r="475" customFormat="false" ht="15" hidden="false" customHeight="false" outlineLevel="0" collapsed="false">
      <c r="A475" s="7" t="n">
        <v>471</v>
      </c>
      <c r="B475" s="9" t="s">
        <v>29</v>
      </c>
      <c r="C475" s="22" t="s">
        <v>2054</v>
      </c>
      <c r="D475" s="9" t="s">
        <v>2055</v>
      </c>
      <c r="E475" s="9" t="s">
        <v>48</v>
      </c>
      <c r="F475" s="9" t="s">
        <v>99</v>
      </c>
      <c r="G475" s="22" t="s">
        <v>2064</v>
      </c>
      <c r="H475" s="9" t="s">
        <v>56</v>
      </c>
      <c r="I475" s="7"/>
      <c r="J475" s="23" t="s">
        <v>2065</v>
      </c>
      <c r="K475" s="24" t="s">
        <v>2066</v>
      </c>
      <c r="L475" s="22" t="s">
        <v>2067</v>
      </c>
      <c r="M475" s="25"/>
      <c r="N475" s="25"/>
      <c r="O475" s="26"/>
      <c r="P475" s="27"/>
      <c r="Q475" s="28"/>
      <c r="R475" s="28"/>
      <c r="S475" s="26"/>
    </row>
    <row r="476" customFormat="false" ht="15" hidden="false" customHeight="false" outlineLevel="0" collapsed="false">
      <c r="A476" s="7" t="n">
        <v>472</v>
      </c>
      <c r="B476" s="9" t="s">
        <v>29</v>
      </c>
      <c r="C476" s="22" t="s">
        <v>2068</v>
      </c>
      <c r="D476" s="9" t="s">
        <v>2069</v>
      </c>
      <c r="E476" s="9" t="s">
        <v>47</v>
      </c>
      <c r="F476" s="9" t="s">
        <v>99</v>
      </c>
      <c r="G476" s="22" t="s">
        <v>2070</v>
      </c>
      <c r="H476" s="9" t="s">
        <v>57</v>
      </c>
      <c r="I476" s="7"/>
      <c r="J476" s="23" t="s">
        <v>2071</v>
      </c>
      <c r="K476" s="24" t="s">
        <v>2072</v>
      </c>
      <c r="L476" s="22" t="s">
        <v>2073</v>
      </c>
      <c r="M476" s="25"/>
      <c r="N476" s="25"/>
      <c r="O476" s="26"/>
      <c r="P476" s="27"/>
      <c r="Q476" s="28"/>
      <c r="R476" s="28"/>
      <c r="S476" s="26"/>
    </row>
    <row r="477" customFormat="false" ht="15" hidden="false" customHeight="false" outlineLevel="0" collapsed="false">
      <c r="A477" s="7" t="n">
        <v>473</v>
      </c>
      <c r="B477" s="9" t="s">
        <v>29</v>
      </c>
      <c r="C477" s="22" t="s">
        <v>2068</v>
      </c>
      <c r="D477" s="9" t="s">
        <v>2069</v>
      </c>
      <c r="E477" s="9" t="s">
        <v>47</v>
      </c>
      <c r="F477" s="9" t="s">
        <v>99</v>
      </c>
      <c r="G477" s="22" t="s">
        <v>2074</v>
      </c>
      <c r="H477" s="9" t="s">
        <v>56</v>
      </c>
      <c r="I477" s="7"/>
      <c r="J477" s="23" t="s">
        <v>2075</v>
      </c>
      <c r="K477" s="24" t="s">
        <v>2076</v>
      </c>
      <c r="L477" s="22" t="s">
        <v>2077</v>
      </c>
      <c r="M477" s="25"/>
      <c r="N477" s="25"/>
      <c r="O477" s="26"/>
      <c r="P477" s="27"/>
      <c r="Q477" s="28"/>
      <c r="R477" s="28"/>
      <c r="S477" s="26"/>
    </row>
    <row r="478" customFormat="false" ht="15" hidden="false" customHeight="false" outlineLevel="0" collapsed="false">
      <c r="A478" s="7" t="n">
        <v>474</v>
      </c>
      <c r="B478" s="9" t="s">
        <v>29</v>
      </c>
      <c r="C478" s="22" t="s">
        <v>2068</v>
      </c>
      <c r="D478" s="9" t="s">
        <v>2069</v>
      </c>
      <c r="E478" s="9" t="s">
        <v>47</v>
      </c>
      <c r="F478" s="9" t="s">
        <v>99</v>
      </c>
      <c r="G478" s="22" t="s">
        <v>2078</v>
      </c>
      <c r="H478" s="9" t="s">
        <v>57</v>
      </c>
      <c r="I478" s="7"/>
      <c r="J478" s="23" t="s">
        <v>2079</v>
      </c>
      <c r="K478" s="24" t="s">
        <v>2080</v>
      </c>
      <c r="L478" s="22" t="s">
        <v>2081</v>
      </c>
      <c r="M478" s="25"/>
      <c r="N478" s="25"/>
      <c r="O478" s="26"/>
      <c r="P478" s="27"/>
      <c r="Q478" s="28"/>
      <c r="R478" s="28"/>
      <c r="S478" s="26"/>
    </row>
    <row r="479" customFormat="false" ht="15" hidden="false" customHeight="false" outlineLevel="0" collapsed="false">
      <c r="A479" s="7" t="n">
        <v>475</v>
      </c>
      <c r="B479" s="9" t="s">
        <v>29</v>
      </c>
      <c r="C479" s="22" t="s">
        <v>2068</v>
      </c>
      <c r="D479" s="9" t="s">
        <v>2069</v>
      </c>
      <c r="E479" s="9" t="s">
        <v>48</v>
      </c>
      <c r="F479" s="9" t="s">
        <v>99</v>
      </c>
      <c r="G479" s="22" t="s">
        <v>2082</v>
      </c>
      <c r="H479" s="9" t="s">
        <v>56</v>
      </c>
      <c r="I479" s="7"/>
      <c r="J479" s="23" t="s">
        <v>2083</v>
      </c>
      <c r="K479" s="24" t="s">
        <v>2084</v>
      </c>
      <c r="L479" s="22" t="s">
        <v>2085</v>
      </c>
      <c r="M479" s="25"/>
      <c r="N479" s="25"/>
      <c r="O479" s="26"/>
      <c r="P479" s="27"/>
      <c r="Q479" s="28"/>
      <c r="R479" s="28"/>
      <c r="S479" s="26"/>
    </row>
    <row r="480" customFormat="false" ht="15" hidden="false" customHeight="false" outlineLevel="0" collapsed="false">
      <c r="A480" s="7" t="n">
        <v>476</v>
      </c>
      <c r="B480" s="9" t="s">
        <v>29</v>
      </c>
      <c r="C480" s="22" t="s">
        <v>2068</v>
      </c>
      <c r="D480" s="9" t="s">
        <v>2069</v>
      </c>
      <c r="E480" s="9" t="s">
        <v>48</v>
      </c>
      <c r="F480" s="9" t="s">
        <v>99</v>
      </c>
      <c r="G480" s="22" t="s">
        <v>2086</v>
      </c>
      <c r="H480" s="9" t="s">
        <v>57</v>
      </c>
      <c r="I480" s="7"/>
      <c r="J480" s="23" t="s">
        <v>2087</v>
      </c>
      <c r="K480" s="24" t="s">
        <v>2088</v>
      </c>
      <c r="L480" s="22" t="s">
        <v>2089</v>
      </c>
      <c r="M480" s="25"/>
      <c r="N480" s="25"/>
      <c r="O480" s="26"/>
      <c r="P480" s="27"/>
      <c r="Q480" s="28"/>
      <c r="R480" s="28"/>
      <c r="S480" s="26"/>
    </row>
    <row r="481" customFormat="false" ht="15" hidden="false" customHeight="false" outlineLevel="0" collapsed="false">
      <c r="A481" s="7" t="n">
        <v>477</v>
      </c>
      <c r="B481" s="9" t="s">
        <v>29</v>
      </c>
      <c r="C481" s="22" t="s">
        <v>2068</v>
      </c>
      <c r="D481" s="9" t="s">
        <v>2090</v>
      </c>
      <c r="E481" s="9" t="s">
        <v>47</v>
      </c>
      <c r="F481" s="9" t="s">
        <v>99</v>
      </c>
      <c r="G481" s="22" t="s">
        <v>2091</v>
      </c>
      <c r="H481" s="9" t="s">
        <v>56</v>
      </c>
      <c r="I481" s="7"/>
      <c r="J481" s="23" t="s">
        <v>2092</v>
      </c>
      <c r="K481" s="24" t="s">
        <v>2093</v>
      </c>
      <c r="L481" s="22" t="s">
        <v>2094</v>
      </c>
      <c r="M481" s="25"/>
      <c r="N481" s="25"/>
      <c r="O481" s="26"/>
      <c r="P481" s="27"/>
      <c r="Q481" s="28"/>
      <c r="R481" s="28"/>
      <c r="S481" s="26"/>
    </row>
    <row r="482" customFormat="false" ht="15" hidden="false" customHeight="false" outlineLevel="0" collapsed="false">
      <c r="A482" s="7" t="n">
        <v>478</v>
      </c>
      <c r="B482" s="9" t="s">
        <v>29</v>
      </c>
      <c r="C482" s="22" t="s">
        <v>2068</v>
      </c>
      <c r="D482" s="9" t="s">
        <v>2090</v>
      </c>
      <c r="E482" s="9" t="s">
        <v>47</v>
      </c>
      <c r="F482" s="9" t="s">
        <v>99</v>
      </c>
      <c r="G482" s="22" t="s">
        <v>1965</v>
      </c>
      <c r="H482" s="9" t="s">
        <v>57</v>
      </c>
      <c r="I482" s="7"/>
      <c r="J482" s="23" t="s">
        <v>2095</v>
      </c>
      <c r="K482" s="24" t="s">
        <v>2096</v>
      </c>
      <c r="L482" s="22" t="s">
        <v>2097</v>
      </c>
      <c r="M482" s="25"/>
      <c r="N482" s="25"/>
      <c r="O482" s="26"/>
      <c r="P482" s="27"/>
      <c r="Q482" s="28"/>
      <c r="R482" s="28"/>
      <c r="S482" s="26"/>
    </row>
    <row r="483" customFormat="false" ht="15" hidden="false" customHeight="false" outlineLevel="0" collapsed="false">
      <c r="A483" s="7" t="n">
        <v>479</v>
      </c>
      <c r="B483" s="9" t="s">
        <v>29</v>
      </c>
      <c r="C483" s="22" t="s">
        <v>300</v>
      </c>
      <c r="D483" s="9" t="s">
        <v>2025</v>
      </c>
      <c r="E483" s="9" t="s">
        <v>49</v>
      </c>
      <c r="F483" s="9" t="s">
        <v>99</v>
      </c>
      <c r="G483" s="22" t="s">
        <v>2098</v>
      </c>
      <c r="H483" s="9" t="s">
        <v>56</v>
      </c>
      <c r="I483" s="7"/>
      <c r="J483" s="23" t="s">
        <v>2099</v>
      </c>
      <c r="K483" s="24" t="s">
        <v>2100</v>
      </c>
      <c r="L483" s="22" t="s">
        <v>2101</v>
      </c>
      <c r="M483" s="25"/>
      <c r="N483" s="25"/>
      <c r="O483" s="26"/>
      <c r="P483" s="27"/>
      <c r="Q483" s="28"/>
      <c r="R483" s="28"/>
      <c r="S483" s="26"/>
    </row>
    <row r="484" customFormat="false" ht="15" hidden="false" customHeight="false" outlineLevel="0" collapsed="false">
      <c r="A484" s="7" t="n">
        <v>480</v>
      </c>
      <c r="B484" s="9" t="s">
        <v>29</v>
      </c>
      <c r="C484" s="22" t="s">
        <v>300</v>
      </c>
      <c r="D484" s="9" t="s">
        <v>2025</v>
      </c>
      <c r="E484" s="9" t="s">
        <v>49</v>
      </c>
      <c r="F484" s="9" t="s">
        <v>99</v>
      </c>
      <c r="G484" s="22" t="s">
        <v>2102</v>
      </c>
      <c r="H484" s="9" t="s">
        <v>57</v>
      </c>
      <c r="I484" s="7"/>
      <c r="J484" s="23" t="s">
        <v>2103</v>
      </c>
      <c r="K484" s="24" t="s">
        <v>2104</v>
      </c>
      <c r="L484" s="22" t="s">
        <v>2105</v>
      </c>
      <c r="M484" s="25"/>
      <c r="N484" s="25"/>
      <c r="O484" s="26"/>
      <c r="P484" s="27"/>
      <c r="Q484" s="28"/>
      <c r="R484" s="28"/>
      <c r="S484" s="26"/>
    </row>
    <row r="485" customFormat="false" ht="15" hidden="false" customHeight="false" outlineLevel="0" collapsed="false">
      <c r="A485" s="7" t="n">
        <v>481</v>
      </c>
      <c r="B485" s="9" t="s">
        <v>29</v>
      </c>
      <c r="C485" s="22" t="s">
        <v>300</v>
      </c>
      <c r="D485" s="9" t="s">
        <v>2025</v>
      </c>
      <c r="E485" s="9" t="s">
        <v>49</v>
      </c>
      <c r="F485" s="9" t="s">
        <v>99</v>
      </c>
      <c r="G485" s="22" t="s">
        <v>2106</v>
      </c>
      <c r="H485" s="9" t="s">
        <v>57</v>
      </c>
      <c r="I485" s="7"/>
      <c r="J485" s="23" t="s">
        <v>2107</v>
      </c>
      <c r="K485" s="24" t="s">
        <v>2108</v>
      </c>
      <c r="L485" s="22" t="s">
        <v>2109</v>
      </c>
      <c r="M485" s="25"/>
      <c r="N485" s="25"/>
      <c r="O485" s="26"/>
      <c r="P485" s="27"/>
      <c r="Q485" s="28"/>
      <c r="R485" s="28"/>
      <c r="S485" s="26"/>
    </row>
    <row r="486" customFormat="false" ht="15" hidden="false" customHeight="false" outlineLevel="0" collapsed="false">
      <c r="A486" s="7" t="n">
        <v>482</v>
      </c>
      <c r="B486" s="9" t="s">
        <v>29</v>
      </c>
      <c r="C486" s="22" t="s">
        <v>300</v>
      </c>
      <c r="D486" s="9" t="s">
        <v>2025</v>
      </c>
      <c r="E486" s="9" t="s">
        <v>49</v>
      </c>
      <c r="F486" s="9" t="s">
        <v>99</v>
      </c>
      <c r="G486" s="22" t="s">
        <v>2110</v>
      </c>
      <c r="H486" s="9" t="s">
        <v>56</v>
      </c>
      <c r="I486" s="7"/>
      <c r="J486" s="23" t="s">
        <v>2111</v>
      </c>
      <c r="K486" s="24" t="s">
        <v>2112</v>
      </c>
      <c r="L486" s="22" t="s">
        <v>2113</v>
      </c>
      <c r="M486" s="25"/>
      <c r="N486" s="25"/>
      <c r="O486" s="26"/>
      <c r="P486" s="27"/>
      <c r="Q486" s="28"/>
      <c r="R486" s="28"/>
      <c r="S486" s="26"/>
    </row>
    <row r="487" customFormat="false" ht="15" hidden="false" customHeight="false" outlineLevel="0" collapsed="false">
      <c r="A487" s="7" t="n">
        <v>483</v>
      </c>
      <c r="B487" s="9" t="s">
        <v>29</v>
      </c>
      <c r="C487" s="22" t="s">
        <v>300</v>
      </c>
      <c r="D487" s="9" t="s">
        <v>2025</v>
      </c>
      <c r="E487" s="9" t="s">
        <v>49</v>
      </c>
      <c r="F487" s="9" t="s">
        <v>124</v>
      </c>
      <c r="G487" s="22" t="s">
        <v>2114</v>
      </c>
      <c r="H487" s="9" t="s">
        <v>56</v>
      </c>
      <c r="I487" s="7"/>
      <c r="J487" s="23" t="s">
        <v>2115</v>
      </c>
      <c r="K487" s="24" t="s">
        <v>2116</v>
      </c>
      <c r="L487" s="22" t="s">
        <v>2117</v>
      </c>
      <c r="M487" s="25"/>
      <c r="N487" s="25"/>
      <c r="O487" s="26"/>
      <c r="P487" s="27"/>
      <c r="Q487" s="28"/>
      <c r="R487" s="28"/>
      <c r="S487" s="26"/>
    </row>
    <row r="488" customFormat="false" ht="15" hidden="false" customHeight="false" outlineLevel="0" collapsed="false">
      <c r="A488" s="7" t="n">
        <v>484</v>
      </c>
      <c r="B488" s="9" t="s">
        <v>29</v>
      </c>
      <c r="C488" s="22" t="s">
        <v>300</v>
      </c>
      <c r="D488" s="9" t="s">
        <v>2025</v>
      </c>
      <c r="E488" s="9" t="s">
        <v>49</v>
      </c>
      <c r="F488" s="9" t="s">
        <v>99</v>
      </c>
      <c r="G488" s="22" t="s">
        <v>2118</v>
      </c>
      <c r="H488" s="9" t="s">
        <v>56</v>
      </c>
      <c r="I488" s="7"/>
      <c r="J488" s="23" t="s">
        <v>2119</v>
      </c>
      <c r="K488" s="24" t="s">
        <v>2120</v>
      </c>
      <c r="L488" s="22" t="s">
        <v>2121</v>
      </c>
      <c r="M488" s="25"/>
      <c r="N488" s="25"/>
      <c r="O488" s="26"/>
      <c r="P488" s="27"/>
      <c r="Q488" s="28"/>
      <c r="R488" s="28"/>
      <c r="S488" s="26"/>
    </row>
    <row r="489" customFormat="false" ht="15" hidden="false" customHeight="false" outlineLevel="0" collapsed="false">
      <c r="A489" s="7" t="n">
        <v>485</v>
      </c>
      <c r="B489" s="9" t="s">
        <v>29</v>
      </c>
      <c r="C489" s="22" t="s">
        <v>300</v>
      </c>
      <c r="D489" s="9" t="s">
        <v>2025</v>
      </c>
      <c r="E489" s="9" t="s">
        <v>49</v>
      </c>
      <c r="F489" s="9" t="s">
        <v>99</v>
      </c>
      <c r="G489" s="22" t="s">
        <v>2122</v>
      </c>
      <c r="H489" s="9" t="s">
        <v>57</v>
      </c>
      <c r="I489" s="7"/>
      <c r="J489" s="23" t="s">
        <v>2123</v>
      </c>
      <c r="K489" s="24" t="s">
        <v>2124</v>
      </c>
      <c r="L489" s="22" t="s">
        <v>2125</v>
      </c>
      <c r="M489" s="25"/>
      <c r="N489" s="25"/>
      <c r="O489" s="26"/>
      <c r="P489" s="27"/>
      <c r="Q489" s="28"/>
      <c r="R489" s="28"/>
      <c r="S489" s="26"/>
    </row>
    <row r="490" customFormat="false" ht="15" hidden="false" customHeight="false" outlineLevel="0" collapsed="false">
      <c r="A490" s="7" t="n">
        <v>486</v>
      </c>
      <c r="B490" s="9" t="s">
        <v>29</v>
      </c>
      <c r="C490" s="22" t="s">
        <v>300</v>
      </c>
      <c r="D490" s="9" t="s">
        <v>2069</v>
      </c>
      <c r="E490" s="9" t="s">
        <v>49</v>
      </c>
      <c r="F490" s="9" t="s">
        <v>99</v>
      </c>
      <c r="G490" s="22" t="s">
        <v>2126</v>
      </c>
      <c r="H490" s="9" t="s">
        <v>57</v>
      </c>
      <c r="I490" s="7"/>
      <c r="J490" s="23" t="s">
        <v>2127</v>
      </c>
      <c r="K490" s="24" t="s">
        <v>2128</v>
      </c>
      <c r="L490" s="22" t="s">
        <v>2129</v>
      </c>
      <c r="M490" s="25"/>
      <c r="N490" s="25"/>
      <c r="O490" s="26"/>
      <c r="P490" s="27"/>
      <c r="Q490" s="28"/>
      <c r="R490" s="28"/>
      <c r="S490" s="26"/>
    </row>
    <row r="491" customFormat="false" ht="15" hidden="false" customHeight="false" outlineLevel="0" collapsed="false">
      <c r="A491" s="7" t="n">
        <v>487</v>
      </c>
      <c r="B491" s="9" t="s">
        <v>29</v>
      </c>
      <c r="C491" s="22" t="s">
        <v>300</v>
      </c>
      <c r="D491" s="9" t="s">
        <v>2130</v>
      </c>
      <c r="E491" s="9" t="s">
        <v>49</v>
      </c>
      <c r="F491" s="9" t="s">
        <v>99</v>
      </c>
      <c r="G491" s="22" t="s">
        <v>2131</v>
      </c>
      <c r="H491" s="9" t="s">
        <v>56</v>
      </c>
      <c r="I491" s="7"/>
      <c r="J491" s="23" t="s">
        <v>2132</v>
      </c>
      <c r="K491" s="24" t="s">
        <v>2133</v>
      </c>
      <c r="L491" s="22" t="s">
        <v>2134</v>
      </c>
      <c r="M491" s="25"/>
      <c r="N491" s="25"/>
      <c r="O491" s="26"/>
      <c r="P491" s="27"/>
      <c r="Q491" s="28"/>
      <c r="R491" s="28"/>
      <c r="S491" s="26"/>
    </row>
    <row r="492" customFormat="false" ht="15" hidden="false" customHeight="false" outlineLevel="0" collapsed="false">
      <c r="A492" s="7" t="n">
        <v>488</v>
      </c>
      <c r="B492" s="9" t="s">
        <v>29</v>
      </c>
      <c r="C492" s="22" t="s">
        <v>300</v>
      </c>
      <c r="D492" s="9" t="s">
        <v>2130</v>
      </c>
      <c r="E492" s="9" t="s">
        <v>49</v>
      </c>
      <c r="F492" s="9" t="s">
        <v>99</v>
      </c>
      <c r="G492" s="22" t="s">
        <v>2135</v>
      </c>
      <c r="H492" s="9" t="s">
        <v>56</v>
      </c>
      <c r="I492" s="7"/>
      <c r="J492" s="23" t="s">
        <v>2136</v>
      </c>
      <c r="K492" s="24" t="s">
        <v>2137</v>
      </c>
      <c r="L492" s="22" t="s">
        <v>2138</v>
      </c>
      <c r="M492" s="25"/>
      <c r="N492" s="25"/>
      <c r="O492" s="26"/>
      <c r="P492" s="27"/>
      <c r="Q492" s="28"/>
      <c r="R492" s="28"/>
      <c r="S492" s="26"/>
    </row>
    <row r="493" customFormat="false" ht="15" hidden="false" customHeight="false" outlineLevel="0" collapsed="false">
      <c r="A493" s="7" t="n">
        <v>489</v>
      </c>
      <c r="B493" s="9" t="s">
        <v>29</v>
      </c>
      <c r="C493" s="22" t="s">
        <v>300</v>
      </c>
      <c r="D493" s="9" t="s">
        <v>2139</v>
      </c>
      <c r="E493" s="9" t="s">
        <v>49</v>
      </c>
      <c r="F493" s="9" t="s">
        <v>99</v>
      </c>
      <c r="G493" s="22" t="s">
        <v>2140</v>
      </c>
      <c r="H493" s="9" t="s">
        <v>56</v>
      </c>
      <c r="I493" s="7"/>
      <c r="J493" s="23" t="s">
        <v>2141</v>
      </c>
      <c r="K493" s="24" t="s">
        <v>2142</v>
      </c>
      <c r="L493" s="22" t="s">
        <v>2143</v>
      </c>
      <c r="M493" s="25"/>
      <c r="N493" s="25"/>
      <c r="O493" s="26"/>
      <c r="P493" s="27"/>
      <c r="Q493" s="28"/>
      <c r="R493" s="28"/>
      <c r="S493" s="26"/>
    </row>
    <row r="494" customFormat="false" ht="15" hidden="false" customHeight="false" outlineLevel="0" collapsed="false">
      <c r="A494" s="7" t="n">
        <v>490</v>
      </c>
      <c r="B494" s="9" t="s">
        <v>29</v>
      </c>
      <c r="C494" s="22" t="s">
        <v>300</v>
      </c>
      <c r="D494" s="9" t="s">
        <v>2144</v>
      </c>
      <c r="E494" s="9" t="s">
        <v>49</v>
      </c>
      <c r="F494" s="9" t="s">
        <v>99</v>
      </c>
      <c r="G494" s="22" t="s">
        <v>2145</v>
      </c>
      <c r="H494" s="9" t="s">
        <v>56</v>
      </c>
      <c r="I494" s="7"/>
      <c r="J494" s="23" t="s">
        <v>2146</v>
      </c>
      <c r="K494" s="24" t="s">
        <v>2147</v>
      </c>
      <c r="L494" s="22" t="s">
        <v>2148</v>
      </c>
      <c r="M494" s="25"/>
      <c r="N494" s="25"/>
      <c r="O494" s="26"/>
      <c r="P494" s="27"/>
      <c r="Q494" s="28"/>
      <c r="R494" s="28"/>
      <c r="S494" s="26"/>
    </row>
    <row r="495" customFormat="false" ht="15" hidden="false" customHeight="false" outlineLevel="0" collapsed="false">
      <c r="A495" s="7" t="n">
        <v>491</v>
      </c>
      <c r="B495" s="9" t="s">
        <v>29</v>
      </c>
      <c r="C495" s="22" t="s">
        <v>300</v>
      </c>
      <c r="D495" s="9" t="s">
        <v>2144</v>
      </c>
      <c r="E495" s="9" t="s">
        <v>49</v>
      </c>
      <c r="F495" s="9" t="s">
        <v>99</v>
      </c>
      <c r="G495" s="22" t="s">
        <v>2149</v>
      </c>
      <c r="H495" s="9" t="s">
        <v>56</v>
      </c>
      <c r="I495" s="7"/>
      <c r="J495" s="23" t="s">
        <v>2150</v>
      </c>
      <c r="K495" s="24" t="s">
        <v>2151</v>
      </c>
      <c r="L495" s="22" t="s">
        <v>2152</v>
      </c>
      <c r="M495" s="25"/>
      <c r="N495" s="25"/>
      <c r="O495" s="26"/>
      <c r="P495" s="27"/>
      <c r="Q495" s="28"/>
      <c r="R495" s="28"/>
      <c r="S495" s="26"/>
    </row>
    <row r="496" customFormat="false" ht="15" hidden="false" customHeight="false" outlineLevel="0" collapsed="false">
      <c r="A496" s="7" t="n">
        <v>492</v>
      </c>
      <c r="B496" s="9" t="s">
        <v>29</v>
      </c>
      <c r="C496" s="22" t="s">
        <v>300</v>
      </c>
      <c r="D496" s="9" t="s">
        <v>2144</v>
      </c>
      <c r="E496" s="9" t="s">
        <v>49</v>
      </c>
      <c r="F496" s="9" t="s">
        <v>99</v>
      </c>
      <c r="G496" s="22" t="s">
        <v>2153</v>
      </c>
      <c r="H496" s="9" t="s">
        <v>56</v>
      </c>
      <c r="I496" s="7"/>
      <c r="J496" s="23" t="s">
        <v>2154</v>
      </c>
      <c r="K496" s="24" t="s">
        <v>2155</v>
      </c>
      <c r="L496" s="22" t="s">
        <v>2156</v>
      </c>
      <c r="M496" s="25"/>
      <c r="N496" s="25"/>
      <c r="O496" s="26"/>
      <c r="P496" s="27"/>
      <c r="Q496" s="28"/>
      <c r="R496" s="28"/>
      <c r="S496" s="26"/>
    </row>
    <row r="497" customFormat="false" ht="15" hidden="false" customHeight="false" outlineLevel="0" collapsed="false">
      <c r="A497" s="7" t="n">
        <v>493</v>
      </c>
      <c r="B497" s="9" t="s">
        <v>29</v>
      </c>
      <c r="C497" s="22" t="s">
        <v>300</v>
      </c>
      <c r="D497" s="9" t="s">
        <v>2144</v>
      </c>
      <c r="E497" s="9" t="s">
        <v>49</v>
      </c>
      <c r="F497" s="9" t="s">
        <v>124</v>
      </c>
      <c r="G497" s="22" t="s">
        <v>2157</v>
      </c>
      <c r="H497" s="9" t="s">
        <v>56</v>
      </c>
      <c r="I497" s="7"/>
      <c r="J497" s="23" t="s">
        <v>2158</v>
      </c>
      <c r="K497" s="24" t="s">
        <v>2159</v>
      </c>
      <c r="L497" s="22" t="s">
        <v>2160</v>
      </c>
      <c r="M497" s="25"/>
      <c r="N497" s="25"/>
      <c r="O497" s="26"/>
      <c r="P497" s="27"/>
      <c r="Q497" s="28"/>
      <c r="R497" s="28"/>
      <c r="S497" s="26"/>
    </row>
    <row r="498" customFormat="false" ht="15" hidden="false" customHeight="false" outlineLevel="0" collapsed="false">
      <c r="A498" s="7" t="n">
        <v>494</v>
      </c>
      <c r="B498" s="9" t="s">
        <v>29</v>
      </c>
      <c r="C498" s="22" t="s">
        <v>300</v>
      </c>
      <c r="D498" s="9" t="s">
        <v>2161</v>
      </c>
      <c r="E498" s="9" t="s">
        <v>49</v>
      </c>
      <c r="F498" s="9" t="s">
        <v>99</v>
      </c>
      <c r="G498" s="22" t="s">
        <v>2162</v>
      </c>
      <c r="H498" s="9" t="s">
        <v>57</v>
      </c>
      <c r="I498" s="7"/>
      <c r="J498" s="23" t="s">
        <v>2163</v>
      </c>
      <c r="K498" s="24" t="s">
        <v>2164</v>
      </c>
      <c r="L498" s="22" t="s">
        <v>2165</v>
      </c>
      <c r="M498" s="25"/>
      <c r="N498" s="25"/>
      <c r="O498" s="26"/>
      <c r="P498" s="27"/>
      <c r="Q498" s="28"/>
      <c r="R498" s="28"/>
      <c r="S498" s="26"/>
    </row>
    <row r="499" customFormat="false" ht="15" hidden="false" customHeight="false" outlineLevel="0" collapsed="false">
      <c r="A499" s="7" t="n">
        <v>495</v>
      </c>
      <c r="B499" s="9" t="s">
        <v>29</v>
      </c>
      <c r="C499" s="22" t="s">
        <v>300</v>
      </c>
      <c r="D499" s="9" t="s">
        <v>2161</v>
      </c>
      <c r="E499" s="9" t="s">
        <v>49</v>
      </c>
      <c r="F499" s="9" t="s">
        <v>99</v>
      </c>
      <c r="G499" s="22" t="s">
        <v>2166</v>
      </c>
      <c r="H499" s="9" t="s">
        <v>56</v>
      </c>
      <c r="I499" s="7"/>
      <c r="J499" s="23" t="s">
        <v>2167</v>
      </c>
      <c r="K499" s="24" t="s">
        <v>2168</v>
      </c>
      <c r="L499" s="22" t="s">
        <v>2169</v>
      </c>
      <c r="M499" s="25"/>
      <c r="N499" s="25"/>
      <c r="O499" s="26"/>
      <c r="P499" s="27"/>
      <c r="Q499" s="28"/>
      <c r="R499" s="28"/>
      <c r="S499" s="26"/>
    </row>
    <row r="500" customFormat="false" ht="15" hidden="false" customHeight="false" outlineLevel="0" collapsed="false">
      <c r="A500" s="7" t="n">
        <v>496</v>
      </c>
      <c r="B500" s="9" t="s">
        <v>29</v>
      </c>
      <c r="C500" s="22" t="s">
        <v>300</v>
      </c>
      <c r="D500" s="9" t="s">
        <v>2170</v>
      </c>
      <c r="E500" s="9" t="s">
        <v>49</v>
      </c>
      <c r="F500" s="9" t="s">
        <v>99</v>
      </c>
      <c r="G500" s="22" t="s">
        <v>2171</v>
      </c>
      <c r="H500" s="9" t="s">
        <v>56</v>
      </c>
      <c r="I500" s="7"/>
      <c r="J500" s="23" t="s">
        <v>2172</v>
      </c>
      <c r="K500" s="24" t="s">
        <v>2173</v>
      </c>
      <c r="L500" s="22" t="s">
        <v>2174</v>
      </c>
      <c r="M500" s="25"/>
      <c r="N500" s="25"/>
      <c r="O500" s="26"/>
      <c r="P500" s="27"/>
      <c r="Q500" s="28"/>
      <c r="R500" s="28"/>
      <c r="S500" s="26"/>
    </row>
    <row r="501" customFormat="false" ht="15" hidden="false" customHeight="false" outlineLevel="0" collapsed="false">
      <c r="A501" s="7" t="n">
        <v>497</v>
      </c>
      <c r="B501" s="9" t="s">
        <v>29</v>
      </c>
      <c r="C501" s="22" t="s">
        <v>300</v>
      </c>
      <c r="D501" s="9" t="s">
        <v>2170</v>
      </c>
      <c r="E501" s="9" t="s">
        <v>49</v>
      </c>
      <c r="F501" s="9" t="s">
        <v>99</v>
      </c>
      <c r="G501" s="22" t="s">
        <v>2175</v>
      </c>
      <c r="H501" s="9" t="s">
        <v>57</v>
      </c>
      <c r="I501" s="7"/>
      <c r="J501" s="23" t="s">
        <v>2176</v>
      </c>
      <c r="K501" s="24" t="s">
        <v>2177</v>
      </c>
      <c r="L501" s="22" t="s">
        <v>2178</v>
      </c>
      <c r="M501" s="25"/>
      <c r="N501" s="25"/>
      <c r="O501" s="26"/>
      <c r="P501" s="27"/>
      <c r="Q501" s="28"/>
      <c r="R501" s="28"/>
      <c r="S501" s="26"/>
    </row>
    <row r="502" customFormat="false" ht="15" hidden="false" customHeight="false" outlineLevel="0" collapsed="false">
      <c r="A502" s="7" t="n">
        <v>498</v>
      </c>
      <c r="B502" s="9" t="s">
        <v>29</v>
      </c>
      <c r="C502" s="22" t="s">
        <v>300</v>
      </c>
      <c r="D502" s="9" t="s">
        <v>2179</v>
      </c>
      <c r="E502" s="9" t="s">
        <v>49</v>
      </c>
      <c r="F502" s="9" t="s">
        <v>99</v>
      </c>
      <c r="G502" s="22" t="s">
        <v>2180</v>
      </c>
      <c r="H502" s="9" t="s">
        <v>56</v>
      </c>
      <c r="I502" s="7"/>
      <c r="J502" s="23" t="s">
        <v>2181</v>
      </c>
      <c r="K502" s="24" t="s">
        <v>2182</v>
      </c>
      <c r="L502" s="22" t="s">
        <v>2183</v>
      </c>
      <c r="M502" s="25"/>
      <c r="N502" s="25"/>
      <c r="O502" s="26"/>
      <c r="P502" s="27"/>
      <c r="Q502" s="28"/>
      <c r="R502" s="28"/>
      <c r="S502" s="26"/>
    </row>
    <row r="503" customFormat="false" ht="15" hidden="false" customHeight="false" outlineLevel="0" collapsed="false">
      <c r="A503" s="7" t="n">
        <v>499</v>
      </c>
      <c r="B503" s="9" t="s">
        <v>29</v>
      </c>
      <c r="C503" s="22" t="s">
        <v>300</v>
      </c>
      <c r="D503" s="9" t="s">
        <v>2179</v>
      </c>
      <c r="E503" s="9" t="s">
        <v>49</v>
      </c>
      <c r="F503" s="9" t="s">
        <v>99</v>
      </c>
      <c r="G503" s="22" t="s">
        <v>2184</v>
      </c>
      <c r="H503" s="9" t="s">
        <v>56</v>
      </c>
      <c r="I503" s="7"/>
      <c r="J503" s="23" t="s">
        <v>2185</v>
      </c>
      <c r="K503" s="24" t="s">
        <v>2186</v>
      </c>
      <c r="L503" s="22" t="s">
        <v>2187</v>
      </c>
      <c r="M503" s="25"/>
      <c r="N503" s="25"/>
      <c r="O503" s="26"/>
      <c r="P503" s="27"/>
      <c r="Q503" s="28"/>
      <c r="R503" s="28"/>
      <c r="S503" s="26"/>
    </row>
    <row r="504" customFormat="false" ht="15" hidden="false" customHeight="false" outlineLevel="0" collapsed="false">
      <c r="A504" s="7" t="n">
        <v>500</v>
      </c>
      <c r="B504" s="9" t="s">
        <v>29</v>
      </c>
      <c r="C504" s="22" t="s">
        <v>300</v>
      </c>
      <c r="D504" s="9" t="s">
        <v>2179</v>
      </c>
      <c r="E504" s="9" t="s">
        <v>49</v>
      </c>
      <c r="F504" s="9" t="s">
        <v>124</v>
      </c>
      <c r="G504" s="22" t="s">
        <v>2188</v>
      </c>
      <c r="H504" s="9" t="s">
        <v>56</v>
      </c>
      <c r="I504" s="7"/>
      <c r="J504" s="23" t="s">
        <v>2189</v>
      </c>
      <c r="K504" s="24" t="s">
        <v>2190</v>
      </c>
      <c r="L504" s="22" t="s">
        <v>2191</v>
      </c>
      <c r="M504" s="25"/>
      <c r="N504" s="25"/>
      <c r="O504" s="26"/>
      <c r="P504" s="27"/>
      <c r="Q504" s="28"/>
      <c r="R504" s="28"/>
      <c r="S504" s="29" t="s">
        <v>2192</v>
      </c>
    </row>
    <row r="505" customFormat="false" ht="15" hidden="false" customHeight="false" outlineLevel="0" collapsed="false">
      <c r="A505" s="7" t="n">
        <v>501</v>
      </c>
      <c r="B505" s="9" t="s">
        <v>29</v>
      </c>
      <c r="C505" s="22" t="s">
        <v>300</v>
      </c>
      <c r="D505" s="9" t="s">
        <v>2179</v>
      </c>
      <c r="E505" s="9" t="s">
        <v>49</v>
      </c>
      <c r="F505" s="9" t="s">
        <v>99</v>
      </c>
      <c r="G505" s="22" t="s">
        <v>2193</v>
      </c>
      <c r="H505" s="9" t="s">
        <v>56</v>
      </c>
      <c r="I505" s="7"/>
      <c r="J505" s="23" t="s">
        <v>2194</v>
      </c>
      <c r="K505" s="24" t="s">
        <v>2195</v>
      </c>
      <c r="L505" s="22" t="s">
        <v>2196</v>
      </c>
      <c r="M505" s="25"/>
      <c r="N505" s="25"/>
      <c r="O505" s="26"/>
      <c r="P505" s="27"/>
      <c r="Q505" s="28"/>
      <c r="R505" s="28"/>
      <c r="S505" s="26"/>
    </row>
    <row r="506" customFormat="false" ht="15" hidden="false" customHeight="false" outlineLevel="0" collapsed="false">
      <c r="A506" s="7" t="n">
        <v>502</v>
      </c>
      <c r="B506" s="9" t="s">
        <v>29</v>
      </c>
      <c r="C506" s="22" t="s">
        <v>300</v>
      </c>
      <c r="D506" s="9" t="s">
        <v>2179</v>
      </c>
      <c r="E506" s="9" t="s">
        <v>49</v>
      </c>
      <c r="F506" s="9" t="s">
        <v>99</v>
      </c>
      <c r="G506" s="22" t="s">
        <v>2197</v>
      </c>
      <c r="H506" s="9" t="s">
        <v>56</v>
      </c>
      <c r="I506" s="7"/>
      <c r="J506" s="23" t="s">
        <v>2198</v>
      </c>
      <c r="K506" s="24" t="s">
        <v>2199</v>
      </c>
      <c r="L506" s="22" t="s">
        <v>2200</v>
      </c>
      <c r="M506" s="25"/>
      <c r="N506" s="25"/>
      <c r="O506" s="26"/>
      <c r="P506" s="27"/>
      <c r="Q506" s="28"/>
      <c r="R506" s="28"/>
      <c r="S506" s="26"/>
    </row>
    <row r="507" customFormat="false" ht="15" hidden="false" customHeight="false" outlineLevel="0" collapsed="false">
      <c r="A507" s="7" t="n">
        <v>503</v>
      </c>
      <c r="B507" s="9" t="s">
        <v>29</v>
      </c>
      <c r="C507" s="22" t="s">
        <v>300</v>
      </c>
      <c r="D507" s="9" t="s">
        <v>2201</v>
      </c>
      <c r="E507" s="9" t="s">
        <v>49</v>
      </c>
      <c r="F507" s="9" t="s">
        <v>99</v>
      </c>
      <c r="G507" s="22" t="s">
        <v>2202</v>
      </c>
      <c r="H507" s="9" t="s">
        <v>55</v>
      </c>
      <c r="I507" s="7"/>
      <c r="J507" s="23" t="s">
        <v>2203</v>
      </c>
      <c r="K507" s="24" t="s">
        <v>2204</v>
      </c>
      <c r="L507" s="22" t="s">
        <v>2205</v>
      </c>
      <c r="M507" s="25"/>
      <c r="N507" s="25"/>
      <c r="O507" s="26"/>
      <c r="P507" s="27"/>
      <c r="Q507" s="28"/>
      <c r="R507" s="28"/>
      <c r="S507" s="26"/>
    </row>
    <row r="508" customFormat="false" ht="15" hidden="false" customHeight="false" outlineLevel="0" collapsed="false">
      <c r="A508" s="7" t="n">
        <v>504</v>
      </c>
      <c r="B508" s="9" t="s">
        <v>29</v>
      </c>
      <c r="C508" s="22" t="s">
        <v>300</v>
      </c>
      <c r="D508" s="9" t="s">
        <v>2201</v>
      </c>
      <c r="E508" s="9" t="s">
        <v>49</v>
      </c>
      <c r="F508" s="9" t="s">
        <v>99</v>
      </c>
      <c r="G508" s="22" t="s">
        <v>2206</v>
      </c>
      <c r="H508" s="9" t="s">
        <v>57</v>
      </c>
      <c r="I508" s="7"/>
      <c r="J508" s="23" t="s">
        <v>2207</v>
      </c>
      <c r="K508" s="24" t="s">
        <v>2208</v>
      </c>
      <c r="L508" s="22" t="s">
        <v>2209</v>
      </c>
      <c r="M508" s="25"/>
      <c r="N508" s="25"/>
      <c r="O508" s="26"/>
      <c r="P508" s="27"/>
      <c r="Q508" s="28"/>
      <c r="R508" s="28"/>
      <c r="S508" s="26"/>
    </row>
    <row r="509" customFormat="false" ht="15" hidden="false" customHeight="false" outlineLevel="0" collapsed="false">
      <c r="A509" s="7" t="n">
        <v>505</v>
      </c>
      <c r="B509" s="9" t="s">
        <v>29</v>
      </c>
      <c r="C509" s="22" t="s">
        <v>300</v>
      </c>
      <c r="D509" s="9" t="s">
        <v>2201</v>
      </c>
      <c r="E509" s="9" t="s">
        <v>49</v>
      </c>
      <c r="F509" s="9" t="s">
        <v>99</v>
      </c>
      <c r="G509" s="22" t="s">
        <v>2210</v>
      </c>
      <c r="H509" s="9" t="s">
        <v>55</v>
      </c>
      <c r="I509" s="7"/>
      <c r="J509" s="23" t="s">
        <v>2211</v>
      </c>
      <c r="K509" s="24" t="s">
        <v>2212</v>
      </c>
      <c r="L509" s="22" t="s">
        <v>2213</v>
      </c>
      <c r="M509" s="25"/>
      <c r="N509" s="25"/>
      <c r="O509" s="26"/>
      <c r="P509" s="27"/>
      <c r="Q509" s="28"/>
      <c r="R509" s="28"/>
      <c r="S509" s="26"/>
    </row>
    <row r="510" customFormat="false" ht="15" hidden="false" customHeight="false" outlineLevel="0" collapsed="false">
      <c r="A510" s="7" t="n">
        <v>506</v>
      </c>
      <c r="B510" s="9" t="s">
        <v>29</v>
      </c>
      <c r="C510" s="22" t="s">
        <v>300</v>
      </c>
      <c r="D510" s="9" t="s">
        <v>2201</v>
      </c>
      <c r="E510" s="9" t="s">
        <v>326</v>
      </c>
      <c r="F510" s="9" t="s">
        <v>99</v>
      </c>
      <c r="G510" s="22" t="s">
        <v>2214</v>
      </c>
      <c r="H510" s="9" t="s">
        <v>56</v>
      </c>
      <c r="I510" s="7"/>
      <c r="J510" s="23" t="s">
        <v>2215</v>
      </c>
      <c r="K510" s="24" t="s">
        <v>2216</v>
      </c>
      <c r="L510" s="22" t="s">
        <v>2217</v>
      </c>
      <c r="M510" s="25"/>
      <c r="N510" s="25"/>
      <c r="O510" s="26"/>
      <c r="P510" s="27"/>
      <c r="Q510" s="28"/>
      <c r="R510" s="28"/>
      <c r="S510" s="26"/>
    </row>
    <row r="511" customFormat="false" ht="15" hidden="false" customHeight="false" outlineLevel="0" collapsed="false">
      <c r="A511" s="7" t="n">
        <v>507</v>
      </c>
      <c r="B511" s="9" t="s">
        <v>29</v>
      </c>
      <c r="C511" s="22" t="s">
        <v>300</v>
      </c>
      <c r="D511" s="9" t="s">
        <v>2218</v>
      </c>
      <c r="E511" s="9" t="s">
        <v>49</v>
      </c>
      <c r="F511" s="9" t="s">
        <v>99</v>
      </c>
      <c r="G511" s="22" t="s">
        <v>2219</v>
      </c>
      <c r="H511" s="9" t="s">
        <v>56</v>
      </c>
      <c r="I511" s="7"/>
      <c r="J511" s="23" t="s">
        <v>2220</v>
      </c>
      <c r="K511" s="24" t="s">
        <v>2221</v>
      </c>
      <c r="L511" s="22" t="s">
        <v>2222</v>
      </c>
      <c r="M511" s="25"/>
      <c r="N511" s="25"/>
      <c r="O511" s="26"/>
      <c r="P511" s="27"/>
      <c r="Q511" s="28"/>
      <c r="R511" s="28"/>
      <c r="S511" s="26"/>
    </row>
    <row r="512" customFormat="false" ht="15" hidden="false" customHeight="false" outlineLevel="0" collapsed="false">
      <c r="A512" s="7" t="n">
        <v>508</v>
      </c>
      <c r="B512" s="9" t="s">
        <v>29</v>
      </c>
      <c r="C512" s="22" t="s">
        <v>300</v>
      </c>
      <c r="D512" s="9" t="s">
        <v>2223</v>
      </c>
      <c r="E512" s="9" t="s">
        <v>49</v>
      </c>
      <c r="F512" s="9" t="s">
        <v>99</v>
      </c>
      <c r="G512" s="22" t="s">
        <v>2224</v>
      </c>
      <c r="H512" s="9" t="s">
        <v>56</v>
      </c>
      <c r="I512" s="7"/>
      <c r="J512" s="23" t="s">
        <v>2225</v>
      </c>
      <c r="K512" s="24" t="s">
        <v>2226</v>
      </c>
      <c r="L512" s="22" t="s">
        <v>2227</v>
      </c>
      <c r="M512" s="25"/>
      <c r="N512" s="25"/>
      <c r="O512" s="26"/>
      <c r="P512" s="27"/>
      <c r="Q512" s="28"/>
      <c r="R512" s="28"/>
      <c r="S512" s="26"/>
    </row>
    <row r="513" customFormat="false" ht="15" hidden="false" customHeight="false" outlineLevel="0" collapsed="false">
      <c r="A513" s="7" t="n">
        <v>509</v>
      </c>
      <c r="B513" s="9" t="s">
        <v>29</v>
      </c>
      <c r="C513" s="22" t="s">
        <v>300</v>
      </c>
      <c r="D513" s="9" t="s">
        <v>2228</v>
      </c>
      <c r="E513" s="9" t="s">
        <v>49</v>
      </c>
      <c r="F513" s="9" t="s">
        <v>124</v>
      </c>
      <c r="G513" s="22" t="s">
        <v>2229</v>
      </c>
      <c r="H513" s="9" t="s">
        <v>56</v>
      </c>
      <c r="I513" s="7"/>
      <c r="J513" s="23" t="s">
        <v>2230</v>
      </c>
      <c r="K513" s="24" t="s">
        <v>2231</v>
      </c>
      <c r="L513" s="22" t="s">
        <v>2232</v>
      </c>
      <c r="M513" s="25"/>
      <c r="N513" s="25"/>
      <c r="O513" s="26"/>
      <c r="P513" s="27"/>
      <c r="Q513" s="28"/>
      <c r="R513" s="28"/>
      <c r="S513" s="26"/>
    </row>
    <row r="514" customFormat="false" ht="15" hidden="false" customHeight="false" outlineLevel="0" collapsed="false">
      <c r="A514" s="7" t="n">
        <v>510</v>
      </c>
      <c r="B514" s="9" t="s">
        <v>29</v>
      </c>
      <c r="C514" s="22" t="s">
        <v>300</v>
      </c>
      <c r="D514" s="9" t="s">
        <v>2233</v>
      </c>
      <c r="E514" s="9" t="s">
        <v>49</v>
      </c>
      <c r="F514" s="9" t="s">
        <v>99</v>
      </c>
      <c r="G514" s="22" t="s">
        <v>2234</v>
      </c>
      <c r="H514" s="9" t="s">
        <v>56</v>
      </c>
      <c r="I514" s="7"/>
      <c r="J514" s="23" t="s">
        <v>2235</v>
      </c>
      <c r="K514" s="24" t="s">
        <v>2236</v>
      </c>
      <c r="L514" s="22" t="s">
        <v>2237</v>
      </c>
      <c r="M514" s="25"/>
      <c r="N514" s="25"/>
      <c r="O514" s="26"/>
      <c r="P514" s="27"/>
      <c r="Q514" s="28"/>
      <c r="R514" s="28"/>
      <c r="S514" s="26"/>
    </row>
    <row r="515" customFormat="false" ht="15" hidden="false" customHeight="false" outlineLevel="0" collapsed="false">
      <c r="A515" s="7" t="n">
        <v>511</v>
      </c>
      <c r="B515" s="9" t="s">
        <v>29</v>
      </c>
      <c r="C515" s="22" t="s">
        <v>300</v>
      </c>
      <c r="D515" s="9" t="s">
        <v>2233</v>
      </c>
      <c r="E515" s="9" t="s">
        <v>49</v>
      </c>
      <c r="F515" s="9" t="s">
        <v>124</v>
      </c>
      <c r="G515" s="22" t="s">
        <v>2238</v>
      </c>
      <c r="H515" s="9" t="s">
        <v>57</v>
      </c>
      <c r="I515" s="7"/>
      <c r="J515" s="23" t="s">
        <v>2239</v>
      </c>
      <c r="K515" s="24" t="s">
        <v>2240</v>
      </c>
      <c r="L515" s="22" t="s">
        <v>2241</v>
      </c>
      <c r="M515" s="25"/>
      <c r="N515" s="25"/>
      <c r="O515" s="26"/>
      <c r="P515" s="27"/>
      <c r="Q515" s="28"/>
      <c r="R515" s="28"/>
      <c r="S515" s="26"/>
    </row>
    <row r="516" customFormat="false" ht="15" hidden="false" customHeight="false" outlineLevel="0" collapsed="false">
      <c r="A516" s="7" t="n">
        <v>512</v>
      </c>
      <c r="B516" s="9" t="s">
        <v>29</v>
      </c>
      <c r="C516" s="22" t="s">
        <v>300</v>
      </c>
      <c r="D516" s="9" t="s">
        <v>2233</v>
      </c>
      <c r="E516" s="9" t="s">
        <v>49</v>
      </c>
      <c r="F516" s="9" t="s">
        <v>124</v>
      </c>
      <c r="G516" s="22" t="s">
        <v>2242</v>
      </c>
      <c r="H516" s="9" t="s">
        <v>57</v>
      </c>
      <c r="I516" s="7"/>
      <c r="J516" s="23" t="s">
        <v>2243</v>
      </c>
      <c r="K516" s="24" t="s">
        <v>2244</v>
      </c>
      <c r="L516" s="22" t="s">
        <v>2245</v>
      </c>
      <c r="M516" s="25"/>
      <c r="N516" s="25"/>
      <c r="O516" s="26"/>
      <c r="P516" s="27"/>
      <c r="Q516" s="28"/>
      <c r="R516" s="28"/>
      <c r="S516" s="26"/>
    </row>
    <row r="517" customFormat="false" ht="15" hidden="false" customHeight="false" outlineLevel="0" collapsed="false">
      <c r="A517" s="7" t="n">
        <v>513</v>
      </c>
      <c r="B517" s="9" t="s">
        <v>29</v>
      </c>
      <c r="C517" s="22" t="s">
        <v>300</v>
      </c>
      <c r="D517" s="9" t="s">
        <v>2233</v>
      </c>
      <c r="E517" s="9" t="s">
        <v>49</v>
      </c>
      <c r="F517" s="9" t="s">
        <v>124</v>
      </c>
      <c r="G517" s="22" t="s">
        <v>2246</v>
      </c>
      <c r="H517" s="9" t="s">
        <v>56</v>
      </c>
      <c r="I517" s="7"/>
      <c r="J517" s="23" t="s">
        <v>2247</v>
      </c>
      <c r="K517" s="24" t="s">
        <v>2248</v>
      </c>
      <c r="L517" s="22" t="s">
        <v>2249</v>
      </c>
      <c r="M517" s="25"/>
      <c r="N517" s="25"/>
      <c r="O517" s="26"/>
      <c r="P517" s="27"/>
      <c r="Q517" s="28"/>
      <c r="R517" s="28"/>
      <c r="S517" s="26"/>
    </row>
    <row r="518" customFormat="false" ht="15" hidden="false" customHeight="false" outlineLevel="0" collapsed="false">
      <c r="A518" s="7" t="n">
        <v>514</v>
      </c>
      <c r="B518" s="9" t="s">
        <v>29</v>
      </c>
      <c r="C518" s="22" t="s">
        <v>300</v>
      </c>
      <c r="D518" s="9" t="s">
        <v>2250</v>
      </c>
      <c r="E518" s="9" t="s">
        <v>49</v>
      </c>
      <c r="F518" s="9" t="s">
        <v>99</v>
      </c>
      <c r="G518" s="22" t="s">
        <v>2251</v>
      </c>
      <c r="H518" s="9" t="s">
        <v>57</v>
      </c>
      <c r="I518" s="7"/>
      <c r="J518" s="23" t="s">
        <v>2252</v>
      </c>
      <c r="K518" s="24" t="s">
        <v>2253</v>
      </c>
      <c r="L518" s="22" t="s">
        <v>2254</v>
      </c>
      <c r="M518" s="25"/>
      <c r="N518" s="25"/>
      <c r="O518" s="26"/>
      <c r="P518" s="27"/>
      <c r="Q518" s="28"/>
      <c r="R518" s="28"/>
      <c r="S518" s="26"/>
    </row>
    <row r="519" customFormat="false" ht="15" hidden="false" customHeight="false" outlineLevel="0" collapsed="false">
      <c r="A519" s="7" t="n">
        <v>515</v>
      </c>
      <c r="B519" s="9" t="s">
        <v>29</v>
      </c>
      <c r="C519" s="22" t="s">
        <v>300</v>
      </c>
      <c r="D519" s="9" t="s">
        <v>2250</v>
      </c>
      <c r="E519" s="9" t="s">
        <v>49</v>
      </c>
      <c r="F519" s="9" t="s">
        <v>99</v>
      </c>
      <c r="G519" s="22" t="s">
        <v>2255</v>
      </c>
      <c r="H519" s="9" t="s">
        <v>56</v>
      </c>
      <c r="I519" s="7"/>
      <c r="J519" s="23" t="s">
        <v>2256</v>
      </c>
      <c r="K519" s="24" t="s">
        <v>2257</v>
      </c>
      <c r="L519" s="22" t="s">
        <v>2258</v>
      </c>
      <c r="M519" s="25"/>
      <c r="N519" s="25"/>
      <c r="O519" s="26"/>
      <c r="P519" s="27"/>
      <c r="Q519" s="28"/>
      <c r="R519" s="28"/>
      <c r="S519" s="26"/>
    </row>
    <row r="520" customFormat="false" ht="15" hidden="false" customHeight="false" outlineLevel="0" collapsed="false">
      <c r="A520" s="7" t="n">
        <v>516</v>
      </c>
      <c r="B520" s="9" t="s">
        <v>29</v>
      </c>
      <c r="C520" s="22" t="s">
        <v>300</v>
      </c>
      <c r="D520" s="9" t="s">
        <v>2250</v>
      </c>
      <c r="E520" s="9" t="s">
        <v>49</v>
      </c>
      <c r="F520" s="9" t="s">
        <v>99</v>
      </c>
      <c r="G520" s="22" t="s">
        <v>2259</v>
      </c>
      <c r="H520" s="9" t="s">
        <v>56</v>
      </c>
      <c r="I520" s="7"/>
      <c r="J520" s="23" t="s">
        <v>2260</v>
      </c>
      <c r="K520" s="24" t="s">
        <v>2261</v>
      </c>
      <c r="L520" s="22" t="s">
        <v>2262</v>
      </c>
      <c r="M520" s="25"/>
      <c r="N520" s="25"/>
      <c r="O520" s="26"/>
      <c r="P520" s="27"/>
      <c r="Q520" s="28"/>
      <c r="R520" s="28"/>
      <c r="S520" s="26"/>
    </row>
    <row r="521" customFormat="false" ht="15" hidden="false" customHeight="false" outlineLevel="0" collapsed="false">
      <c r="A521" s="7" t="n">
        <v>517</v>
      </c>
      <c r="B521" s="9" t="s">
        <v>29</v>
      </c>
      <c r="C521" s="22" t="s">
        <v>300</v>
      </c>
      <c r="D521" s="9" t="s">
        <v>2263</v>
      </c>
      <c r="E521" s="9" t="s">
        <v>49</v>
      </c>
      <c r="F521" s="9" t="s">
        <v>99</v>
      </c>
      <c r="G521" s="22" t="s">
        <v>2264</v>
      </c>
      <c r="H521" s="9" t="s">
        <v>57</v>
      </c>
      <c r="I521" s="7"/>
      <c r="J521" s="23" t="s">
        <v>2265</v>
      </c>
      <c r="K521" s="24" t="s">
        <v>2266</v>
      </c>
      <c r="L521" s="22" t="s">
        <v>2267</v>
      </c>
      <c r="M521" s="25"/>
      <c r="N521" s="25"/>
      <c r="O521" s="26"/>
      <c r="P521" s="27"/>
      <c r="Q521" s="28"/>
      <c r="R521" s="28"/>
      <c r="S521" s="26"/>
    </row>
    <row r="522" customFormat="false" ht="15" hidden="false" customHeight="false" outlineLevel="0" collapsed="false">
      <c r="A522" s="7" t="n">
        <v>518</v>
      </c>
      <c r="B522" s="9" t="s">
        <v>29</v>
      </c>
      <c r="C522" s="22" t="s">
        <v>300</v>
      </c>
      <c r="D522" s="9" t="s">
        <v>2268</v>
      </c>
      <c r="E522" s="9" t="s">
        <v>49</v>
      </c>
      <c r="F522" s="9" t="s">
        <v>99</v>
      </c>
      <c r="G522" s="22" t="s">
        <v>2269</v>
      </c>
      <c r="H522" s="9" t="s">
        <v>56</v>
      </c>
      <c r="I522" s="7"/>
      <c r="J522" s="23" t="s">
        <v>2270</v>
      </c>
      <c r="K522" s="24" t="s">
        <v>2271</v>
      </c>
      <c r="L522" s="22" t="s">
        <v>2272</v>
      </c>
      <c r="M522" s="25"/>
      <c r="N522" s="25"/>
      <c r="O522" s="26"/>
      <c r="P522" s="27"/>
      <c r="Q522" s="28"/>
      <c r="R522" s="28"/>
      <c r="S522" s="26"/>
    </row>
    <row r="523" customFormat="false" ht="15" hidden="false" customHeight="false" outlineLevel="0" collapsed="false">
      <c r="A523" s="7" t="n">
        <v>519</v>
      </c>
      <c r="B523" s="9" t="s">
        <v>29</v>
      </c>
      <c r="C523" s="22" t="s">
        <v>300</v>
      </c>
      <c r="D523" s="9" t="s">
        <v>2273</v>
      </c>
      <c r="E523" s="9" t="s">
        <v>49</v>
      </c>
      <c r="F523" s="9" t="s">
        <v>99</v>
      </c>
      <c r="G523" s="22" t="s">
        <v>2274</v>
      </c>
      <c r="H523" s="9" t="s">
        <v>56</v>
      </c>
      <c r="I523" s="7"/>
      <c r="J523" s="23" t="s">
        <v>2275</v>
      </c>
      <c r="K523" s="24" t="s">
        <v>2276</v>
      </c>
      <c r="L523" s="22" t="s">
        <v>2277</v>
      </c>
      <c r="M523" s="25"/>
      <c r="N523" s="25"/>
      <c r="O523" s="26"/>
      <c r="P523" s="27"/>
      <c r="Q523" s="28"/>
      <c r="R523" s="28"/>
      <c r="S523" s="26"/>
    </row>
    <row r="524" customFormat="false" ht="15" hidden="false" customHeight="false" outlineLevel="0" collapsed="false">
      <c r="A524" s="7" t="n">
        <v>520</v>
      </c>
      <c r="B524" s="9" t="s">
        <v>29</v>
      </c>
      <c r="C524" s="22" t="s">
        <v>300</v>
      </c>
      <c r="D524" s="9" t="s">
        <v>2273</v>
      </c>
      <c r="E524" s="9" t="s">
        <v>49</v>
      </c>
      <c r="F524" s="9" t="s">
        <v>124</v>
      </c>
      <c r="G524" s="22" t="s">
        <v>2278</v>
      </c>
      <c r="H524" s="9" t="s">
        <v>2279</v>
      </c>
      <c r="I524" s="7"/>
      <c r="J524" s="23" t="s">
        <v>2280</v>
      </c>
      <c r="K524" s="24" t="s">
        <v>2281</v>
      </c>
      <c r="L524" s="22" t="s">
        <v>2282</v>
      </c>
      <c r="M524" s="25"/>
      <c r="N524" s="25"/>
      <c r="O524" s="26"/>
      <c r="P524" s="27"/>
      <c r="Q524" s="28"/>
      <c r="R524" s="28"/>
      <c r="S524" s="26"/>
    </row>
    <row r="525" customFormat="false" ht="15" hidden="false" customHeight="false" outlineLevel="0" collapsed="false">
      <c r="A525" s="7" t="n">
        <v>521</v>
      </c>
      <c r="B525" s="9" t="s">
        <v>29</v>
      </c>
      <c r="C525" s="22" t="s">
        <v>300</v>
      </c>
      <c r="D525" s="9" t="s">
        <v>2283</v>
      </c>
      <c r="E525" s="9" t="s">
        <v>49</v>
      </c>
      <c r="F525" s="9" t="s">
        <v>99</v>
      </c>
      <c r="G525" s="22" t="s">
        <v>2284</v>
      </c>
      <c r="H525" s="9" t="s">
        <v>56</v>
      </c>
      <c r="I525" s="7"/>
      <c r="J525" s="23" t="s">
        <v>2285</v>
      </c>
      <c r="K525" s="24" t="s">
        <v>2286</v>
      </c>
      <c r="L525" s="22" t="s">
        <v>2287</v>
      </c>
      <c r="M525" s="25"/>
      <c r="N525" s="25"/>
      <c r="O525" s="26"/>
      <c r="P525" s="27"/>
      <c r="Q525" s="28"/>
      <c r="R525" s="28"/>
      <c r="S525" s="26"/>
    </row>
    <row r="526" customFormat="false" ht="15" hidden="false" customHeight="false" outlineLevel="0" collapsed="false">
      <c r="A526" s="7" t="n">
        <v>522</v>
      </c>
      <c r="B526" s="9" t="s">
        <v>29</v>
      </c>
      <c r="C526" s="22" t="s">
        <v>300</v>
      </c>
      <c r="D526" s="9" t="s">
        <v>2283</v>
      </c>
      <c r="E526" s="9" t="s">
        <v>49</v>
      </c>
      <c r="F526" s="9" t="s">
        <v>99</v>
      </c>
      <c r="G526" s="22" t="s">
        <v>2288</v>
      </c>
      <c r="H526" s="9" t="s">
        <v>56</v>
      </c>
      <c r="I526" s="7"/>
      <c r="J526" s="23" t="s">
        <v>2289</v>
      </c>
      <c r="K526" s="24" t="s">
        <v>2290</v>
      </c>
      <c r="L526" s="22" t="s">
        <v>2291</v>
      </c>
      <c r="M526" s="25"/>
      <c r="N526" s="25"/>
      <c r="O526" s="26"/>
      <c r="P526" s="27"/>
      <c r="Q526" s="28"/>
      <c r="R526" s="28"/>
      <c r="S526" s="26"/>
    </row>
    <row r="527" customFormat="false" ht="15" hidden="false" customHeight="false" outlineLevel="0" collapsed="false">
      <c r="A527" s="7" t="n">
        <v>523</v>
      </c>
      <c r="B527" s="9" t="s">
        <v>29</v>
      </c>
      <c r="C527" s="22" t="s">
        <v>300</v>
      </c>
      <c r="D527" s="9" t="s">
        <v>2292</v>
      </c>
      <c r="E527" s="9" t="s">
        <v>49</v>
      </c>
      <c r="F527" s="9" t="s">
        <v>99</v>
      </c>
      <c r="G527" s="22" t="s">
        <v>2293</v>
      </c>
      <c r="H527" s="9" t="s">
        <v>56</v>
      </c>
      <c r="I527" s="7"/>
      <c r="J527" s="23" t="s">
        <v>2294</v>
      </c>
      <c r="K527" s="24" t="s">
        <v>2295</v>
      </c>
      <c r="L527" s="22" t="s">
        <v>2296</v>
      </c>
      <c r="M527" s="25"/>
      <c r="N527" s="25"/>
      <c r="O527" s="26"/>
      <c r="P527" s="27"/>
      <c r="Q527" s="28"/>
      <c r="R527" s="28"/>
      <c r="S527" s="26"/>
    </row>
    <row r="528" customFormat="false" ht="15" hidden="false" customHeight="false" outlineLevel="0" collapsed="false">
      <c r="A528" s="7" t="n">
        <v>524</v>
      </c>
      <c r="B528" s="9" t="s">
        <v>29</v>
      </c>
      <c r="C528" s="22" t="s">
        <v>300</v>
      </c>
      <c r="D528" s="9" t="s">
        <v>2297</v>
      </c>
      <c r="E528" s="9" t="s">
        <v>49</v>
      </c>
      <c r="F528" s="9" t="s">
        <v>124</v>
      </c>
      <c r="G528" s="22" t="s">
        <v>2298</v>
      </c>
      <c r="H528" s="9" t="s">
        <v>57</v>
      </c>
      <c r="I528" s="7"/>
      <c r="J528" s="23" t="s">
        <v>2299</v>
      </c>
      <c r="K528" s="24" t="s">
        <v>2300</v>
      </c>
      <c r="L528" s="22" t="s">
        <v>2301</v>
      </c>
      <c r="M528" s="25"/>
      <c r="N528" s="25"/>
      <c r="O528" s="26"/>
      <c r="P528" s="27"/>
      <c r="Q528" s="28"/>
      <c r="R528" s="28"/>
      <c r="S528" s="26"/>
    </row>
    <row r="529" customFormat="false" ht="15" hidden="false" customHeight="false" outlineLevel="0" collapsed="false">
      <c r="A529" s="7" t="n">
        <v>525</v>
      </c>
      <c r="B529" s="9" t="s">
        <v>29</v>
      </c>
      <c r="C529" s="22" t="s">
        <v>300</v>
      </c>
      <c r="D529" s="9" t="s">
        <v>2297</v>
      </c>
      <c r="E529" s="9" t="s">
        <v>49</v>
      </c>
      <c r="F529" s="9" t="s">
        <v>124</v>
      </c>
      <c r="G529" s="22" t="s">
        <v>2302</v>
      </c>
      <c r="H529" s="9" t="s">
        <v>56</v>
      </c>
      <c r="I529" s="7"/>
      <c r="J529" s="23" t="s">
        <v>2303</v>
      </c>
      <c r="K529" s="24" t="s">
        <v>2304</v>
      </c>
      <c r="L529" s="22" t="s">
        <v>2305</v>
      </c>
      <c r="M529" s="25"/>
      <c r="N529" s="25"/>
      <c r="O529" s="26"/>
      <c r="P529" s="27"/>
      <c r="Q529" s="28"/>
      <c r="R529" s="28"/>
      <c r="S529" s="26"/>
    </row>
    <row r="530" customFormat="false" ht="15" hidden="false" customHeight="false" outlineLevel="0" collapsed="false">
      <c r="A530" s="7" t="n">
        <v>526</v>
      </c>
      <c r="B530" s="9" t="s">
        <v>29</v>
      </c>
      <c r="C530" s="22" t="s">
        <v>300</v>
      </c>
      <c r="D530" s="9" t="s">
        <v>2297</v>
      </c>
      <c r="E530" s="9" t="s">
        <v>49</v>
      </c>
      <c r="F530" s="9" t="s">
        <v>99</v>
      </c>
      <c r="G530" s="22" t="s">
        <v>2306</v>
      </c>
      <c r="H530" s="9" t="s">
        <v>56</v>
      </c>
      <c r="I530" s="7"/>
      <c r="J530" s="23" t="s">
        <v>2307</v>
      </c>
      <c r="K530" s="24" t="s">
        <v>2308</v>
      </c>
      <c r="L530" s="22" t="s">
        <v>2309</v>
      </c>
      <c r="M530" s="25"/>
      <c r="N530" s="25"/>
      <c r="O530" s="26"/>
      <c r="P530" s="27"/>
      <c r="Q530" s="28"/>
      <c r="R530" s="28"/>
      <c r="S530" s="26"/>
    </row>
    <row r="531" customFormat="false" ht="15" hidden="false" customHeight="false" outlineLevel="0" collapsed="false">
      <c r="A531" s="7" t="n">
        <v>527</v>
      </c>
      <c r="B531" s="9" t="s">
        <v>29</v>
      </c>
      <c r="C531" s="22" t="s">
        <v>300</v>
      </c>
      <c r="D531" s="9" t="s">
        <v>2310</v>
      </c>
      <c r="E531" s="9" t="s">
        <v>49</v>
      </c>
      <c r="F531" s="9" t="s">
        <v>124</v>
      </c>
      <c r="G531" s="22" t="s">
        <v>2311</v>
      </c>
      <c r="H531" s="9" t="s">
        <v>56</v>
      </c>
      <c r="I531" s="7"/>
      <c r="J531" s="23" t="s">
        <v>2312</v>
      </c>
      <c r="K531" s="24" t="s">
        <v>2313</v>
      </c>
      <c r="L531" s="22" t="s">
        <v>2314</v>
      </c>
      <c r="M531" s="25"/>
      <c r="N531" s="25"/>
      <c r="O531" s="26"/>
      <c r="P531" s="27"/>
      <c r="Q531" s="28"/>
      <c r="R531" s="28"/>
      <c r="S531" s="26"/>
    </row>
    <row r="532" customFormat="false" ht="15" hidden="false" customHeight="false" outlineLevel="0" collapsed="false">
      <c r="A532" s="7" t="n">
        <v>528</v>
      </c>
      <c r="B532" s="9" t="s">
        <v>29</v>
      </c>
      <c r="C532" s="22" t="s">
        <v>300</v>
      </c>
      <c r="D532" s="9" t="s">
        <v>2310</v>
      </c>
      <c r="E532" s="9" t="s">
        <v>49</v>
      </c>
      <c r="F532" s="9" t="s">
        <v>99</v>
      </c>
      <c r="G532" s="22" t="s">
        <v>2315</v>
      </c>
      <c r="H532" s="9" t="s">
        <v>56</v>
      </c>
      <c r="I532" s="7"/>
      <c r="J532" s="23" t="s">
        <v>2316</v>
      </c>
      <c r="K532" s="24" t="s">
        <v>2317</v>
      </c>
      <c r="L532" s="22" t="s">
        <v>2318</v>
      </c>
      <c r="M532" s="25"/>
      <c r="N532" s="25"/>
      <c r="O532" s="26"/>
      <c r="P532" s="27"/>
      <c r="Q532" s="28"/>
      <c r="R532" s="28"/>
      <c r="S532" s="26"/>
    </row>
    <row r="533" customFormat="false" ht="15" hidden="false" customHeight="false" outlineLevel="0" collapsed="false">
      <c r="A533" s="7" t="n">
        <v>529</v>
      </c>
      <c r="B533" s="9" t="s">
        <v>29</v>
      </c>
      <c r="C533" s="22" t="s">
        <v>300</v>
      </c>
      <c r="D533" s="9" t="s">
        <v>2310</v>
      </c>
      <c r="E533" s="9" t="s">
        <v>49</v>
      </c>
      <c r="F533" s="9" t="s">
        <v>99</v>
      </c>
      <c r="G533" s="22" t="s">
        <v>2319</v>
      </c>
      <c r="H533" s="9" t="s">
        <v>56</v>
      </c>
      <c r="I533" s="7"/>
      <c r="J533" s="23" t="s">
        <v>2320</v>
      </c>
      <c r="K533" s="24" t="s">
        <v>2321</v>
      </c>
      <c r="L533" s="22" t="s">
        <v>2322</v>
      </c>
      <c r="M533" s="25"/>
      <c r="N533" s="25"/>
      <c r="O533" s="26"/>
      <c r="P533" s="27"/>
      <c r="Q533" s="28"/>
      <c r="R533" s="28"/>
      <c r="S533" s="26"/>
    </row>
    <row r="534" customFormat="false" ht="15" hidden="false" customHeight="false" outlineLevel="0" collapsed="false">
      <c r="A534" s="7" t="n">
        <v>530</v>
      </c>
      <c r="B534" s="9" t="s">
        <v>29</v>
      </c>
      <c r="C534" s="22" t="s">
        <v>300</v>
      </c>
      <c r="D534" s="9" t="s">
        <v>2310</v>
      </c>
      <c r="E534" s="9" t="s">
        <v>49</v>
      </c>
      <c r="F534" s="9" t="s">
        <v>99</v>
      </c>
      <c r="G534" s="22" t="s">
        <v>2323</v>
      </c>
      <c r="H534" s="9" t="s">
        <v>57</v>
      </c>
      <c r="I534" s="7"/>
      <c r="J534" s="23" t="s">
        <v>2324</v>
      </c>
      <c r="K534" s="24" t="s">
        <v>2325</v>
      </c>
      <c r="L534" s="22" t="s">
        <v>2326</v>
      </c>
      <c r="M534" s="25"/>
      <c r="N534" s="25"/>
      <c r="O534" s="26"/>
      <c r="P534" s="27"/>
      <c r="Q534" s="28"/>
      <c r="R534" s="28"/>
      <c r="S534" s="26"/>
    </row>
    <row r="535" customFormat="false" ht="15" hidden="false" customHeight="false" outlineLevel="0" collapsed="false">
      <c r="A535" s="7" t="n">
        <v>531</v>
      </c>
      <c r="B535" s="9" t="s">
        <v>29</v>
      </c>
      <c r="C535" s="22" t="s">
        <v>300</v>
      </c>
      <c r="D535" s="9" t="s">
        <v>2327</v>
      </c>
      <c r="E535" s="9" t="s">
        <v>49</v>
      </c>
      <c r="F535" s="9" t="s">
        <v>99</v>
      </c>
      <c r="G535" s="22" t="s">
        <v>2328</v>
      </c>
      <c r="H535" s="9" t="s">
        <v>57</v>
      </c>
      <c r="I535" s="7"/>
      <c r="J535" s="23" t="s">
        <v>2329</v>
      </c>
      <c r="K535" s="24" t="s">
        <v>2330</v>
      </c>
      <c r="L535" s="22" t="s">
        <v>2331</v>
      </c>
      <c r="M535" s="25"/>
      <c r="N535" s="25"/>
      <c r="O535" s="26"/>
      <c r="P535" s="27"/>
      <c r="Q535" s="28"/>
      <c r="R535" s="28"/>
      <c r="S535" s="26"/>
    </row>
    <row r="536" customFormat="false" ht="15" hidden="false" customHeight="false" outlineLevel="0" collapsed="false">
      <c r="A536" s="7" t="n">
        <v>532</v>
      </c>
      <c r="B536" s="9" t="s">
        <v>29</v>
      </c>
      <c r="C536" s="22" t="s">
        <v>300</v>
      </c>
      <c r="D536" s="9" t="s">
        <v>2090</v>
      </c>
      <c r="E536" s="9" t="s">
        <v>49</v>
      </c>
      <c r="F536" s="9" t="s">
        <v>99</v>
      </c>
      <c r="G536" s="22" t="s">
        <v>2332</v>
      </c>
      <c r="H536" s="9" t="s">
        <v>56</v>
      </c>
      <c r="I536" s="7"/>
      <c r="J536" s="23" t="s">
        <v>2333</v>
      </c>
      <c r="K536" s="24" t="s">
        <v>2334</v>
      </c>
      <c r="L536" s="22" t="s">
        <v>2335</v>
      </c>
      <c r="M536" s="25"/>
      <c r="N536" s="25"/>
      <c r="O536" s="26"/>
      <c r="P536" s="27"/>
      <c r="Q536" s="28"/>
      <c r="R536" s="28"/>
      <c r="S536" s="26"/>
    </row>
    <row r="537" customFormat="false" ht="15" hidden="false" customHeight="false" outlineLevel="0" collapsed="false">
      <c r="A537" s="7" t="n">
        <v>533</v>
      </c>
      <c r="B537" s="9" t="s">
        <v>29</v>
      </c>
      <c r="C537" s="22" t="s">
        <v>300</v>
      </c>
      <c r="D537" s="9" t="s">
        <v>2336</v>
      </c>
      <c r="E537" s="9" t="s">
        <v>49</v>
      </c>
      <c r="F537" s="9" t="s">
        <v>99</v>
      </c>
      <c r="G537" s="22" t="s">
        <v>2337</v>
      </c>
      <c r="H537" s="9" t="s">
        <v>56</v>
      </c>
      <c r="I537" s="7"/>
      <c r="J537" s="23" t="s">
        <v>2338</v>
      </c>
      <c r="K537" s="24" t="s">
        <v>2339</v>
      </c>
      <c r="L537" s="22" t="s">
        <v>2340</v>
      </c>
      <c r="M537" s="25"/>
      <c r="N537" s="25"/>
      <c r="O537" s="26"/>
      <c r="P537" s="27"/>
      <c r="Q537" s="28"/>
      <c r="R537" s="28"/>
      <c r="S537" s="26"/>
    </row>
    <row r="538" customFormat="false" ht="15" hidden="false" customHeight="false" outlineLevel="0" collapsed="false">
      <c r="A538" s="7" t="n">
        <v>534</v>
      </c>
      <c r="B538" s="9" t="s">
        <v>29</v>
      </c>
      <c r="C538" s="22" t="s">
        <v>300</v>
      </c>
      <c r="D538" s="9" t="s">
        <v>2336</v>
      </c>
      <c r="E538" s="9" t="s">
        <v>49</v>
      </c>
      <c r="F538" s="9" t="s">
        <v>99</v>
      </c>
      <c r="G538" s="22" t="s">
        <v>2341</v>
      </c>
      <c r="H538" s="9" t="s">
        <v>57</v>
      </c>
      <c r="I538" s="7"/>
      <c r="J538" s="23" t="s">
        <v>2342</v>
      </c>
      <c r="K538" s="24" t="s">
        <v>2343</v>
      </c>
      <c r="L538" s="22" t="s">
        <v>2344</v>
      </c>
      <c r="M538" s="25"/>
      <c r="N538" s="25"/>
      <c r="O538" s="26"/>
      <c r="P538" s="27"/>
      <c r="Q538" s="28"/>
      <c r="R538" s="28"/>
      <c r="S538" s="26"/>
    </row>
    <row r="539" customFormat="false" ht="15" hidden="false" customHeight="false" outlineLevel="0" collapsed="false">
      <c r="A539" s="7" t="n">
        <v>535</v>
      </c>
      <c r="B539" s="9" t="s">
        <v>29</v>
      </c>
      <c r="C539" s="22" t="s">
        <v>2345</v>
      </c>
      <c r="D539" s="9" t="s">
        <v>2161</v>
      </c>
      <c r="E539" s="9" t="s">
        <v>47</v>
      </c>
      <c r="F539" s="9" t="s">
        <v>99</v>
      </c>
      <c r="G539" s="22" t="s">
        <v>2346</v>
      </c>
      <c r="H539" s="9" t="s">
        <v>57</v>
      </c>
      <c r="I539" s="7"/>
      <c r="J539" s="23" t="s">
        <v>2347</v>
      </c>
      <c r="K539" s="24" t="s">
        <v>2348</v>
      </c>
      <c r="L539" s="22" t="s">
        <v>2349</v>
      </c>
      <c r="M539" s="25"/>
      <c r="N539" s="25"/>
      <c r="O539" s="26"/>
      <c r="P539" s="27"/>
      <c r="Q539" s="28"/>
      <c r="R539" s="28"/>
      <c r="S539" s="26"/>
    </row>
    <row r="540" customFormat="false" ht="15" hidden="false" customHeight="false" outlineLevel="0" collapsed="false">
      <c r="A540" s="7" t="n">
        <v>536</v>
      </c>
      <c r="B540" s="9" t="s">
        <v>29</v>
      </c>
      <c r="C540" s="22" t="s">
        <v>2345</v>
      </c>
      <c r="D540" s="9" t="s">
        <v>2161</v>
      </c>
      <c r="E540" s="9" t="s">
        <v>47</v>
      </c>
      <c r="F540" s="9" t="s">
        <v>99</v>
      </c>
      <c r="G540" s="22" t="s">
        <v>2350</v>
      </c>
      <c r="H540" s="9" t="s">
        <v>57</v>
      </c>
      <c r="I540" s="7"/>
      <c r="J540" s="23" t="s">
        <v>2351</v>
      </c>
      <c r="K540" s="24" t="s">
        <v>2352</v>
      </c>
      <c r="L540" s="22" t="s">
        <v>2353</v>
      </c>
      <c r="M540" s="25"/>
      <c r="N540" s="25"/>
      <c r="O540" s="26"/>
      <c r="P540" s="27"/>
      <c r="Q540" s="28"/>
      <c r="R540" s="28"/>
      <c r="S540" s="26"/>
    </row>
    <row r="541" customFormat="false" ht="15" hidden="false" customHeight="false" outlineLevel="0" collapsed="false">
      <c r="A541" s="7" t="n">
        <v>537</v>
      </c>
      <c r="B541" s="9" t="s">
        <v>29</v>
      </c>
      <c r="C541" s="22" t="s">
        <v>2345</v>
      </c>
      <c r="D541" s="9" t="s">
        <v>2161</v>
      </c>
      <c r="E541" s="9" t="s">
        <v>47</v>
      </c>
      <c r="F541" s="9" t="s">
        <v>99</v>
      </c>
      <c r="G541" s="22" t="s">
        <v>2354</v>
      </c>
      <c r="H541" s="9" t="s">
        <v>56</v>
      </c>
      <c r="I541" s="7"/>
      <c r="J541" s="23" t="s">
        <v>2355</v>
      </c>
      <c r="K541" s="24" t="s">
        <v>2356</v>
      </c>
      <c r="L541" s="22" t="s">
        <v>2357</v>
      </c>
      <c r="M541" s="25"/>
      <c r="N541" s="25"/>
      <c r="O541" s="26"/>
      <c r="P541" s="27"/>
      <c r="Q541" s="28"/>
      <c r="R541" s="28"/>
      <c r="S541" s="26"/>
    </row>
    <row r="542" customFormat="false" ht="15" hidden="false" customHeight="false" outlineLevel="0" collapsed="false">
      <c r="A542" s="7" t="n">
        <v>538</v>
      </c>
      <c r="B542" s="9" t="s">
        <v>29</v>
      </c>
      <c r="C542" s="22" t="s">
        <v>2345</v>
      </c>
      <c r="D542" s="9" t="s">
        <v>2161</v>
      </c>
      <c r="E542" s="9" t="s">
        <v>47</v>
      </c>
      <c r="F542" s="9" t="s">
        <v>99</v>
      </c>
      <c r="G542" s="22" t="s">
        <v>2358</v>
      </c>
      <c r="H542" s="9" t="s">
        <v>56</v>
      </c>
      <c r="I542" s="7"/>
      <c r="J542" s="23" t="s">
        <v>2359</v>
      </c>
      <c r="K542" s="24" t="s">
        <v>2360</v>
      </c>
      <c r="L542" s="22" t="s">
        <v>2361</v>
      </c>
      <c r="M542" s="25"/>
      <c r="N542" s="25"/>
      <c r="O542" s="26"/>
      <c r="P542" s="27"/>
      <c r="Q542" s="28"/>
      <c r="R542" s="28"/>
      <c r="S542" s="26"/>
    </row>
    <row r="543" customFormat="false" ht="15" hidden="false" customHeight="false" outlineLevel="0" collapsed="false">
      <c r="A543" s="7" t="n">
        <v>539</v>
      </c>
      <c r="B543" s="9" t="s">
        <v>29</v>
      </c>
      <c r="C543" s="22" t="s">
        <v>2345</v>
      </c>
      <c r="D543" s="9" t="s">
        <v>2161</v>
      </c>
      <c r="E543" s="9" t="s">
        <v>47</v>
      </c>
      <c r="F543" s="9" t="s">
        <v>124</v>
      </c>
      <c r="G543" s="22" t="s">
        <v>2362</v>
      </c>
      <c r="H543" s="9" t="s">
        <v>57</v>
      </c>
      <c r="I543" s="7"/>
      <c r="J543" s="23" t="s">
        <v>2363</v>
      </c>
      <c r="K543" s="24" t="s">
        <v>2364</v>
      </c>
      <c r="L543" s="22" t="s">
        <v>2365</v>
      </c>
      <c r="M543" s="25"/>
      <c r="N543" s="25"/>
      <c r="O543" s="26"/>
      <c r="P543" s="27"/>
      <c r="Q543" s="28"/>
      <c r="R543" s="28"/>
      <c r="S543" s="26"/>
    </row>
    <row r="544" customFormat="false" ht="15" hidden="false" customHeight="false" outlineLevel="0" collapsed="false">
      <c r="A544" s="7" t="n">
        <v>540</v>
      </c>
      <c r="B544" s="9" t="s">
        <v>29</v>
      </c>
      <c r="C544" s="22" t="s">
        <v>2345</v>
      </c>
      <c r="D544" s="9" t="s">
        <v>2161</v>
      </c>
      <c r="E544" s="9" t="s">
        <v>47</v>
      </c>
      <c r="F544" s="9" t="s">
        <v>99</v>
      </c>
      <c r="G544" s="22" t="s">
        <v>2366</v>
      </c>
      <c r="H544" s="9" t="s">
        <v>56</v>
      </c>
      <c r="I544" s="7"/>
      <c r="J544" s="23" t="s">
        <v>2367</v>
      </c>
      <c r="K544" s="24" t="s">
        <v>2368</v>
      </c>
      <c r="L544" s="22" t="s">
        <v>2369</v>
      </c>
      <c r="M544" s="25"/>
      <c r="N544" s="25"/>
      <c r="O544" s="26"/>
      <c r="P544" s="27"/>
      <c r="Q544" s="28"/>
      <c r="R544" s="28"/>
      <c r="S544" s="26"/>
    </row>
    <row r="545" customFormat="false" ht="15" hidden="false" customHeight="false" outlineLevel="0" collapsed="false">
      <c r="A545" s="7" t="n">
        <v>541</v>
      </c>
      <c r="B545" s="9" t="s">
        <v>29</v>
      </c>
      <c r="C545" s="22" t="s">
        <v>2345</v>
      </c>
      <c r="D545" s="9" t="s">
        <v>2161</v>
      </c>
      <c r="E545" s="9" t="s">
        <v>47</v>
      </c>
      <c r="F545" s="9" t="s">
        <v>99</v>
      </c>
      <c r="G545" s="22" t="s">
        <v>2370</v>
      </c>
      <c r="H545" s="9" t="s">
        <v>56</v>
      </c>
      <c r="I545" s="7"/>
      <c r="J545" s="23" t="s">
        <v>2371</v>
      </c>
      <c r="K545" s="24" t="s">
        <v>2372</v>
      </c>
      <c r="L545" s="22" t="s">
        <v>2373</v>
      </c>
      <c r="M545" s="25"/>
      <c r="N545" s="25"/>
      <c r="O545" s="26"/>
      <c r="P545" s="27"/>
      <c r="Q545" s="28"/>
      <c r="R545" s="28"/>
      <c r="S545" s="26"/>
    </row>
    <row r="546" customFormat="false" ht="15" hidden="false" customHeight="false" outlineLevel="0" collapsed="false">
      <c r="A546" s="7" t="n">
        <v>542</v>
      </c>
      <c r="B546" s="9" t="s">
        <v>29</v>
      </c>
      <c r="C546" s="22" t="s">
        <v>2345</v>
      </c>
      <c r="D546" s="9" t="s">
        <v>2161</v>
      </c>
      <c r="E546" s="9" t="s">
        <v>47</v>
      </c>
      <c r="F546" s="9" t="s">
        <v>99</v>
      </c>
      <c r="G546" s="22" t="s">
        <v>2374</v>
      </c>
      <c r="H546" s="9" t="s">
        <v>57</v>
      </c>
      <c r="I546" s="7"/>
      <c r="J546" s="23" t="s">
        <v>2375</v>
      </c>
      <c r="K546" s="24" t="s">
        <v>2376</v>
      </c>
      <c r="L546" s="22" t="s">
        <v>2377</v>
      </c>
      <c r="M546" s="25"/>
      <c r="N546" s="25"/>
      <c r="O546" s="26"/>
      <c r="P546" s="27"/>
      <c r="Q546" s="28"/>
      <c r="R546" s="28"/>
      <c r="S546" s="26"/>
    </row>
    <row r="547" customFormat="false" ht="15" hidden="false" customHeight="false" outlineLevel="0" collapsed="false">
      <c r="A547" s="7" t="n">
        <v>543</v>
      </c>
      <c r="B547" s="9" t="s">
        <v>29</v>
      </c>
      <c r="C547" s="22" t="s">
        <v>2345</v>
      </c>
      <c r="D547" s="9" t="s">
        <v>2161</v>
      </c>
      <c r="E547" s="9" t="s">
        <v>48</v>
      </c>
      <c r="F547" s="9" t="s">
        <v>99</v>
      </c>
      <c r="G547" s="22" t="s">
        <v>2378</v>
      </c>
      <c r="H547" s="9" t="s">
        <v>57</v>
      </c>
      <c r="I547" s="7"/>
      <c r="J547" s="23" t="s">
        <v>2379</v>
      </c>
      <c r="K547" s="24" t="s">
        <v>2380</v>
      </c>
      <c r="L547" s="22" t="s">
        <v>2381</v>
      </c>
      <c r="M547" s="25"/>
      <c r="N547" s="25"/>
      <c r="O547" s="26"/>
      <c r="P547" s="27"/>
      <c r="Q547" s="28"/>
      <c r="R547" s="28"/>
      <c r="S547" s="26"/>
    </row>
    <row r="548" customFormat="false" ht="15" hidden="false" customHeight="false" outlineLevel="0" collapsed="false">
      <c r="A548" s="7" t="n">
        <v>544</v>
      </c>
      <c r="B548" s="9" t="s">
        <v>29</v>
      </c>
      <c r="C548" s="22" t="s">
        <v>2382</v>
      </c>
      <c r="D548" s="9" t="s">
        <v>2139</v>
      </c>
      <c r="E548" s="9" t="s">
        <v>47</v>
      </c>
      <c r="F548" s="9" t="s">
        <v>99</v>
      </c>
      <c r="G548" s="22" t="s">
        <v>2383</v>
      </c>
      <c r="H548" s="9" t="s">
        <v>56</v>
      </c>
      <c r="I548" s="7"/>
      <c r="J548" s="23" t="s">
        <v>2384</v>
      </c>
      <c r="K548" s="24" t="s">
        <v>2385</v>
      </c>
      <c r="L548" s="22" t="s">
        <v>2386</v>
      </c>
      <c r="M548" s="25"/>
      <c r="N548" s="25"/>
      <c r="O548" s="26"/>
      <c r="P548" s="27"/>
      <c r="Q548" s="28"/>
      <c r="R548" s="28"/>
      <c r="S548" s="26"/>
    </row>
    <row r="549" customFormat="false" ht="15" hidden="false" customHeight="false" outlineLevel="0" collapsed="false">
      <c r="A549" s="7" t="n">
        <v>545</v>
      </c>
      <c r="B549" s="9" t="s">
        <v>29</v>
      </c>
      <c r="C549" s="22" t="s">
        <v>2382</v>
      </c>
      <c r="D549" s="9" t="s">
        <v>2139</v>
      </c>
      <c r="E549" s="9" t="s">
        <v>47</v>
      </c>
      <c r="F549" s="9" t="s">
        <v>99</v>
      </c>
      <c r="G549" s="22" t="s">
        <v>2387</v>
      </c>
      <c r="H549" s="9" t="s">
        <v>57</v>
      </c>
      <c r="I549" s="7"/>
      <c r="J549" s="23" t="s">
        <v>2388</v>
      </c>
      <c r="K549" s="24" t="s">
        <v>2389</v>
      </c>
      <c r="L549" s="22" t="s">
        <v>2390</v>
      </c>
      <c r="M549" s="25"/>
      <c r="N549" s="25"/>
      <c r="O549" s="26"/>
      <c r="P549" s="27"/>
      <c r="Q549" s="28"/>
      <c r="R549" s="28"/>
      <c r="S549" s="26"/>
    </row>
    <row r="550" customFormat="false" ht="15" hidden="false" customHeight="false" outlineLevel="0" collapsed="false">
      <c r="A550" s="7" t="n">
        <v>546</v>
      </c>
      <c r="B550" s="9" t="s">
        <v>29</v>
      </c>
      <c r="C550" s="22" t="s">
        <v>2382</v>
      </c>
      <c r="D550" s="9" t="s">
        <v>2139</v>
      </c>
      <c r="E550" s="9" t="s">
        <v>47</v>
      </c>
      <c r="F550" s="9" t="s">
        <v>99</v>
      </c>
      <c r="G550" s="22" t="s">
        <v>2391</v>
      </c>
      <c r="H550" s="9" t="s">
        <v>56</v>
      </c>
      <c r="I550" s="7"/>
      <c r="J550" s="23" t="s">
        <v>2392</v>
      </c>
      <c r="K550" s="24" t="s">
        <v>2393</v>
      </c>
      <c r="L550" s="22" t="s">
        <v>2394</v>
      </c>
      <c r="M550" s="25"/>
      <c r="N550" s="25"/>
      <c r="O550" s="26"/>
      <c r="P550" s="27"/>
      <c r="Q550" s="28"/>
      <c r="R550" s="28"/>
      <c r="S550" s="26"/>
    </row>
    <row r="551" customFormat="false" ht="15" hidden="false" customHeight="false" outlineLevel="0" collapsed="false">
      <c r="A551" s="7" t="n">
        <v>547</v>
      </c>
      <c r="B551" s="9" t="s">
        <v>29</v>
      </c>
      <c r="C551" s="22" t="s">
        <v>2382</v>
      </c>
      <c r="D551" s="9" t="s">
        <v>2139</v>
      </c>
      <c r="E551" s="9" t="s">
        <v>47</v>
      </c>
      <c r="F551" s="9" t="s">
        <v>99</v>
      </c>
      <c r="G551" s="22" t="s">
        <v>2395</v>
      </c>
      <c r="H551" s="9" t="s">
        <v>57</v>
      </c>
      <c r="I551" s="7"/>
      <c r="J551" s="23" t="s">
        <v>2396</v>
      </c>
      <c r="K551" s="24" t="s">
        <v>2397</v>
      </c>
      <c r="L551" s="22" t="s">
        <v>2398</v>
      </c>
      <c r="M551" s="25"/>
      <c r="N551" s="25"/>
      <c r="O551" s="26"/>
      <c r="P551" s="27"/>
      <c r="Q551" s="28"/>
      <c r="R551" s="28"/>
      <c r="S551" s="26"/>
    </row>
    <row r="552" customFormat="false" ht="15" hidden="false" customHeight="false" outlineLevel="0" collapsed="false">
      <c r="A552" s="7" t="n">
        <v>548</v>
      </c>
      <c r="B552" s="9" t="s">
        <v>29</v>
      </c>
      <c r="C552" s="22" t="s">
        <v>2382</v>
      </c>
      <c r="D552" s="9" t="s">
        <v>2139</v>
      </c>
      <c r="E552" s="9" t="s">
        <v>48</v>
      </c>
      <c r="F552" s="9" t="s">
        <v>99</v>
      </c>
      <c r="G552" s="22" t="s">
        <v>2399</v>
      </c>
      <c r="H552" s="9" t="s">
        <v>57</v>
      </c>
      <c r="I552" s="7"/>
      <c r="J552" s="23" t="s">
        <v>2400</v>
      </c>
      <c r="K552" s="24" t="s">
        <v>2401</v>
      </c>
      <c r="L552" s="22" t="s">
        <v>2402</v>
      </c>
      <c r="M552" s="25"/>
      <c r="N552" s="25"/>
      <c r="O552" s="26"/>
      <c r="P552" s="27"/>
      <c r="Q552" s="28"/>
      <c r="R552" s="28"/>
      <c r="S552" s="26"/>
    </row>
    <row r="553" customFormat="false" ht="15" hidden="false" customHeight="false" outlineLevel="0" collapsed="false">
      <c r="A553" s="7" t="n">
        <v>549</v>
      </c>
      <c r="B553" s="9" t="s">
        <v>29</v>
      </c>
      <c r="C553" s="22" t="s">
        <v>2403</v>
      </c>
      <c r="D553" s="9" t="s">
        <v>2144</v>
      </c>
      <c r="E553" s="9" t="s">
        <v>47</v>
      </c>
      <c r="F553" s="9" t="s">
        <v>99</v>
      </c>
      <c r="G553" s="22" t="s">
        <v>2404</v>
      </c>
      <c r="H553" s="9" t="s">
        <v>56</v>
      </c>
      <c r="I553" s="7"/>
      <c r="J553" s="23" t="s">
        <v>2405</v>
      </c>
      <c r="K553" s="24" t="s">
        <v>2406</v>
      </c>
      <c r="L553" s="22" t="s">
        <v>2407</v>
      </c>
      <c r="M553" s="25"/>
      <c r="N553" s="25"/>
      <c r="O553" s="26"/>
      <c r="P553" s="27"/>
      <c r="Q553" s="28"/>
      <c r="R553" s="28"/>
      <c r="S553" s="26"/>
    </row>
    <row r="554" customFormat="false" ht="15" hidden="false" customHeight="false" outlineLevel="0" collapsed="false">
      <c r="A554" s="7" t="n">
        <v>550</v>
      </c>
      <c r="B554" s="9" t="s">
        <v>29</v>
      </c>
      <c r="C554" s="22" t="s">
        <v>2403</v>
      </c>
      <c r="D554" s="9" t="s">
        <v>2144</v>
      </c>
      <c r="E554" s="9" t="s">
        <v>47</v>
      </c>
      <c r="F554" s="9" t="s">
        <v>99</v>
      </c>
      <c r="G554" s="22" t="s">
        <v>2408</v>
      </c>
      <c r="H554" s="9" t="s">
        <v>57</v>
      </c>
      <c r="I554" s="7"/>
      <c r="J554" s="23" t="s">
        <v>2409</v>
      </c>
      <c r="K554" s="24" t="s">
        <v>2410</v>
      </c>
      <c r="L554" s="22" t="s">
        <v>2411</v>
      </c>
      <c r="M554" s="25"/>
      <c r="N554" s="25"/>
      <c r="O554" s="26"/>
      <c r="P554" s="27"/>
      <c r="Q554" s="28"/>
      <c r="R554" s="28"/>
      <c r="S554" s="26"/>
    </row>
    <row r="555" customFormat="false" ht="15" hidden="false" customHeight="false" outlineLevel="0" collapsed="false">
      <c r="A555" s="7" t="n">
        <v>551</v>
      </c>
      <c r="B555" s="9" t="s">
        <v>29</v>
      </c>
      <c r="C555" s="22" t="s">
        <v>2403</v>
      </c>
      <c r="D555" s="9" t="s">
        <v>2144</v>
      </c>
      <c r="E555" s="9" t="s">
        <v>47</v>
      </c>
      <c r="F555" s="9" t="s">
        <v>99</v>
      </c>
      <c r="G555" s="22" t="s">
        <v>2412</v>
      </c>
      <c r="H555" s="9" t="s">
        <v>57</v>
      </c>
      <c r="I555" s="7"/>
      <c r="J555" s="23" t="s">
        <v>2413</v>
      </c>
      <c r="K555" s="24" t="s">
        <v>2414</v>
      </c>
      <c r="L555" s="22" t="s">
        <v>2415</v>
      </c>
      <c r="M555" s="25"/>
      <c r="N555" s="25"/>
      <c r="O555" s="26"/>
      <c r="P555" s="27"/>
      <c r="Q555" s="28"/>
      <c r="R555" s="28"/>
      <c r="S555" s="26"/>
    </row>
    <row r="556" customFormat="false" ht="15" hidden="false" customHeight="false" outlineLevel="0" collapsed="false">
      <c r="A556" s="7" t="n">
        <v>552</v>
      </c>
      <c r="B556" s="9" t="s">
        <v>29</v>
      </c>
      <c r="C556" s="22" t="s">
        <v>2403</v>
      </c>
      <c r="D556" s="9" t="s">
        <v>2144</v>
      </c>
      <c r="E556" s="9" t="s">
        <v>48</v>
      </c>
      <c r="F556" s="9" t="s">
        <v>124</v>
      </c>
      <c r="G556" s="22" t="s">
        <v>2416</v>
      </c>
      <c r="H556" s="9" t="s">
        <v>57</v>
      </c>
      <c r="I556" s="7"/>
      <c r="J556" s="23" t="s">
        <v>2417</v>
      </c>
      <c r="K556" s="24" t="s">
        <v>2418</v>
      </c>
      <c r="L556" s="22" t="s">
        <v>2419</v>
      </c>
      <c r="M556" s="25"/>
      <c r="N556" s="25"/>
      <c r="O556" s="26"/>
      <c r="P556" s="27"/>
      <c r="Q556" s="28"/>
      <c r="R556" s="28"/>
      <c r="S556" s="26"/>
    </row>
    <row r="557" customFormat="false" ht="15" hidden="false" customHeight="false" outlineLevel="0" collapsed="false">
      <c r="A557" s="7" t="n">
        <v>553</v>
      </c>
      <c r="B557" s="9" t="s">
        <v>29</v>
      </c>
      <c r="C557" s="22" t="s">
        <v>2420</v>
      </c>
      <c r="D557" s="9" t="s">
        <v>2421</v>
      </c>
      <c r="E557" s="9" t="s">
        <v>48</v>
      </c>
      <c r="F557" s="9" t="s">
        <v>124</v>
      </c>
      <c r="G557" s="22" t="s">
        <v>1536</v>
      </c>
      <c r="H557" s="9" t="s">
        <v>56</v>
      </c>
      <c r="I557" s="7"/>
      <c r="J557" s="23" t="s">
        <v>2422</v>
      </c>
      <c r="K557" s="24" t="s">
        <v>2423</v>
      </c>
      <c r="L557" s="22" t="s">
        <v>2424</v>
      </c>
      <c r="M557" s="25"/>
      <c r="N557" s="25"/>
      <c r="O557" s="26"/>
      <c r="P557" s="27"/>
      <c r="Q557" s="28"/>
      <c r="R557" s="28"/>
      <c r="S557" s="26"/>
    </row>
    <row r="558" customFormat="false" ht="15" hidden="false" customHeight="false" outlineLevel="0" collapsed="false">
      <c r="A558" s="7" t="n">
        <v>554</v>
      </c>
      <c r="B558" s="9" t="s">
        <v>29</v>
      </c>
      <c r="C558" s="22" t="s">
        <v>2420</v>
      </c>
      <c r="D558" s="9" t="s">
        <v>2250</v>
      </c>
      <c r="E558" s="9" t="s">
        <v>47</v>
      </c>
      <c r="F558" s="9" t="s">
        <v>99</v>
      </c>
      <c r="G558" s="22" t="s">
        <v>2425</v>
      </c>
      <c r="H558" s="9" t="s">
        <v>57</v>
      </c>
      <c r="I558" s="7"/>
      <c r="J558" s="23" t="s">
        <v>2426</v>
      </c>
      <c r="K558" s="24" t="s">
        <v>2427</v>
      </c>
      <c r="L558" s="22" t="s">
        <v>2428</v>
      </c>
      <c r="M558" s="25"/>
      <c r="N558" s="25"/>
      <c r="O558" s="26"/>
      <c r="P558" s="27"/>
      <c r="Q558" s="28"/>
      <c r="R558" s="28"/>
      <c r="S558" s="26"/>
    </row>
    <row r="559" customFormat="false" ht="15" hidden="false" customHeight="false" outlineLevel="0" collapsed="false">
      <c r="A559" s="7" t="n">
        <v>555</v>
      </c>
      <c r="B559" s="9" t="s">
        <v>29</v>
      </c>
      <c r="C559" s="22" t="s">
        <v>2420</v>
      </c>
      <c r="D559" s="9" t="s">
        <v>2250</v>
      </c>
      <c r="E559" s="9" t="s">
        <v>47</v>
      </c>
      <c r="F559" s="9" t="s">
        <v>99</v>
      </c>
      <c r="G559" s="22" t="s">
        <v>2429</v>
      </c>
      <c r="H559" s="9" t="s">
        <v>56</v>
      </c>
      <c r="I559" s="7"/>
      <c r="J559" s="23" t="s">
        <v>2430</v>
      </c>
      <c r="K559" s="24" t="s">
        <v>2431</v>
      </c>
      <c r="L559" s="22" t="s">
        <v>2432</v>
      </c>
      <c r="M559" s="25"/>
      <c r="N559" s="25"/>
      <c r="O559" s="26"/>
      <c r="P559" s="27"/>
      <c r="Q559" s="28"/>
      <c r="R559" s="28"/>
      <c r="S559" s="26"/>
    </row>
    <row r="560" customFormat="false" ht="15" hidden="false" customHeight="false" outlineLevel="0" collapsed="false">
      <c r="A560" s="7" t="n">
        <v>556</v>
      </c>
      <c r="B560" s="9" t="s">
        <v>29</v>
      </c>
      <c r="C560" s="22" t="s">
        <v>2420</v>
      </c>
      <c r="D560" s="9" t="s">
        <v>2250</v>
      </c>
      <c r="E560" s="9" t="s">
        <v>47</v>
      </c>
      <c r="F560" s="9" t="s">
        <v>99</v>
      </c>
      <c r="G560" s="22" t="s">
        <v>2433</v>
      </c>
      <c r="H560" s="9" t="s">
        <v>57</v>
      </c>
      <c r="I560" s="7"/>
      <c r="J560" s="23" t="s">
        <v>2434</v>
      </c>
      <c r="K560" s="24" t="s">
        <v>2435</v>
      </c>
      <c r="L560" s="22" t="s">
        <v>2436</v>
      </c>
      <c r="M560" s="25"/>
      <c r="N560" s="25"/>
      <c r="O560" s="26"/>
      <c r="P560" s="27"/>
      <c r="Q560" s="28"/>
      <c r="R560" s="28"/>
      <c r="S560" s="26"/>
    </row>
    <row r="561" customFormat="false" ht="15" hidden="false" customHeight="false" outlineLevel="0" collapsed="false">
      <c r="A561" s="7" t="n">
        <v>557</v>
      </c>
      <c r="B561" s="9" t="s">
        <v>29</v>
      </c>
      <c r="C561" s="22" t="s">
        <v>2437</v>
      </c>
      <c r="D561" s="9" t="s">
        <v>2170</v>
      </c>
      <c r="E561" s="9" t="s">
        <v>47</v>
      </c>
      <c r="F561" s="9" t="s">
        <v>99</v>
      </c>
      <c r="G561" s="22" t="s">
        <v>2438</v>
      </c>
      <c r="H561" s="9" t="s">
        <v>57</v>
      </c>
      <c r="I561" s="7"/>
      <c r="J561" s="23" t="s">
        <v>2439</v>
      </c>
      <c r="K561" s="24" t="s">
        <v>2440</v>
      </c>
      <c r="L561" s="22" t="s">
        <v>2441</v>
      </c>
      <c r="M561" s="25"/>
      <c r="N561" s="25"/>
      <c r="O561" s="26"/>
      <c r="P561" s="27"/>
      <c r="Q561" s="28"/>
      <c r="R561" s="28"/>
      <c r="S561" s="26"/>
    </row>
    <row r="562" customFormat="false" ht="15" hidden="false" customHeight="false" outlineLevel="0" collapsed="false">
      <c r="A562" s="7" t="n">
        <v>558</v>
      </c>
      <c r="B562" s="9" t="s">
        <v>29</v>
      </c>
      <c r="C562" s="22" t="s">
        <v>2437</v>
      </c>
      <c r="D562" s="9" t="s">
        <v>2170</v>
      </c>
      <c r="E562" s="9" t="s">
        <v>47</v>
      </c>
      <c r="F562" s="9" t="s">
        <v>99</v>
      </c>
      <c r="G562" s="22" t="s">
        <v>2442</v>
      </c>
      <c r="H562" s="9" t="s">
        <v>57</v>
      </c>
      <c r="I562" s="7"/>
      <c r="J562" s="23" t="s">
        <v>2443</v>
      </c>
      <c r="K562" s="24" t="s">
        <v>2444</v>
      </c>
      <c r="L562" s="22" t="s">
        <v>2445</v>
      </c>
      <c r="M562" s="25"/>
      <c r="N562" s="25"/>
      <c r="O562" s="26"/>
      <c r="P562" s="27"/>
      <c r="Q562" s="28"/>
      <c r="R562" s="28"/>
      <c r="S562" s="26"/>
    </row>
    <row r="563" customFormat="false" ht="15" hidden="false" customHeight="false" outlineLevel="0" collapsed="false">
      <c r="A563" s="7" t="n">
        <v>559</v>
      </c>
      <c r="B563" s="9" t="s">
        <v>29</v>
      </c>
      <c r="C563" s="22" t="s">
        <v>2437</v>
      </c>
      <c r="D563" s="9" t="s">
        <v>2170</v>
      </c>
      <c r="E563" s="9" t="s">
        <v>47</v>
      </c>
      <c r="F563" s="9" t="s">
        <v>99</v>
      </c>
      <c r="G563" s="22" t="s">
        <v>2446</v>
      </c>
      <c r="H563" s="9" t="s">
        <v>56</v>
      </c>
      <c r="I563" s="7"/>
      <c r="J563" s="23" t="s">
        <v>2447</v>
      </c>
      <c r="K563" s="24" t="s">
        <v>2448</v>
      </c>
      <c r="L563" s="22" t="s">
        <v>2449</v>
      </c>
      <c r="M563" s="25"/>
      <c r="N563" s="25"/>
      <c r="O563" s="26"/>
      <c r="P563" s="27"/>
      <c r="Q563" s="28"/>
      <c r="R563" s="28"/>
      <c r="S563" s="26"/>
    </row>
    <row r="564" customFormat="false" ht="15" hidden="false" customHeight="false" outlineLevel="0" collapsed="false">
      <c r="A564" s="7" t="n">
        <v>560</v>
      </c>
      <c r="B564" s="9" t="s">
        <v>29</v>
      </c>
      <c r="C564" s="22" t="s">
        <v>2437</v>
      </c>
      <c r="D564" s="9" t="s">
        <v>2170</v>
      </c>
      <c r="E564" s="9" t="s">
        <v>47</v>
      </c>
      <c r="F564" s="9" t="s">
        <v>99</v>
      </c>
      <c r="G564" s="22" t="s">
        <v>2450</v>
      </c>
      <c r="H564" s="9" t="s">
        <v>56</v>
      </c>
      <c r="I564" s="7"/>
      <c r="J564" s="23" t="s">
        <v>2451</v>
      </c>
      <c r="K564" s="24" t="s">
        <v>2452</v>
      </c>
      <c r="L564" s="22" t="s">
        <v>2453</v>
      </c>
      <c r="M564" s="25"/>
      <c r="N564" s="25"/>
      <c r="O564" s="26"/>
      <c r="P564" s="27"/>
      <c r="Q564" s="28"/>
      <c r="R564" s="28"/>
      <c r="S564" s="26"/>
    </row>
    <row r="565" customFormat="false" ht="15" hidden="false" customHeight="false" outlineLevel="0" collapsed="false">
      <c r="A565" s="7" t="n">
        <v>561</v>
      </c>
      <c r="B565" s="9" t="s">
        <v>29</v>
      </c>
      <c r="C565" s="22" t="s">
        <v>2437</v>
      </c>
      <c r="D565" s="9" t="s">
        <v>2170</v>
      </c>
      <c r="E565" s="9" t="s">
        <v>47</v>
      </c>
      <c r="F565" s="9" t="s">
        <v>99</v>
      </c>
      <c r="G565" s="22" t="s">
        <v>2454</v>
      </c>
      <c r="H565" s="9" t="s">
        <v>57</v>
      </c>
      <c r="I565" s="7"/>
      <c r="J565" s="23" t="s">
        <v>2455</v>
      </c>
      <c r="K565" s="24" t="s">
        <v>2456</v>
      </c>
      <c r="L565" s="22" t="s">
        <v>2457</v>
      </c>
      <c r="M565" s="25"/>
      <c r="N565" s="25"/>
      <c r="O565" s="26"/>
      <c r="P565" s="27"/>
      <c r="Q565" s="28"/>
      <c r="R565" s="28"/>
      <c r="S565" s="26"/>
    </row>
    <row r="566" customFormat="false" ht="15" hidden="false" customHeight="false" outlineLevel="0" collapsed="false">
      <c r="A566" s="7" t="n">
        <v>562</v>
      </c>
      <c r="B566" s="9" t="s">
        <v>29</v>
      </c>
      <c r="C566" s="22" t="s">
        <v>2437</v>
      </c>
      <c r="D566" s="9" t="s">
        <v>2170</v>
      </c>
      <c r="E566" s="9" t="s">
        <v>48</v>
      </c>
      <c r="F566" s="9" t="s">
        <v>99</v>
      </c>
      <c r="G566" s="22" t="s">
        <v>2458</v>
      </c>
      <c r="H566" s="9" t="s">
        <v>56</v>
      </c>
      <c r="I566" s="7"/>
      <c r="J566" s="23" t="s">
        <v>2459</v>
      </c>
      <c r="K566" s="24" t="s">
        <v>2460</v>
      </c>
      <c r="L566" s="22" t="s">
        <v>2461</v>
      </c>
      <c r="M566" s="25"/>
      <c r="N566" s="25"/>
      <c r="O566" s="26"/>
      <c r="P566" s="27"/>
      <c r="Q566" s="28"/>
      <c r="R566" s="28"/>
      <c r="S566" s="26"/>
    </row>
    <row r="567" customFormat="false" ht="15" hidden="false" customHeight="false" outlineLevel="0" collapsed="false">
      <c r="A567" s="7" t="n">
        <v>563</v>
      </c>
      <c r="B567" s="9" t="s">
        <v>29</v>
      </c>
      <c r="C567" s="22" t="s">
        <v>2437</v>
      </c>
      <c r="D567" s="9" t="s">
        <v>2170</v>
      </c>
      <c r="E567" s="9" t="s">
        <v>48</v>
      </c>
      <c r="F567" s="9" t="s">
        <v>99</v>
      </c>
      <c r="G567" s="22" t="s">
        <v>2462</v>
      </c>
      <c r="H567" s="9" t="s">
        <v>57</v>
      </c>
      <c r="I567" s="7"/>
      <c r="J567" s="23" t="s">
        <v>2463</v>
      </c>
      <c r="K567" s="24" t="s">
        <v>2464</v>
      </c>
      <c r="L567" s="22" t="s">
        <v>2465</v>
      </c>
      <c r="M567" s="25"/>
      <c r="N567" s="25"/>
      <c r="O567" s="26"/>
      <c r="P567" s="27"/>
      <c r="Q567" s="28"/>
      <c r="R567" s="28"/>
      <c r="S567" s="26"/>
    </row>
    <row r="568" customFormat="false" ht="15" hidden="false" customHeight="false" outlineLevel="0" collapsed="false">
      <c r="A568" s="7" t="n">
        <v>564</v>
      </c>
      <c r="B568" s="9" t="s">
        <v>29</v>
      </c>
      <c r="C568" s="22" t="s">
        <v>2466</v>
      </c>
      <c r="D568" s="9" t="s">
        <v>2179</v>
      </c>
      <c r="E568" s="9" t="s">
        <v>47</v>
      </c>
      <c r="F568" s="9" t="s">
        <v>99</v>
      </c>
      <c r="G568" s="22" t="s">
        <v>2467</v>
      </c>
      <c r="H568" s="9" t="s">
        <v>57</v>
      </c>
      <c r="I568" s="7"/>
      <c r="J568" s="23" t="s">
        <v>2468</v>
      </c>
      <c r="K568" s="24" t="s">
        <v>2469</v>
      </c>
      <c r="L568" s="22" t="s">
        <v>2470</v>
      </c>
      <c r="M568" s="25"/>
      <c r="N568" s="25"/>
      <c r="O568" s="26"/>
      <c r="P568" s="27"/>
      <c r="Q568" s="28"/>
      <c r="R568" s="28"/>
      <c r="S568" s="26"/>
    </row>
    <row r="569" customFormat="false" ht="15" hidden="false" customHeight="false" outlineLevel="0" collapsed="false">
      <c r="A569" s="7" t="n">
        <v>565</v>
      </c>
      <c r="B569" s="9" t="s">
        <v>29</v>
      </c>
      <c r="C569" s="22" t="s">
        <v>2466</v>
      </c>
      <c r="D569" s="9" t="s">
        <v>2179</v>
      </c>
      <c r="E569" s="9" t="s">
        <v>47</v>
      </c>
      <c r="F569" s="9" t="s">
        <v>99</v>
      </c>
      <c r="G569" s="22" t="s">
        <v>2471</v>
      </c>
      <c r="H569" s="9" t="s">
        <v>56</v>
      </c>
      <c r="I569" s="7"/>
      <c r="J569" s="23" t="s">
        <v>2472</v>
      </c>
      <c r="K569" s="24" t="s">
        <v>2473</v>
      </c>
      <c r="L569" s="22" t="s">
        <v>2474</v>
      </c>
      <c r="M569" s="25"/>
      <c r="N569" s="25"/>
      <c r="O569" s="26"/>
      <c r="P569" s="27"/>
      <c r="Q569" s="28"/>
      <c r="R569" s="28"/>
      <c r="S569" s="26"/>
    </row>
    <row r="570" customFormat="false" ht="15" hidden="false" customHeight="false" outlineLevel="0" collapsed="false">
      <c r="A570" s="7" t="n">
        <v>566</v>
      </c>
      <c r="B570" s="9" t="s">
        <v>29</v>
      </c>
      <c r="C570" s="22" t="s">
        <v>2466</v>
      </c>
      <c r="D570" s="9" t="s">
        <v>2179</v>
      </c>
      <c r="E570" s="9" t="s">
        <v>47</v>
      </c>
      <c r="F570" s="9" t="s">
        <v>99</v>
      </c>
      <c r="G570" s="22" t="s">
        <v>2475</v>
      </c>
      <c r="H570" s="9" t="s">
        <v>57</v>
      </c>
      <c r="I570" s="7"/>
      <c r="J570" s="23" t="s">
        <v>2476</v>
      </c>
      <c r="K570" s="24" t="s">
        <v>2477</v>
      </c>
      <c r="L570" s="22" t="s">
        <v>2478</v>
      </c>
      <c r="M570" s="25"/>
      <c r="N570" s="25"/>
      <c r="O570" s="26"/>
      <c r="P570" s="27"/>
      <c r="Q570" s="28"/>
      <c r="R570" s="28"/>
      <c r="S570" s="26"/>
    </row>
    <row r="571" customFormat="false" ht="15" hidden="false" customHeight="false" outlineLevel="0" collapsed="false">
      <c r="A571" s="7" t="n">
        <v>567</v>
      </c>
      <c r="B571" s="9" t="s">
        <v>29</v>
      </c>
      <c r="C571" s="22" t="s">
        <v>2466</v>
      </c>
      <c r="D571" s="9" t="s">
        <v>2179</v>
      </c>
      <c r="E571" s="9" t="s">
        <v>47</v>
      </c>
      <c r="F571" s="9" t="s">
        <v>99</v>
      </c>
      <c r="G571" s="22" t="s">
        <v>2479</v>
      </c>
      <c r="H571" s="9" t="s">
        <v>56</v>
      </c>
      <c r="I571" s="7"/>
      <c r="J571" s="23" t="s">
        <v>2480</v>
      </c>
      <c r="K571" s="24" t="s">
        <v>2481</v>
      </c>
      <c r="L571" s="22" t="s">
        <v>2482</v>
      </c>
      <c r="M571" s="25"/>
      <c r="N571" s="25"/>
      <c r="O571" s="26"/>
      <c r="P571" s="27"/>
      <c r="Q571" s="28"/>
      <c r="R571" s="28"/>
      <c r="S571" s="26"/>
    </row>
    <row r="572" customFormat="false" ht="15" hidden="false" customHeight="false" outlineLevel="0" collapsed="false">
      <c r="A572" s="7" t="n">
        <v>568</v>
      </c>
      <c r="B572" s="9" t="s">
        <v>29</v>
      </c>
      <c r="C572" s="22" t="s">
        <v>2466</v>
      </c>
      <c r="D572" s="9" t="s">
        <v>2179</v>
      </c>
      <c r="E572" s="9" t="s">
        <v>47</v>
      </c>
      <c r="F572" s="9" t="s">
        <v>99</v>
      </c>
      <c r="G572" s="22" t="s">
        <v>2483</v>
      </c>
      <c r="H572" s="9" t="s">
        <v>57</v>
      </c>
      <c r="I572" s="7"/>
      <c r="J572" s="23" t="s">
        <v>2484</v>
      </c>
      <c r="K572" s="24" t="s">
        <v>2485</v>
      </c>
      <c r="L572" s="22" t="s">
        <v>2486</v>
      </c>
      <c r="M572" s="25"/>
      <c r="N572" s="25"/>
      <c r="O572" s="26"/>
      <c r="P572" s="27"/>
      <c r="Q572" s="28"/>
      <c r="R572" s="28"/>
      <c r="S572" s="26"/>
    </row>
    <row r="573" customFormat="false" ht="15" hidden="false" customHeight="false" outlineLevel="0" collapsed="false">
      <c r="A573" s="7" t="n">
        <v>569</v>
      </c>
      <c r="B573" s="9" t="s">
        <v>29</v>
      </c>
      <c r="C573" s="22" t="s">
        <v>2466</v>
      </c>
      <c r="D573" s="9" t="s">
        <v>2179</v>
      </c>
      <c r="E573" s="9" t="s">
        <v>48</v>
      </c>
      <c r="F573" s="9" t="s">
        <v>99</v>
      </c>
      <c r="G573" s="22" t="s">
        <v>2487</v>
      </c>
      <c r="H573" s="9" t="s">
        <v>57</v>
      </c>
      <c r="I573" s="7"/>
      <c r="J573" s="23" t="s">
        <v>2488</v>
      </c>
      <c r="K573" s="24" t="s">
        <v>2489</v>
      </c>
      <c r="L573" s="22" t="s">
        <v>2490</v>
      </c>
      <c r="M573" s="25"/>
      <c r="N573" s="25"/>
      <c r="O573" s="26"/>
      <c r="P573" s="27"/>
      <c r="Q573" s="28"/>
      <c r="R573" s="28"/>
      <c r="S573" s="26"/>
    </row>
    <row r="574" customFormat="false" ht="15" hidden="false" customHeight="false" outlineLevel="0" collapsed="false">
      <c r="A574" s="7" t="n">
        <v>570</v>
      </c>
      <c r="B574" s="9" t="s">
        <v>29</v>
      </c>
      <c r="C574" s="22" t="s">
        <v>2491</v>
      </c>
      <c r="D574" s="9" t="s">
        <v>2201</v>
      </c>
      <c r="E574" s="9" t="s">
        <v>47</v>
      </c>
      <c r="F574" s="9" t="s">
        <v>99</v>
      </c>
      <c r="G574" s="22" t="s">
        <v>2492</v>
      </c>
      <c r="H574" s="9" t="s">
        <v>57</v>
      </c>
      <c r="I574" s="7"/>
      <c r="J574" s="23" t="s">
        <v>2493</v>
      </c>
      <c r="K574" s="24" t="s">
        <v>2494</v>
      </c>
      <c r="L574" s="22" t="s">
        <v>2495</v>
      </c>
      <c r="M574" s="25"/>
      <c r="N574" s="25"/>
      <c r="O574" s="26"/>
      <c r="P574" s="27"/>
      <c r="Q574" s="28"/>
      <c r="R574" s="28"/>
      <c r="S574" s="26"/>
    </row>
    <row r="575" customFormat="false" ht="15" hidden="false" customHeight="false" outlineLevel="0" collapsed="false">
      <c r="A575" s="7" t="n">
        <v>571</v>
      </c>
      <c r="B575" s="9" t="s">
        <v>29</v>
      </c>
      <c r="C575" s="22" t="s">
        <v>2491</v>
      </c>
      <c r="D575" s="9" t="s">
        <v>2201</v>
      </c>
      <c r="E575" s="9" t="s">
        <v>47</v>
      </c>
      <c r="F575" s="9" t="s">
        <v>99</v>
      </c>
      <c r="G575" s="22" t="s">
        <v>2496</v>
      </c>
      <c r="H575" s="9" t="s">
        <v>56</v>
      </c>
      <c r="I575" s="7"/>
      <c r="J575" s="23" t="s">
        <v>2497</v>
      </c>
      <c r="K575" s="24" t="s">
        <v>2498</v>
      </c>
      <c r="L575" s="22" t="s">
        <v>2499</v>
      </c>
      <c r="M575" s="25"/>
      <c r="N575" s="25"/>
      <c r="O575" s="26"/>
      <c r="P575" s="27"/>
      <c r="Q575" s="28"/>
      <c r="R575" s="28"/>
      <c r="S575" s="26"/>
    </row>
    <row r="576" customFormat="false" ht="15" hidden="false" customHeight="false" outlineLevel="0" collapsed="false">
      <c r="A576" s="7" t="n">
        <v>572</v>
      </c>
      <c r="B576" s="9" t="s">
        <v>29</v>
      </c>
      <c r="C576" s="22" t="s">
        <v>2491</v>
      </c>
      <c r="D576" s="9" t="s">
        <v>2201</v>
      </c>
      <c r="E576" s="9" t="s">
        <v>47</v>
      </c>
      <c r="F576" s="9" t="s">
        <v>99</v>
      </c>
      <c r="G576" s="22" t="s">
        <v>2500</v>
      </c>
      <c r="H576" s="9" t="s">
        <v>57</v>
      </c>
      <c r="I576" s="7"/>
      <c r="J576" s="23" t="s">
        <v>2501</v>
      </c>
      <c r="K576" s="24" t="s">
        <v>2502</v>
      </c>
      <c r="L576" s="22" t="s">
        <v>2503</v>
      </c>
      <c r="M576" s="25"/>
      <c r="N576" s="25"/>
      <c r="O576" s="26"/>
      <c r="P576" s="27"/>
      <c r="Q576" s="28"/>
      <c r="R576" s="28"/>
      <c r="S576" s="26"/>
    </row>
    <row r="577" customFormat="false" ht="15" hidden="false" customHeight="false" outlineLevel="0" collapsed="false">
      <c r="A577" s="7" t="n">
        <v>573</v>
      </c>
      <c r="B577" s="9" t="s">
        <v>29</v>
      </c>
      <c r="C577" s="22" t="s">
        <v>2491</v>
      </c>
      <c r="D577" s="9" t="s">
        <v>2201</v>
      </c>
      <c r="E577" s="9" t="s">
        <v>47</v>
      </c>
      <c r="F577" s="9" t="s">
        <v>99</v>
      </c>
      <c r="G577" s="22" t="s">
        <v>2504</v>
      </c>
      <c r="H577" s="9" t="s">
        <v>56</v>
      </c>
      <c r="I577" s="7"/>
      <c r="J577" s="23" t="s">
        <v>2505</v>
      </c>
      <c r="K577" s="24" t="s">
        <v>2506</v>
      </c>
      <c r="L577" s="22" t="s">
        <v>2507</v>
      </c>
      <c r="M577" s="25"/>
      <c r="N577" s="25"/>
      <c r="O577" s="26"/>
      <c r="P577" s="27"/>
      <c r="Q577" s="28"/>
      <c r="R577" s="28"/>
      <c r="S577" s="26"/>
    </row>
    <row r="578" customFormat="false" ht="15" hidden="false" customHeight="false" outlineLevel="0" collapsed="false">
      <c r="A578" s="7" t="n">
        <v>574</v>
      </c>
      <c r="B578" s="9" t="s">
        <v>29</v>
      </c>
      <c r="C578" s="22" t="s">
        <v>2491</v>
      </c>
      <c r="D578" s="9" t="s">
        <v>2201</v>
      </c>
      <c r="E578" s="9" t="s">
        <v>47</v>
      </c>
      <c r="F578" s="9" t="s">
        <v>99</v>
      </c>
      <c r="G578" s="22" t="s">
        <v>2508</v>
      </c>
      <c r="H578" s="9" t="s">
        <v>56</v>
      </c>
      <c r="I578" s="7"/>
      <c r="J578" s="23" t="s">
        <v>2509</v>
      </c>
      <c r="K578" s="24" t="s">
        <v>2510</v>
      </c>
      <c r="L578" s="22" t="s">
        <v>2511</v>
      </c>
      <c r="M578" s="25"/>
      <c r="N578" s="25"/>
      <c r="O578" s="26"/>
      <c r="P578" s="27"/>
      <c r="Q578" s="28"/>
      <c r="R578" s="28"/>
      <c r="S578" s="26"/>
    </row>
    <row r="579" customFormat="false" ht="15" hidden="false" customHeight="false" outlineLevel="0" collapsed="false">
      <c r="A579" s="7" t="n">
        <v>575</v>
      </c>
      <c r="B579" s="9" t="s">
        <v>29</v>
      </c>
      <c r="C579" s="22" t="s">
        <v>2491</v>
      </c>
      <c r="D579" s="9" t="s">
        <v>2201</v>
      </c>
      <c r="E579" s="9" t="s">
        <v>47</v>
      </c>
      <c r="F579" s="9" t="s">
        <v>99</v>
      </c>
      <c r="G579" s="22" t="s">
        <v>2512</v>
      </c>
      <c r="H579" s="9" t="s">
        <v>57</v>
      </c>
      <c r="I579" s="7"/>
      <c r="J579" s="23" t="s">
        <v>2513</v>
      </c>
      <c r="K579" s="24" t="s">
        <v>2514</v>
      </c>
      <c r="L579" s="22" t="s">
        <v>2515</v>
      </c>
      <c r="M579" s="25"/>
      <c r="N579" s="25"/>
      <c r="O579" s="26"/>
      <c r="P579" s="27"/>
      <c r="Q579" s="28"/>
      <c r="R579" s="28"/>
      <c r="S579" s="26"/>
    </row>
    <row r="580" customFormat="false" ht="15" hidden="false" customHeight="false" outlineLevel="0" collapsed="false">
      <c r="A580" s="7" t="n">
        <v>576</v>
      </c>
      <c r="B580" s="9" t="s">
        <v>29</v>
      </c>
      <c r="C580" s="22" t="s">
        <v>2491</v>
      </c>
      <c r="D580" s="9" t="s">
        <v>2201</v>
      </c>
      <c r="E580" s="9" t="s">
        <v>47</v>
      </c>
      <c r="F580" s="9" t="s">
        <v>99</v>
      </c>
      <c r="G580" s="22" t="s">
        <v>2516</v>
      </c>
      <c r="H580" s="9" t="s">
        <v>56</v>
      </c>
      <c r="I580" s="7"/>
      <c r="J580" s="23" t="s">
        <v>2517</v>
      </c>
      <c r="K580" s="24" t="s">
        <v>2518</v>
      </c>
      <c r="L580" s="22" t="s">
        <v>2519</v>
      </c>
      <c r="M580" s="25"/>
      <c r="N580" s="25"/>
      <c r="O580" s="26"/>
      <c r="P580" s="27"/>
      <c r="Q580" s="28"/>
      <c r="R580" s="28"/>
      <c r="S580" s="26"/>
    </row>
    <row r="581" customFormat="false" ht="15" hidden="false" customHeight="false" outlineLevel="0" collapsed="false">
      <c r="A581" s="7" t="n">
        <v>577</v>
      </c>
      <c r="B581" s="9" t="s">
        <v>29</v>
      </c>
      <c r="C581" s="22" t="s">
        <v>2491</v>
      </c>
      <c r="D581" s="9" t="s">
        <v>2201</v>
      </c>
      <c r="E581" s="9" t="s">
        <v>48</v>
      </c>
      <c r="F581" s="9" t="s">
        <v>99</v>
      </c>
      <c r="G581" s="22" t="s">
        <v>2520</v>
      </c>
      <c r="H581" s="9" t="s">
        <v>56</v>
      </c>
      <c r="I581" s="7"/>
      <c r="J581" s="23" t="s">
        <v>2521</v>
      </c>
      <c r="K581" s="24" t="s">
        <v>2522</v>
      </c>
      <c r="L581" s="22" t="s">
        <v>2523</v>
      </c>
      <c r="M581" s="25"/>
      <c r="N581" s="25"/>
      <c r="O581" s="26"/>
      <c r="P581" s="27"/>
      <c r="Q581" s="28"/>
      <c r="R581" s="28"/>
      <c r="S581" s="26"/>
    </row>
    <row r="582" customFormat="false" ht="15" hidden="false" customHeight="false" outlineLevel="0" collapsed="false">
      <c r="A582" s="7" t="n">
        <v>578</v>
      </c>
      <c r="B582" s="9" t="s">
        <v>29</v>
      </c>
      <c r="C582" s="22" t="s">
        <v>2491</v>
      </c>
      <c r="D582" s="9" t="s">
        <v>2201</v>
      </c>
      <c r="E582" s="9" t="s">
        <v>48</v>
      </c>
      <c r="F582" s="9" t="s">
        <v>99</v>
      </c>
      <c r="G582" s="22" t="s">
        <v>2524</v>
      </c>
      <c r="H582" s="9" t="s">
        <v>57</v>
      </c>
      <c r="I582" s="7"/>
      <c r="J582" s="23" t="s">
        <v>2525</v>
      </c>
      <c r="K582" s="24" t="s">
        <v>2526</v>
      </c>
      <c r="L582" s="22" t="s">
        <v>2527</v>
      </c>
      <c r="M582" s="25"/>
      <c r="N582" s="25"/>
      <c r="O582" s="26"/>
      <c r="P582" s="27"/>
      <c r="Q582" s="28"/>
      <c r="R582" s="28"/>
      <c r="S582" s="26"/>
    </row>
    <row r="583" customFormat="false" ht="15" hidden="false" customHeight="false" outlineLevel="0" collapsed="false">
      <c r="A583" s="7" t="n">
        <v>579</v>
      </c>
      <c r="B583" s="9" t="s">
        <v>29</v>
      </c>
      <c r="C583" s="22" t="s">
        <v>2491</v>
      </c>
      <c r="D583" s="9" t="s">
        <v>2201</v>
      </c>
      <c r="E583" s="9" t="s">
        <v>48</v>
      </c>
      <c r="F583" s="9" t="s">
        <v>99</v>
      </c>
      <c r="G583" s="22" t="s">
        <v>2528</v>
      </c>
      <c r="H583" s="9" t="s">
        <v>57</v>
      </c>
      <c r="I583" s="7"/>
      <c r="J583" s="23" t="s">
        <v>2529</v>
      </c>
      <c r="K583" s="24" t="s">
        <v>2530</v>
      </c>
      <c r="L583" s="22" t="s">
        <v>2531</v>
      </c>
      <c r="M583" s="25"/>
      <c r="N583" s="25"/>
      <c r="O583" s="26"/>
      <c r="P583" s="27"/>
      <c r="Q583" s="28"/>
      <c r="R583" s="28"/>
      <c r="S583" s="26"/>
    </row>
    <row r="584" customFormat="false" ht="15" hidden="false" customHeight="false" outlineLevel="0" collapsed="false">
      <c r="A584" s="7" t="n">
        <v>580</v>
      </c>
      <c r="B584" s="9" t="s">
        <v>29</v>
      </c>
      <c r="C584" s="22" t="s">
        <v>2532</v>
      </c>
      <c r="D584" s="9" t="s">
        <v>2218</v>
      </c>
      <c r="E584" s="9" t="s">
        <v>47</v>
      </c>
      <c r="F584" s="9" t="s">
        <v>99</v>
      </c>
      <c r="G584" s="22" t="s">
        <v>2533</v>
      </c>
      <c r="H584" s="9" t="s">
        <v>57</v>
      </c>
      <c r="I584" s="7"/>
      <c r="J584" s="23" t="s">
        <v>2534</v>
      </c>
      <c r="K584" s="24" t="s">
        <v>2535</v>
      </c>
      <c r="L584" s="22" t="s">
        <v>2536</v>
      </c>
      <c r="M584" s="25"/>
      <c r="N584" s="25"/>
      <c r="O584" s="26"/>
      <c r="P584" s="27"/>
      <c r="Q584" s="28"/>
      <c r="R584" s="28"/>
      <c r="S584" s="26"/>
    </row>
    <row r="585" customFormat="false" ht="15" hidden="false" customHeight="false" outlineLevel="0" collapsed="false">
      <c r="A585" s="7" t="n">
        <v>581</v>
      </c>
      <c r="B585" s="9" t="s">
        <v>29</v>
      </c>
      <c r="C585" s="22" t="s">
        <v>2532</v>
      </c>
      <c r="D585" s="9" t="s">
        <v>2218</v>
      </c>
      <c r="E585" s="9" t="s">
        <v>47</v>
      </c>
      <c r="F585" s="9" t="s">
        <v>99</v>
      </c>
      <c r="G585" s="22" t="s">
        <v>2537</v>
      </c>
      <c r="H585" s="9" t="s">
        <v>56</v>
      </c>
      <c r="I585" s="7"/>
      <c r="J585" s="23" t="s">
        <v>2538</v>
      </c>
      <c r="K585" s="24" t="s">
        <v>2539</v>
      </c>
      <c r="L585" s="22" t="s">
        <v>2540</v>
      </c>
      <c r="M585" s="25"/>
      <c r="N585" s="25"/>
      <c r="O585" s="26"/>
      <c r="P585" s="27"/>
      <c r="Q585" s="28"/>
      <c r="R585" s="28"/>
      <c r="S585" s="26"/>
    </row>
    <row r="586" customFormat="false" ht="15" hidden="false" customHeight="false" outlineLevel="0" collapsed="false">
      <c r="A586" s="7" t="n">
        <v>582</v>
      </c>
      <c r="B586" s="9" t="s">
        <v>29</v>
      </c>
      <c r="C586" s="22" t="s">
        <v>2532</v>
      </c>
      <c r="D586" s="9" t="s">
        <v>2218</v>
      </c>
      <c r="E586" s="9" t="s">
        <v>47</v>
      </c>
      <c r="F586" s="9" t="s">
        <v>99</v>
      </c>
      <c r="G586" s="22" t="s">
        <v>2541</v>
      </c>
      <c r="H586" s="9" t="s">
        <v>56</v>
      </c>
      <c r="I586" s="7"/>
      <c r="J586" s="23" t="s">
        <v>2542</v>
      </c>
      <c r="K586" s="24" t="s">
        <v>2543</v>
      </c>
      <c r="L586" s="22" t="s">
        <v>2544</v>
      </c>
      <c r="M586" s="25"/>
      <c r="N586" s="25"/>
      <c r="O586" s="26"/>
      <c r="P586" s="27"/>
      <c r="Q586" s="28"/>
      <c r="R586" s="28"/>
      <c r="S586" s="26"/>
    </row>
    <row r="587" customFormat="false" ht="15" hidden="false" customHeight="false" outlineLevel="0" collapsed="false">
      <c r="A587" s="7" t="n">
        <v>583</v>
      </c>
      <c r="B587" s="9" t="s">
        <v>29</v>
      </c>
      <c r="C587" s="22" t="s">
        <v>2532</v>
      </c>
      <c r="D587" s="9" t="s">
        <v>2218</v>
      </c>
      <c r="E587" s="9" t="s">
        <v>47</v>
      </c>
      <c r="F587" s="9" t="s">
        <v>99</v>
      </c>
      <c r="G587" s="22" t="s">
        <v>2545</v>
      </c>
      <c r="H587" s="9" t="s">
        <v>57</v>
      </c>
      <c r="I587" s="7"/>
      <c r="J587" s="23" t="s">
        <v>2546</v>
      </c>
      <c r="K587" s="24" t="s">
        <v>2547</v>
      </c>
      <c r="L587" s="22" t="s">
        <v>2548</v>
      </c>
      <c r="M587" s="25"/>
      <c r="N587" s="25"/>
      <c r="O587" s="26"/>
      <c r="P587" s="27"/>
      <c r="Q587" s="28"/>
      <c r="R587" s="28"/>
      <c r="S587" s="26"/>
    </row>
    <row r="588" customFormat="false" ht="15" hidden="false" customHeight="false" outlineLevel="0" collapsed="false">
      <c r="A588" s="7" t="n">
        <v>584</v>
      </c>
      <c r="B588" s="9" t="s">
        <v>29</v>
      </c>
      <c r="C588" s="22" t="s">
        <v>2532</v>
      </c>
      <c r="D588" s="9" t="s">
        <v>2218</v>
      </c>
      <c r="E588" s="9" t="s">
        <v>48</v>
      </c>
      <c r="F588" s="9" t="s">
        <v>99</v>
      </c>
      <c r="G588" s="22" t="s">
        <v>2549</v>
      </c>
      <c r="H588" s="9" t="s">
        <v>57</v>
      </c>
      <c r="I588" s="7"/>
      <c r="J588" s="23" t="s">
        <v>2550</v>
      </c>
      <c r="K588" s="24" t="s">
        <v>2551</v>
      </c>
      <c r="L588" s="22" t="s">
        <v>2552</v>
      </c>
      <c r="M588" s="25"/>
      <c r="N588" s="25"/>
      <c r="O588" s="26"/>
      <c r="P588" s="27"/>
      <c r="Q588" s="28"/>
      <c r="R588" s="28"/>
      <c r="S588" s="26"/>
    </row>
    <row r="589" customFormat="false" ht="15" hidden="false" customHeight="false" outlineLevel="0" collapsed="false">
      <c r="A589" s="7" t="n">
        <v>585</v>
      </c>
      <c r="B589" s="9" t="s">
        <v>29</v>
      </c>
      <c r="C589" s="22" t="s">
        <v>2532</v>
      </c>
      <c r="D589" s="9" t="s">
        <v>2218</v>
      </c>
      <c r="E589" s="9" t="s">
        <v>48</v>
      </c>
      <c r="F589" s="9" t="s">
        <v>99</v>
      </c>
      <c r="G589" s="22" t="s">
        <v>2553</v>
      </c>
      <c r="H589" s="9" t="s">
        <v>57</v>
      </c>
      <c r="I589" s="7"/>
      <c r="J589" s="23" t="s">
        <v>2554</v>
      </c>
      <c r="K589" s="24" t="s">
        <v>2555</v>
      </c>
      <c r="L589" s="22" t="s">
        <v>2556</v>
      </c>
      <c r="M589" s="25"/>
      <c r="N589" s="25"/>
      <c r="O589" s="26"/>
      <c r="P589" s="27"/>
      <c r="Q589" s="28"/>
      <c r="R589" s="28"/>
      <c r="S589" s="26"/>
    </row>
    <row r="590" customFormat="false" ht="15" hidden="false" customHeight="false" outlineLevel="0" collapsed="false">
      <c r="A590" s="7" t="n">
        <v>586</v>
      </c>
      <c r="B590" s="9" t="s">
        <v>29</v>
      </c>
      <c r="C590" s="22" t="s">
        <v>2532</v>
      </c>
      <c r="D590" s="9" t="s">
        <v>2218</v>
      </c>
      <c r="E590" s="9" t="s">
        <v>48</v>
      </c>
      <c r="F590" s="9" t="s">
        <v>99</v>
      </c>
      <c r="G590" s="22" t="s">
        <v>2557</v>
      </c>
      <c r="H590" s="9" t="s">
        <v>57</v>
      </c>
      <c r="I590" s="7"/>
      <c r="J590" s="23" t="s">
        <v>2558</v>
      </c>
      <c r="K590" s="24" t="s">
        <v>2559</v>
      </c>
      <c r="L590" s="22" t="s">
        <v>2560</v>
      </c>
      <c r="M590" s="25"/>
      <c r="N590" s="25"/>
      <c r="O590" s="26"/>
      <c r="P590" s="27"/>
      <c r="Q590" s="28"/>
      <c r="R590" s="28"/>
      <c r="S590" s="26"/>
    </row>
    <row r="591" customFormat="false" ht="15" hidden="false" customHeight="false" outlineLevel="0" collapsed="false">
      <c r="A591" s="7" t="n">
        <v>587</v>
      </c>
      <c r="B591" s="9" t="s">
        <v>29</v>
      </c>
      <c r="C591" s="22" t="s">
        <v>2561</v>
      </c>
      <c r="D591" s="9" t="s">
        <v>2223</v>
      </c>
      <c r="E591" s="9" t="s">
        <v>47</v>
      </c>
      <c r="F591" s="9" t="s">
        <v>99</v>
      </c>
      <c r="G591" s="22" t="s">
        <v>2562</v>
      </c>
      <c r="H591" s="9" t="s">
        <v>56</v>
      </c>
      <c r="I591" s="7"/>
      <c r="J591" s="23" t="s">
        <v>2563</v>
      </c>
      <c r="K591" s="24" t="s">
        <v>2564</v>
      </c>
      <c r="L591" s="22" t="s">
        <v>2565</v>
      </c>
      <c r="M591" s="25"/>
      <c r="N591" s="25"/>
      <c r="O591" s="26"/>
      <c r="P591" s="27"/>
      <c r="Q591" s="28"/>
      <c r="R591" s="28"/>
      <c r="S591" s="26"/>
    </row>
    <row r="592" customFormat="false" ht="15" hidden="false" customHeight="false" outlineLevel="0" collapsed="false">
      <c r="A592" s="7" t="n">
        <v>588</v>
      </c>
      <c r="B592" s="9" t="s">
        <v>29</v>
      </c>
      <c r="C592" s="22" t="s">
        <v>2561</v>
      </c>
      <c r="D592" s="9" t="s">
        <v>2223</v>
      </c>
      <c r="E592" s="9" t="s">
        <v>47</v>
      </c>
      <c r="F592" s="9" t="s">
        <v>99</v>
      </c>
      <c r="G592" s="22" t="s">
        <v>2566</v>
      </c>
      <c r="H592" s="9" t="s">
        <v>56</v>
      </c>
      <c r="I592" s="7"/>
      <c r="J592" s="23" t="s">
        <v>2567</v>
      </c>
      <c r="K592" s="24" t="s">
        <v>2568</v>
      </c>
      <c r="L592" s="22" t="s">
        <v>2569</v>
      </c>
      <c r="M592" s="25"/>
      <c r="N592" s="25"/>
      <c r="O592" s="26"/>
      <c r="P592" s="27"/>
      <c r="Q592" s="28"/>
      <c r="R592" s="28"/>
      <c r="S592" s="26"/>
    </row>
    <row r="593" customFormat="false" ht="15" hidden="false" customHeight="false" outlineLevel="0" collapsed="false">
      <c r="A593" s="7" t="n">
        <v>589</v>
      </c>
      <c r="B593" s="9" t="s">
        <v>29</v>
      </c>
      <c r="C593" s="22" t="s">
        <v>2561</v>
      </c>
      <c r="D593" s="9" t="s">
        <v>2223</v>
      </c>
      <c r="E593" s="9" t="s">
        <v>47</v>
      </c>
      <c r="F593" s="9" t="s">
        <v>99</v>
      </c>
      <c r="G593" s="22" t="s">
        <v>2570</v>
      </c>
      <c r="H593" s="9" t="s">
        <v>56</v>
      </c>
      <c r="I593" s="7"/>
      <c r="J593" s="23" t="s">
        <v>2571</v>
      </c>
      <c r="K593" s="24" t="s">
        <v>2572</v>
      </c>
      <c r="L593" s="22" t="s">
        <v>2573</v>
      </c>
      <c r="M593" s="25"/>
      <c r="N593" s="25"/>
      <c r="O593" s="26"/>
      <c r="P593" s="27"/>
      <c r="Q593" s="28"/>
      <c r="R593" s="28"/>
      <c r="S593" s="26"/>
    </row>
    <row r="594" customFormat="false" ht="15" hidden="false" customHeight="false" outlineLevel="0" collapsed="false">
      <c r="A594" s="7" t="n">
        <v>590</v>
      </c>
      <c r="B594" s="9" t="s">
        <v>29</v>
      </c>
      <c r="C594" s="22" t="s">
        <v>2561</v>
      </c>
      <c r="D594" s="9" t="s">
        <v>2223</v>
      </c>
      <c r="E594" s="9" t="s">
        <v>47</v>
      </c>
      <c r="F594" s="9" t="s">
        <v>99</v>
      </c>
      <c r="G594" s="22" t="s">
        <v>2574</v>
      </c>
      <c r="H594" s="9" t="s">
        <v>57</v>
      </c>
      <c r="I594" s="7"/>
      <c r="J594" s="23" t="s">
        <v>2575</v>
      </c>
      <c r="K594" s="24" t="s">
        <v>2576</v>
      </c>
      <c r="L594" s="22" t="s">
        <v>2577</v>
      </c>
      <c r="M594" s="25"/>
      <c r="N594" s="25"/>
      <c r="O594" s="26"/>
      <c r="P594" s="27"/>
      <c r="Q594" s="28"/>
      <c r="R594" s="28"/>
      <c r="S594" s="26"/>
    </row>
    <row r="595" customFormat="false" ht="15" hidden="false" customHeight="false" outlineLevel="0" collapsed="false">
      <c r="A595" s="7" t="n">
        <v>591</v>
      </c>
      <c r="B595" s="9" t="s">
        <v>29</v>
      </c>
      <c r="C595" s="22" t="s">
        <v>2561</v>
      </c>
      <c r="D595" s="9" t="s">
        <v>2223</v>
      </c>
      <c r="E595" s="9" t="s">
        <v>48</v>
      </c>
      <c r="F595" s="9" t="s">
        <v>99</v>
      </c>
      <c r="G595" s="22" t="s">
        <v>2578</v>
      </c>
      <c r="H595" s="9" t="s">
        <v>57</v>
      </c>
      <c r="I595" s="7"/>
      <c r="J595" s="23" t="s">
        <v>2579</v>
      </c>
      <c r="K595" s="24" t="s">
        <v>2580</v>
      </c>
      <c r="L595" s="22" t="s">
        <v>2581</v>
      </c>
      <c r="M595" s="25"/>
      <c r="N595" s="25"/>
      <c r="O595" s="26"/>
      <c r="P595" s="27"/>
      <c r="Q595" s="28"/>
      <c r="R595" s="28"/>
      <c r="S595" s="26"/>
    </row>
    <row r="596" customFormat="false" ht="15" hidden="false" customHeight="false" outlineLevel="0" collapsed="false">
      <c r="A596" s="7" t="n">
        <v>592</v>
      </c>
      <c r="B596" s="9" t="s">
        <v>29</v>
      </c>
      <c r="C596" s="22" t="s">
        <v>2582</v>
      </c>
      <c r="D596" s="9" t="s">
        <v>2228</v>
      </c>
      <c r="E596" s="9" t="s">
        <v>47</v>
      </c>
      <c r="F596" s="9" t="s">
        <v>99</v>
      </c>
      <c r="G596" s="22" t="s">
        <v>2583</v>
      </c>
      <c r="H596" s="9" t="s">
        <v>57</v>
      </c>
      <c r="I596" s="7"/>
      <c r="J596" s="23" t="s">
        <v>2584</v>
      </c>
      <c r="K596" s="24" t="s">
        <v>2585</v>
      </c>
      <c r="L596" s="22" t="s">
        <v>2586</v>
      </c>
      <c r="M596" s="25"/>
      <c r="N596" s="25"/>
      <c r="O596" s="26"/>
      <c r="P596" s="27"/>
      <c r="Q596" s="28"/>
      <c r="R596" s="28"/>
      <c r="S596" s="26"/>
    </row>
    <row r="597" customFormat="false" ht="15" hidden="false" customHeight="false" outlineLevel="0" collapsed="false">
      <c r="A597" s="7" t="n">
        <v>593</v>
      </c>
      <c r="B597" s="9" t="s">
        <v>29</v>
      </c>
      <c r="C597" s="22" t="s">
        <v>2582</v>
      </c>
      <c r="D597" s="9" t="s">
        <v>2228</v>
      </c>
      <c r="E597" s="9" t="s">
        <v>47</v>
      </c>
      <c r="F597" s="9" t="s">
        <v>99</v>
      </c>
      <c r="G597" s="22" t="s">
        <v>2587</v>
      </c>
      <c r="H597" s="9" t="s">
        <v>56</v>
      </c>
      <c r="I597" s="7"/>
      <c r="J597" s="23" t="s">
        <v>2588</v>
      </c>
      <c r="K597" s="24" t="s">
        <v>2589</v>
      </c>
      <c r="L597" s="22" t="s">
        <v>2590</v>
      </c>
      <c r="M597" s="25"/>
      <c r="N597" s="25"/>
      <c r="O597" s="26"/>
      <c r="P597" s="27"/>
      <c r="Q597" s="28"/>
      <c r="R597" s="28"/>
      <c r="S597" s="26"/>
    </row>
    <row r="598" customFormat="false" ht="15" hidden="false" customHeight="false" outlineLevel="0" collapsed="false">
      <c r="A598" s="7" t="n">
        <v>594</v>
      </c>
      <c r="B598" s="9" t="s">
        <v>29</v>
      </c>
      <c r="C598" s="22" t="s">
        <v>2582</v>
      </c>
      <c r="D598" s="9" t="s">
        <v>2228</v>
      </c>
      <c r="E598" s="9" t="s">
        <v>48</v>
      </c>
      <c r="F598" s="9" t="s">
        <v>99</v>
      </c>
      <c r="G598" s="22" t="s">
        <v>2591</v>
      </c>
      <c r="H598" s="9" t="s">
        <v>57</v>
      </c>
      <c r="I598" s="7"/>
      <c r="J598" s="23" t="s">
        <v>2592</v>
      </c>
      <c r="K598" s="24" t="s">
        <v>2593</v>
      </c>
      <c r="L598" s="22" t="s">
        <v>2594</v>
      </c>
      <c r="M598" s="25"/>
      <c r="N598" s="25"/>
      <c r="O598" s="26"/>
      <c r="P598" s="27"/>
      <c r="Q598" s="28"/>
      <c r="R598" s="28"/>
      <c r="S598" s="26"/>
    </row>
    <row r="599" customFormat="false" ht="15" hidden="false" customHeight="false" outlineLevel="0" collapsed="false">
      <c r="A599" s="7" t="n">
        <v>595</v>
      </c>
      <c r="B599" s="9" t="s">
        <v>29</v>
      </c>
      <c r="C599" s="22" t="s">
        <v>2582</v>
      </c>
      <c r="D599" s="9" t="s">
        <v>2228</v>
      </c>
      <c r="E599" s="9" t="s">
        <v>48</v>
      </c>
      <c r="F599" s="9" t="s">
        <v>99</v>
      </c>
      <c r="G599" s="22" t="s">
        <v>2595</v>
      </c>
      <c r="H599" s="9" t="s">
        <v>57</v>
      </c>
      <c r="I599" s="7"/>
      <c r="J599" s="23" t="s">
        <v>2596</v>
      </c>
      <c r="K599" s="24" t="s">
        <v>2597</v>
      </c>
      <c r="L599" s="22" t="s">
        <v>2598</v>
      </c>
      <c r="M599" s="25"/>
      <c r="N599" s="25"/>
      <c r="O599" s="26"/>
      <c r="P599" s="27"/>
      <c r="Q599" s="28"/>
      <c r="R599" s="28"/>
      <c r="S599" s="26"/>
    </row>
    <row r="600" customFormat="false" ht="15" hidden="false" customHeight="false" outlineLevel="0" collapsed="false">
      <c r="A600" s="7" t="n">
        <v>596</v>
      </c>
      <c r="B600" s="9" t="s">
        <v>29</v>
      </c>
      <c r="C600" s="22" t="s">
        <v>2599</v>
      </c>
      <c r="D600" s="9" t="s">
        <v>2600</v>
      </c>
      <c r="E600" s="9" t="s">
        <v>47</v>
      </c>
      <c r="F600" s="9" t="s">
        <v>99</v>
      </c>
      <c r="G600" s="22" t="s">
        <v>2601</v>
      </c>
      <c r="H600" s="9" t="s">
        <v>56</v>
      </c>
      <c r="I600" s="7"/>
      <c r="J600" s="23" t="s">
        <v>2602</v>
      </c>
      <c r="K600" s="24" t="s">
        <v>2603</v>
      </c>
      <c r="L600" s="22" t="s">
        <v>2604</v>
      </c>
      <c r="M600" s="25"/>
      <c r="N600" s="25"/>
      <c r="O600" s="26"/>
      <c r="P600" s="27"/>
      <c r="Q600" s="28"/>
      <c r="R600" s="28"/>
      <c r="S600" s="26"/>
    </row>
    <row r="601" customFormat="false" ht="15" hidden="false" customHeight="false" outlineLevel="0" collapsed="false">
      <c r="A601" s="7" t="n">
        <v>597</v>
      </c>
      <c r="B601" s="9" t="s">
        <v>29</v>
      </c>
      <c r="C601" s="22" t="s">
        <v>2599</v>
      </c>
      <c r="D601" s="9" t="s">
        <v>2600</v>
      </c>
      <c r="E601" s="9" t="s">
        <v>48</v>
      </c>
      <c r="F601" s="9" t="s">
        <v>99</v>
      </c>
      <c r="G601" s="22" t="s">
        <v>2605</v>
      </c>
      <c r="H601" s="9" t="s">
        <v>57</v>
      </c>
      <c r="I601" s="7"/>
      <c r="J601" s="23" t="s">
        <v>2606</v>
      </c>
      <c r="K601" s="24" t="s">
        <v>2607</v>
      </c>
      <c r="L601" s="22" t="s">
        <v>2608</v>
      </c>
      <c r="M601" s="25"/>
      <c r="N601" s="25"/>
      <c r="O601" s="26"/>
      <c r="P601" s="27"/>
      <c r="Q601" s="28"/>
      <c r="R601" s="28"/>
      <c r="S601" s="26"/>
    </row>
    <row r="602" customFormat="false" ht="15" hidden="false" customHeight="false" outlineLevel="0" collapsed="false">
      <c r="A602" s="7" t="n">
        <v>598</v>
      </c>
      <c r="B602" s="9" t="s">
        <v>29</v>
      </c>
      <c r="C602" s="22" t="s">
        <v>2599</v>
      </c>
      <c r="D602" s="9" t="s">
        <v>2233</v>
      </c>
      <c r="E602" s="9" t="s">
        <v>47</v>
      </c>
      <c r="F602" s="9" t="s">
        <v>99</v>
      </c>
      <c r="G602" s="22" t="s">
        <v>2609</v>
      </c>
      <c r="H602" s="9" t="s">
        <v>57</v>
      </c>
      <c r="I602" s="7"/>
      <c r="J602" s="23" t="s">
        <v>2610</v>
      </c>
      <c r="K602" s="24" t="s">
        <v>2611</v>
      </c>
      <c r="L602" s="22" t="s">
        <v>2612</v>
      </c>
      <c r="M602" s="25"/>
      <c r="N602" s="25"/>
      <c r="O602" s="26"/>
      <c r="P602" s="27"/>
      <c r="Q602" s="28"/>
      <c r="R602" s="28"/>
      <c r="S602" s="26"/>
    </row>
    <row r="603" customFormat="false" ht="15" hidden="false" customHeight="false" outlineLevel="0" collapsed="false">
      <c r="A603" s="7" t="n">
        <v>599</v>
      </c>
      <c r="B603" s="9" t="s">
        <v>29</v>
      </c>
      <c r="C603" s="22" t="s">
        <v>2599</v>
      </c>
      <c r="D603" s="9" t="s">
        <v>2233</v>
      </c>
      <c r="E603" s="9" t="s">
        <v>48</v>
      </c>
      <c r="F603" s="9" t="s">
        <v>99</v>
      </c>
      <c r="G603" s="22" t="s">
        <v>2613</v>
      </c>
      <c r="H603" s="9" t="s">
        <v>57</v>
      </c>
      <c r="I603" s="7"/>
      <c r="J603" s="23" t="s">
        <v>2614</v>
      </c>
      <c r="K603" s="24" t="s">
        <v>2615</v>
      </c>
      <c r="L603" s="22" t="s">
        <v>2616</v>
      </c>
      <c r="M603" s="25"/>
      <c r="N603" s="25"/>
      <c r="O603" s="26"/>
      <c r="P603" s="27"/>
      <c r="Q603" s="28"/>
      <c r="R603" s="28"/>
      <c r="S603" s="26"/>
    </row>
    <row r="604" customFormat="false" ht="15" hidden="false" customHeight="false" outlineLevel="0" collapsed="false">
      <c r="A604" s="7" t="n">
        <v>600</v>
      </c>
      <c r="B604" s="9" t="s">
        <v>29</v>
      </c>
      <c r="C604" s="22" t="s">
        <v>2617</v>
      </c>
      <c r="D604" s="9" t="s">
        <v>2263</v>
      </c>
      <c r="E604" s="9" t="s">
        <v>48</v>
      </c>
      <c r="F604" s="9" t="s">
        <v>99</v>
      </c>
      <c r="G604" s="22" t="s">
        <v>2618</v>
      </c>
      <c r="H604" s="9" t="s">
        <v>56</v>
      </c>
      <c r="I604" s="7"/>
      <c r="J604" s="23" t="s">
        <v>2619</v>
      </c>
      <c r="K604" s="24" t="s">
        <v>2620</v>
      </c>
      <c r="L604" s="22" t="s">
        <v>2621</v>
      </c>
      <c r="M604" s="25"/>
      <c r="N604" s="25"/>
      <c r="O604" s="26"/>
      <c r="P604" s="27"/>
      <c r="Q604" s="28"/>
      <c r="R604" s="28"/>
      <c r="S604" s="26"/>
    </row>
    <row r="605" customFormat="false" ht="15" hidden="false" customHeight="false" outlineLevel="0" collapsed="false">
      <c r="A605" s="7" t="n">
        <v>601</v>
      </c>
      <c r="B605" s="9" t="s">
        <v>29</v>
      </c>
      <c r="C605" s="22" t="s">
        <v>2617</v>
      </c>
      <c r="D605" s="9" t="s">
        <v>2263</v>
      </c>
      <c r="E605" s="9" t="s">
        <v>48</v>
      </c>
      <c r="F605" s="9" t="s">
        <v>124</v>
      </c>
      <c r="G605" s="22" t="s">
        <v>836</v>
      </c>
      <c r="H605" s="9" t="s">
        <v>57</v>
      </c>
      <c r="I605" s="7"/>
      <c r="J605" s="23" t="s">
        <v>2622</v>
      </c>
      <c r="K605" s="24" t="s">
        <v>2623</v>
      </c>
      <c r="L605" s="22" t="s">
        <v>2624</v>
      </c>
      <c r="M605" s="25"/>
      <c r="N605" s="25"/>
      <c r="O605" s="26"/>
      <c r="P605" s="27"/>
      <c r="Q605" s="28"/>
      <c r="R605" s="28"/>
      <c r="S605" s="26"/>
    </row>
    <row r="606" customFormat="false" ht="15" hidden="false" customHeight="false" outlineLevel="0" collapsed="false">
      <c r="A606" s="7" t="n">
        <v>602</v>
      </c>
      <c r="B606" s="9" t="s">
        <v>29</v>
      </c>
      <c r="C606" s="22" t="s">
        <v>2625</v>
      </c>
      <c r="D606" s="9" t="s">
        <v>2626</v>
      </c>
      <c r="E606" s="9" t="s">
        <v>47</v>
      </c>
      <c r="F606" s="9" t="s">
        <v>99</v>
      </c>
      <c r="G606" s="22" t="s">
        <v>2627</v>
      </c>
      <c r="H606" s="9" t="s">
        <v>57</v>
      </c>
      <c r="I606" s="7"/>
      <c r="J606" s="23" t="s">
        <v>2628</v>
      </c>
      <c r="K606" s="24" t="s">
        <v>2629</v>
      </c>
      <c r="L606" s="22" t="s">
        <v>2630</v>
      </c>
      <c r="M606" s="25"/>
      <c r="N606" s="25"/>
      <c r="O606" s="26"/>
      <c r="P606" s="27"/>
      <c r="Q606" s="28"/>
      <c r="R606" s="28"/>
      <c r="S606" s="26"/>
    </row>
    <row r="607" customFormat="false" ht="15" hidden="false" customHeight="false" outlineLevel="0" collapsed="false">
      <c r="A607" s="7" t="n">
        <v>603</v>
      </c>
      <c r="B607" s="9" t="s">
        <v>29</v>
      </c>
      <c r="C607" s="22" t="s">
        <v>2625</v>
      </c>
      <c r="D607" s="9" t="s">
        <v>2626</v>
      </c>
      <c r="E607" s="9" t="s">
        <v>48</v>
      </c>
      <c r="F607" s="9" t="s">
        <v>99</v>
      </c>
      <c r="G607" s="22" t="s">
        <v>2631</v>
      </c>
      <c r="H607" s="9" t="s">
        <v>56</v>
      </c>
      <c r="I607" s="7"/>
      <c r="J607" s="23" t="s">
        <v>2632</v>
      </c>
      <c r="K607" s="24" t="s">
        <v>2633</v>
      </c>
      <c r="L607" s="22" t="s">
        <v>2634</v>
      </c>
      <c r="M607" s="25"/>
      <c r="N607" s="25"/>
      <c r="O607" s="26"/>
      <c r="P607" s="27"/>
      <c r="Q607" s="28"/>
      <c r="R607" s="28"/>
      <c r="S607" s="26"/>
    </row>
    <row r="608" customFormat="false" ht="15" hidden="false" customHeight="false" outlineLevel="0" collapsed="false">
      <c r="A608" s="7" t="n">
        <v>604</v>
      </c>
      <c r="B608" s="9" t="s">
        <v>29</v>
      </c>
      <c r="C608" s="22" t="s">
        <v>2625</v>
      </c>
      <c r="D608" s="9" t="s">
        <v>2626</v>
      </c>
      <c r="E608" s="9" t="s">
        <v>48</v>
      </c>
      <c r="F608" s="9" t="s">
        <v>124</v>
      </c>
      <c r="G608" s="22" t="s">
        <v>2635</v>
      </c>
      <c r="H608" s="9" t="s">
        <v>56</v>
      </c>
      <c r="I608" s="7"/>
      <c r="J608" s="23" t="s">
        <v>2636</v>
      </c>
      <c r="K608" s="24" t="s">
        <v>2637</v>
      </c>
      <c r="L608" s="22" t="s">
        <v>2638</v>
      </c>
      <c r="M608" s="25"/>
      <c r="N608" s="25"/>
      <c r="O608" s="26"/>
      <c r="P608" s="27"/>
      <c r="Q608" s="28"/>
      <c r="R608" s="28"/>
      <c r="S608" s="26"/>
    </row>
    <row r="609" customFormat="false" ht="15" hidden="false" customHeight="false" outlineLevel="0" collapsed="false">
      <c r="A609" s="7" t="n">
        <v>605</v>
      </c>
      <c r="B609" s="9" t="s">
        <v>29</v>
      </c>
      <c r="C609" s="22" t="s">
        <v>2625</v>
      </c>
      <c r="D609" s="9" t="s">
        <v>2626</v>
      </c>
      <c r="E609" s="9" t="s">
        <v>48</v>
      </c>
      <c r="F609" s="9" t="s">
        <v>99</v>
      </c>
      <c r="G609" s="22" t="s">
        <v>2639</v>
      </c>
      <c r="H609" s="9" t="s">
        <v>57</v>
      </c>
      <c r="I609" s="7"/>
      <c r="J609" s="23" t="s">
        <v>2640</v>
      </c>
      <c r="K609" s="24" t="s">
        <v>2641</v>
      </c>
      <c r="L609" s="22" t="s">
        <v>2642</v>
      </c>
      <c r="M609" s="25"/>
      <c r="N609" s="25"/>
      <c r="O609" s="26"/>
      <c r="P609" s="27"/>
      <c r="Q609" s="28"/>
      <c r="R609" s="28"/>
      <c r="S609" s="26"/>
    </row>
    <row r="610" customFormat="false" ht="15" hidden="false" customHeight="false" outlineLevel="0" collapsed="false">
      <c r="A610" s="7" t="n">
        <v>606</v>
      </c>
      <c r="B610" s="9" t="s">
        <v>29</v>
      </c>
      <c r="C610" s="22" t="s">
        <v>2643</v>
      </c>
      <c r="D610" s="9" t="s">
        <v>2644</v>
      </c>
      <c r="E610" s="9" t="s">
        <v>47</v>
      </c>
      <c r="F610" s="9" t="s">
        <v>99</v>
      </c>
      <c r="G610" s="22" t="s">
        <v>2645</v>
      </c>
      <c r="H610" s="9" t="s">
        <v>56</v>
      </c>
      <c r="I610" s="7"/>
      <c r="J610" s="23" t="s">
        <v>2646</v>
      </c>
      <c r="K610" s="24" t="s">
        <v>2647</v>
      </c>
      <c r="L610" s="22" t="s">
        <v>2648</v>
      </c>
      <c r="M610" s="25"/>
      <c r="N610" s="25"/>
      <c r="O610" s="26"/>
      <c r="P610" s="27"/>
      <c r="Q610" s="28"/>
      <c r="R610" s="28"/>
      <c r="S610" s="26"/>
    </row>
    <row r="611" customFormat="false" ht="15" hidden="false" customHeight="false" outlineLevel="0" collapsed="false">
      <c r="A611" s="7" t="n">
        <v>607</v>
      </c>
      <c r="B611" s="9" t="s">
        <v>29</v>
      </c>
      <c r="C611" s="22" t="s">
        <v>2643</v>
      </c>
      <c r="D611" s="9" t="s">
        <v>2644</v>
      </c>
      <c r="E611" s="9" t="s">
        <v>47</v>
      </c>
      <c r="F611" s="9" t="s">
        <v>99</v>
      </c>
      <c r="G611" s="22" t="s">
        <v>2649</v>
      </c>
      <c r="H611" s="9" t="s">
        <v>56</v>
      </c>
      <c r="I611" s="7"/>
      <c r="J611" s="23" t="s">
        <v>2650</v>
      </c>
      <c r="K611" s="24" t="s">
        <v>2651</v>
      </c>
      <c r="L611" s="22" t="s">
        <v>2652</v>
      </c>
      <c r="M611" s="25"/>
      <c r="N611" s="25"/>
      <c r="O611" s="26"/>
      <c r="P611" s="27"/>
      <c r="Q611" s="28"/>
      <c r="R611" s="28"/>
      <c r="S611" s="26"/>
    </row>
    <row r="612" customFormat="false" ht="15" hidden="false" customHeight="false" outlineLevel="0" collapsed="false">
      <c r="A612" s="7" t="n">
        <v>608</v>
      </c>
      <c r="B612" s="9" t="s">
        <v>29</v>
      </c>
      <c r="C612" s="22" t="s">
        <v>2643</v>
      </c>
      <c r="D612" s="9" t="s">
        <v>2644</v>
      </c>
      <c r="E612" s="9" t="s">
        <v>47</v>
      </c>
      <c r="F612" s="9" t="s">
        <v>99</v>
      </c>
      <c r="G612" s="22" t="s">
        <v>2653</v>
      </c>
      <c r="H612" s="9" t="s">
        <v>56</v>
      </c>
      <c r="I612" s="7"/>
      <c r="J612" s="23" t="s">
        <v>2654</v>
      </c>
      <c r="K612" s="24" t="s">
        <v>2655</v>
      </c>
      <c r="L612" s="22" t="s">
        <v>2656</v>
      </c>
      <c r="M612" s="25"/>
      <c r="N612" s="25"/>
      <c r="O612" s="26"/>
      <c r="P612" s="27"/>
      <c r="Q612" s="28"/>
      <c r="R612" s="28"/>
      <c r="S612" s="26"/>
    </row>
    <row r="613" customFormat="false" ht="15" hidden="false" customHeight="false" outlineLevel="0" collapsed="false">
      <c r="A613" s="7" t="n">
        <v>609</v>
      </c>
      <c r="B613" s="9" t="s">
        <v>29</v>
      </c>
      <c r="C613" s="22" t="s">
        <v>2643</v>
      </c>
      <c r="D613" s="9" t="s">
        <v>2644</v>
      </c>
      <c r="E613" s="9" t="s">
        <v>48</v>
      </c>
      <c r="F613" s="9" t="s">
        <v>99</v>
      </c>
      <c r="G613" s="22" t="s">
        <v>2657</v>
      </c>
      <c r="H613" s="9" t="s">
        <v>57</v>
      </c>
      <c r="I613" s="7"/>
      <c r="J613" s="23" t="s">
        <v>2658</v>
      </c>
      <c r="K613" s="24" t="s">
        <v>2647</v>
      </c>
      <c r="L613" s="22" t="s">
        <v>2648</v>
      </c>
      <c r="M613" s="25"/>
      <c r="N613" s="25"/>
      <c r="O613" s="26"/>
      <c r="P613" s="27"/>
      <c r="Q613" s="28"/>
      <c r="R613" s="28"/>
      <c r="S613" s="26"/>
    </row>
    <row r="614" customFormat="false" ht="15" hidden="false" customHeight="false" outlineLevel="0" collapsed="false">
      <c r="A614" s="7" t="n">
        <v>610</v>
      </c>
      <c r="B614" s="9" t="s">
        <v>29</v>
      </c>
      <c r="C614" s="22" t="s">
        <v>2659</v>
      </c>
      <c r="D614" s="9" t="s">
        <v>2273</v>
      </c>
      <c r="E614" s="9" t="s">
        <v>47</v>
      </c>
      <c r="F614" s="9" t="s">
        <v>99</v>
      </c>
      <c r="G614" s="22" t="s">
        <v>2660</v>
      </c>
      <c r="H614" s="9" t="s">
        <v>56</v>
      </c>
      <c r="I614" s="7"/>
      <c r="J614" s="23" t="s">
        <v>2661</v>
      </c>
      <c r="K614" s="24" t="s">
        <v>2662</v>
      </c>
      <c r="L614" s="22" t="s">
        <v>2663</v>
      </c>
      <c r="M614" s="25"/>
      <c r="N614" s="25"/>
      <c r="O614" s="26"/>
      <c r="P614" s="27"/>
      <c r="Q614" s="28"/>
      <c r="R614" s="28"/>
      <c r="S614" s="26"/>
    </row>
    <row r="615" customFormat="false" ht="15" hidden="false" customHeight="false" outlineLevel="0" collapsed="false">
      <c r="A615" s="7" t="n">
        <v>611</v>
      </c>
      <c r="B615" s="9" t="s">
        <v>29</v>
      </c>
      <c r="C615" s="22" t="s">
        <v>2659</v>
      </c>
      <c r="D615" s="9" t="s">
        <v>2273</v>
      </c>
      <c r="E615" s="9" t="s">
        <v>47</v>
      </c>
      <c r="F615" s="9" t="s">
        <v>99</v>
      </c>
      <c r="G615" s="22" t="s">
        <v>2664</v>
      </c>
      <c r="H615" s="9" t="s">
        <v>57</v>
      </c>
      <c r="I615" s="7"/>
      <c r="J615" s="23" t="s">
        <v>2665</v>
      </c>
      <c r="K615" s="24" t="s">
        <v>2666</v>
      </c>
      <c r="L615" s="22" t="s">
        <v>2667</v>
      </c>
      <c r="M615" s="25"/>
      <c r="N615" s="25"/>
      <c r="O615" s="26"/>
      <c r="P615" s="27"/>
      <c r="Q615" s="28"/>
      <c r="R615" s="28"/>
      <c r="S615" s="26"/>
    </row>
    <row r="616" customFormat="false" ht="15" hidden="false" customHeight="false" outlineLevel="0" collapsed="false">
      <c r="A616" s="7" t="n">
        <v>612</v>
      </c>
      <c r="B616" s="9" t="s">
        <v>29</v>
      </c>
      <c r="C616" s="22" t="s">
        <v>2659</v>
      </c>
      <c r="D616" s="9" t="s">
        <v>2273</v>
      </c>
      <c r="E616" s="9" t="s">
        <v>47</v>
      </c>
      <c r="F616" s="9" t="s">
        <v>99</v>
      </c>
      <c r="G616" s="22" t="s">
        <v>2668</v>
      </c>
      <c r="H616" s="9" t="s">
        <v>56</v>
      </c>
      <c r="I616" s="7"/>
      <c r="J616" s="23" t="s">
        <v>2669</v>
      </c>
      <c r="K616" s="24" t="s">
        <v>2670</v>
      </c>
      <c r="L616" s="22" t="s">
        <v>2671</v>
      </c>
      <c r="M616" s="25"/>
      <c r="N616" s="25"/>
      <c r="O616" s="26"/>
      <c r="P616" s="27"/>
      <c r="Q616" s="28"/>
      <c r="R616" s="28"/>
      <c r="S616" s="26"/>
    </row>
    <row r="617" customFormat="false" ht="15" hidden="false" customHeight="false" outlineLevel="0" collapsed="false">
      <c r="A617" s="7" t="n">
        <v>613</v>
      </c>
      <c r="B617" s="9" t="s">
        <v>29</v>
      </c>
      <c r="C617" s="22" t="s">
        <v>2659</v>
      </c>
      <c r="D617" s="9" t="s">
        <v>2273</v>
      </c>
      <c r="E617" s="9" t="s">
        <v>47</v>
      </c>
      <c r="F617" s="9" t="s">
        <v>99</v>
      </c>
      <c r="G617" s="22" t="s">
        <v>2672</v>
      </c>
      <c r="H617" s="9" t="s">
        <v>56</v>
      </c>
      <c r="I617" s="7"/>
      <c r="J617" s="23" t="s">
        <v>2673</v>
      </c>
      <c r="K617" s="24" t="s">
        <v>2674</v>
      </c>
      <c r="L617" s="22" t="s">
        <v>2675</v>
      </c>
      <c r="M617" s="25"/>
      <c r="N617" s="25"/>
      <c r="O617" s="26"/>
      <c r="P617" s="27"/>
      <c r="Q617" s="28"/>
      <c r="R617" s="28"/>
      <c r="S617" s="26"/>
    </row>
    <row r="618" customFormat="false" ht="15" hidden="false" customHeight="false" outlineLevel="0" collapsed="false">
      <c r="A618" s="7" t="n">
        <v>614</v>
      </c>
      <c r="B618" s="9" t="s">
        <v>29</v>
      </c>
      <c r="C618" s="22" t="s">
        <v>2659</v>
      </c>
      <c r="D618" s="9" t="s">
        <v>2273</v>
      </c>
      <c r="E618" s="9" t="s">
        <v>47</v>
      </c>
      <c r="F618" s="9" t="s">
        <v>99</v>
      </c>
      <c r="G618" s="22" t="s">
        <v>2676</v>
      </c>
      <c r="H618" s="9" t="s">
        <v>57</v>
      </c>
      <c r="I618" s="7"/>
      <c r="J618" s="23" t="s">
        <v>2677</v>
      </c>
      <c r="K618" s="24" t="s">
        <v>2678</v>
      </c>
      <c r="L618" s="22" t="s">
        <v>2679</v>
      </c>
      <c r="M618" s="25"/>
      <c r="N618" s="25"/>
      <c r="O618" s="26"/>
      <c r="P618" s="27"/>
      <c r="Q618" s="28"/>
      <c r="R618" s="28"/>
      <c r="S618" s="26"/>
    </row>
    <row r="619" customFormat="false" ht="15" hidden="false" customHeight="false" outlineLevel="0" collapsed="false">
      <c r="A619" s="7" t="n">
        <v>615</v>
      </c>
      <c r="B619" s="9" t="s">
        <v>29</v>
      </c>
      <c r="C619" s="22" t="s">
        <v>2659</v>
      </c>
      <c r="D619" s="9" t="s">
        <v>2273</v>
      </c>
      <c r="E619" s="9" t="s">
        <v>48</v>
      </c>
      <c r="F619" s="9" t="s">
        <v>99</v>
      </c>
      <c r="G619" s="22" t="s">
        <v>2680</v>
      </c>
      <c r="H619" s="9" t="s">
        <v>57</v>
      </c>
      <c r="I619" s="7"/>
      <c r="J619" s="23" t="s">
        <v>2681</v>
      </c>
      <c r="K619" s="24" t="s">
        <v>2682</v>
      </c>
      <c r="L619" s="22" t="s">
        <v>2683</v>
      </c>
      <c r="M619" s="25"/>
      <c r="N619" s="25"/>
      <c r="O619" s="26"/>
      <c r="P619" s="27"/>
      <c r="Q619" s="28"/>
      <c r="R619" s="28"/>
      <c r="S619" s="26"/>
    </row>
    <row r="620" customFormat="false" ht="15" hidden="false" customHeight="false" outlineLevel="0" collapsed="false">
      <c r="A620" s="7" t="n">
        <v>616</v>
      </c>
      <c r="B620" s="9" t="s">
        <v>29</v>
      </c>
      <c r="C620" s="22" t="s">
        <v>2659</v>
      </c>
      <c r="D620" s="9" t="s">
        <v>2273</v>
      </c>
      <c r="E620" s="9" t="s">
        <v>48</v>
      </c>
      <c r="F620" s="9" t="s">
        <v>99</v>
      </c>
      <c r="G620" s="22" t="s">
        <v>2684</v>
      </c>
      <c r="H620" s="9" t="s">
        <v>57</v>
      </c>
      <c r="I620" s="7"/>
      <c r="J620" s="23" t="s">
        <v>2685</v>
      </c>
      <c r="K620" s="24" t="s">
        <v>2686</v>
      </c>
      <c r="L620" s="22" t="s">
        <v>2687</v>
      </c>
      <c r="M620" s="25"/>
      <c r="N620" s="25"/>
      <c r="O620" s="26"/>
      <c r="P620" s="27"/>
      <c r="Q620" s="28"/>
      <c r="R620" s="28"/>
      <c r="S620" s="26"/>
    </row>
    <row r="621" customFormat="false" ht="15" hidden="false" customHeight="false" outlineLevel="0" collapsed="false">
      <c r="A621" s="7" t="n">
        <v>617</v>
      </c>
      <c r="B621" s="9" t="s">
        <v>29</v>
      </c>
      <c r="C621" s="22" t="s">
        <v>2659</v>
      </c>
      <c r="D621" s="9" t="s">
        <v>2273</v>
      </c>
      <c r="E621" s="9" t="s">
        <v>48</v>
      </c>
      <c r="F621" s="9" t="s">
        <v>99</v>
      </c>
      <c r="G621" s="22" t="s">
        <v>2688</v>
      </c>
      <c r="H621" s="9" t="s">
        <v>57</v>
      </c>
      <c r="I621" s="7"/>
      <c r="J621" s="23" t="s">
        <v>2689</v>
      </c>
      <c r="K621" s="24" t="s">
        <v>2690</v>
      </c>
      <c r="L621" s="22" t="s">
        <v>2691</v>
      </c>
      <c r="M621" s="25"/>
      <c r="N621" s="25"/>
      <c r="O621" s="26"/>
      <c r="P621" s="27"/>
      <c r="Q621" s="28"/>
      <c r="R621" s="28"/>
      <c r="S621" s="26"/>
    </row>
    <row r="622" customFormat="false" ht="15" hidden="false" customHeight="false" outlineLevel="0" collapsed="false">
      <c r="A622" s="7" t="n">
        <v>618</v>
      </c>
      <c r="B622" s="9" t="s">
        <v>29</v>
      </c>
      <c r="C622" s="22" t="s">
        <v>2659</v>
      </c>
      <c r="D622" s="9" t="s">
        <v>2273</v>
      </c>
      <c r="E622" s="9" t="s">
        <v>48</v>
      </c>
      <c r="F622" s="9" t="s">
        <v>99</v>
      </c>
      <c r="G622" s="22" t="s">
        <v>2692</v>
      </c>
      <c r="H622" s="9" t="s">
        <v>57</v>
      </c>
      <c r="I622" s="7"/>
      <c r="J622" s="23" t="s">
        <v>2693</v>
      </c>
      <c r="K622" s="24" t="s">
        <v>2694</v>
      </c>
      <c r="L622" s="22" t="s">
        <v>2695</v>
      </c>
      <c r="M622" s="25"/>
      <c r="N622" s="25"/>
      <c r="O622" s="26"/>
      <c r="P622" s="27"/>
      <c r="Q622" s="28"/>
      <c r="R622" s="28"/>
      <c r="S622" s="26"/>
    </row>
    <row r="623" customFormat="false" ht="15" hidden="false" customHeight="false" outlineLevel="0" collapsed="false">
      <c r="A623" s="7" t="n">
        <v>619</v>
      </c>
      <c r="B623" s="9" t="s">
        <v>29</v>
      </c>
      <c r="C623" s="22" t="s">
        <v>2659</v>
      </c>
      <c r="D623" s="9" t="s">
        <v>2273</v>
      </c>
      <c r="E623" s="9" t="s">
        <v>48</v>
      </c>
      <c r="F623" s="9" t="s">
        <v>99</v>
      </c>
      <c r="G623" s="22" t="s">
        <v>2696</v>
      </c>
      <c r="H623" s="9" t="s">
        <v>57</v>
      </c>
      <c r="I623" s="7"/>
      <c r="J623" s="23" t="s">
        <v>2697</v>
      </c>
      <c r="K623" s="24" t="s">
        <v>2698</v>
      </c>
      <c r="L623" s="22" t="s">
        <v>2699</v>
      </c>
      <c r="M623" s="25"/>
      <c r="N623" s="25"/>
      <c r="O623" s="26"/>
      <c r="P623" s="27"/>
      <c r="Q623" s="28"/>
      <c r="R623" s="28"/>
      <c r="S623" s="26"/>
    </row>
    <row r="624" customFormat="false" ht="15" hidden="false" customHeight="false" outlineLevel="0" collapsed="false">
      <c r="A624" s="7" t="n">
        <v>620</v>
      </c>
      <c r="B624" s="9" t="s">
        <v>29</v>
      </c>
      <c r="C624" s="22" t="s">
        <v>2700</v>
      </c>
      <c r="D624" s="9" t="s">
        <v>2283</v>
      </c>
      <c r="E624" s="9" t="s">
        <v>47</v>
      </c>
      <c r="F624" s="9" t="s">
        <v>99</v>
      </c>
      <c r="G624" s="22" t="s">
        <v>2701</v>
      </c>
      <c r="H624" s="9" t="s">
        <v>57</v>
      </c>
      <c r="I624" s="7"/>
      <c r="J624" s="23" t="s">
        <v>2702</v>
      </c>
      <c r="K624" s="24" t="s">
        <v>2703</v>
      </c>
      <c r="L624" s="22" t="s">
        <v>2704</v>
      </c>
      <c r="M624" s="25"/>
      <c r="N624" s="25"/>
      <c r="O624" s="26"/>
      <c r="P624" s="27"/>
      <c r="Q624" s="28"/>
      <c r="R624" s="28"/>
      <c r="S624" s="26"/>
    </row>
    <row r="625" customFormat="false" ht="15" hidden="false" customHeight="false" outlineLevel="0" collapsed="false">
      <c r="A625" s="7" t="n">
        <v>621</v>
      </c>
      <c r="B625" s="9" t="s">
        <v>29</v>
      </c>
      <c r="C625" s="22" t="s">
        <v>2700</v>
      </c>
      <c r="D625" s="9" t="s">
        <v>2283</v>
      </c>
      <c r="E625" s="9" t="s">
        <v>47</v>
      </c>
      <c r="F625" s="9" t="s">
        <v>99</v>
      </c>
      <c r="G625" s="22" t="s">
        <v>2705</v>
      </c>
      <c r="H625" s="9" t="s">
        <v>57</v>
      </c>
      <c r="I625" s="7"/>
      <c r="J625" s="23" t="s">
        <v>2706</v>
      </c>
      <c r="K625" s="24" t="s">
        <v>2707</v>
      </c>
      <c r="L625" s="22" t="s">
        <v>2708</v>
      </c>
      <c r="M625" s="25"/>
      <c r="N625" s="25"/>
      <c r="O625" s="26"/>
      <c r="P625" s="27"/>
      <c r="Q625" s="28"/>
      <c r="R625" s="28"/>
      <c r="S625" s="26"/>
    </row>
    <row r="626" customFormat="false" ht="15" hidden="false" customHeight="false" outlineLevel="0" collapsed="false">
      <c r="A626" s="7" t="n">
        <v>622</v>
      </c>
      <c r="B626" s="9" t="s">
        <v>29</v>
      </c>
      <c r="C626" s="22" t="s">
        <v>2700</v>
      </c>
      <c r="D626" s="9" t="s">
        <v>2283</v>
      </c>
      <c r="E626" s="9" t="s">
        <v>47</v>
      </c>
      <c r="F626" s="9" t="s">
        <v>99</v>
      </c>
      <c r="G626" s="22" t="s">
        <v>2709</v>
      </c>
      <c r="H626" s="9" t="s">
        <v>56</v>
      </c>
      <c r="I626" s="7"/>
      <c r="J626" s="23" t="s">
        <v>2710</v>
      </c>
      <c r="K626" s="24" t="s">
        <v>2711</v>
      </c>
      <c r="L626" s="22" t="s">
        <v>2712</v>
      </c>
      <c r="M626" s="25"/>
      <c r="N626" s="25"/>
      <c r="O626" s="26"/>
      <c r="P626" s="27"/>
      <c r="Q626" s="28"/>
      <c r="R626" s="28"/>
      <c r="S626" s="26"/>
    </row>
    <row r="627" customFormat="false" ht="15" hidden="false" customHeight="false" outlineLevel="0" collapsed="false">
      <c r="A627" s="7" t="n">
        <v>623</v>
      </c>
      <c r="B627" s="9" t="s">
        <v>29</v>
      </c>
      <c r="C627" s="22" t="s">
        <v>2700</v>
      </c>
      <c r="D627" s="9" t="s">
        <v>2283</v>
      </c>
      <c r="E627" s="9" t="s">
        <v>47</v>
      </c>
      <c r="F627" s="9" t="s">
        <v>99</v>
      </c>
      <c r="G627" s="22" t="s">
        <v>2713</v>
      </c>
      <c r="H627" s="9" t="s">
        <v>57</v>
      </c>
      <c r="I627" s="7"/>
      <c r="J627" s="23" t="s">
        <v>2714</v>
      </c>
      <c r="K627" s="24" t="s">
        <v>2715</v>
      </c>
      <c r="L627" s="22" t="s">
        <v>2716</v>
      </c>
      <c r="M627" s="25"/>
      <c r="N627" s="25"/>
      <c r="O627" s="26"/>
      <c r="P627" s="27"/>
      <c r="Q627" s="28"/>
      <c r="R627" s="28"/>
      <c r="S627" s="26"/>
    </row>
    <row r="628" customFormat="false" ht="15" hidden="false" customHeight="false" outlineLevel="0" collapsed="false">
      <c r="A628" s="7" t="n">
        <v>624</v>
      </c>
      <c r="B628" s="9" t="s">
        <v>29</v>
      </c>
      <c r="C628" s="22" t="s">
        <v>2700</v>
      </c>
      <c r="D628" s="9" t="s">
        <v>2283</v>
      </c>
      <c r="E628" s="9" t="s">
        <v>48</v>
      </c>
      <c r="F628" s="9" t="s">
        <v>99</v>
      </c>
      <c r="G628" s="22" t="s">
        <v>2717</v>
      </c>
      <c r="H628" s="9" t="s">
        <v>56</v>
      </c>
      <c r="I628" s="7"/>
      <c r="J628" s="23" t="s">
        <v>2718</v>
      </c>
      <c r="K628" s="24" t="s">
        <v>2719</v>
      </c>
      <c r="L628" s="22" t="s">
        <v>2720</v>
      </c>
      <c r="M628" s="25"/>
      <c r="N628" s="25"/>
      <c r="O628" s="26"/>
      <c r="P628" s="27"/>
      <c r="Q628" s="28"/>
      <c r="R628" s="28"/>
      <c r="S628" s="26"/>
    </row>
    <row r="629" customFormat="false" ht="15" hidden="false" customHeight="false" outlineLevel="0" collapsed="false">
      <c r="A629" s="7" t="n">
        <v>625</v>
      </c>
      <c r="B629" s="9" t="s">
        <v>29</v>
      </c>
      <c r="C629" s="22" t="s">
        <v>2721</v>
      </c>
      <c r="D629" s="9" t="s">
        <v>2292</v>
      </c>
      <c r="E629" s="9" t="s">
        <v>47</v>
      </c>
      <c r="F629" s="9" t="s">
        <v>99</v>
      </c>
      <c r="G629" s="22" t="s">
        <v>2722</v>
      </c>
      <c r="H629" s="9" t="s">
        <v>57</v>
      </c>
      <c r="I629" s="7"/>
      <c r="J629" s="23" t="s">
        <v>2723</v>
      </c>
      <c r="K629" s="24" t="s">
        <v>2724</v>
      </c>
      <c r="L629" s="22" t="s">
        <v>2725</v>
      </c>
      <c r="M629" s="25"/>
      <c r="N629" s="25"/>
      <c r="O629" s="26"/>
      <c r="P629" s="27"/>
      <c r="Q629" s="28"/>
      <c r="R629" s="28"/>
      <c r="S629" s="26"/>
    </row>
    <row r="630" customFormat="false" ht="15" hidden="false" customHeight="false" outlineLevel="0" collapsed="false">
      <c r="A630" s="7" t="n">
        <v>626</v>
      </c>
      <c r="B630" s="9" t="s">
        <v>29</v>
      </c>
      <c r="C630" s="22" t="s">
        <v>2721</v>
      </c>
      <c r="D630" s="9" t="s">
        <v>2292</v>
      </c>
      <c r="E630" s="9" t="s">
        <v>47</v>
      </c>
      <c r="F630" s="9" t="s">
        <v>99</v>
      </c>
      <c r="G630" s="22" t="s">
        <v>2726</v>
      </c>
      <c r="H630" s="9" t="s">
        <v>56</v>
      </c>
      <c r="I630" s="7"/>
      <c r="J630" s="23" t="s">
        <v>2727</v>
      </c>
      <c r="K630" s="24" t="s">
        <v>2728</v>
      </c>
      <c r="L630" s="22" t="s">
        <v>2729</v>
      </c>
      <c r="M630" s="25"/>
      <c r="N630" s="25"/>
      <c r="O630" s="26"/>
      <c r="P630" s="27"/>
      <c r="Q630" s="28"/>
      <c r="R630" s="28"/>
      <c r="S630" s="26"/>
    </row>
    <row r="631" customFormat="false" ht="15" hidden="false" customHeight="false" outlineLevel="0" collapsed="false">
      <c r="A631" s="7" t="n">
        <v>627</v>
      </c>
      <c r="B631" s="9" t="s">
        <v>29</v>
      </c>
      <c r="C631" s="22" t="s">
        <v>2721</v>
      </c>
      <c r="D631" s="9" t="s">
        <v>2292</v>
      </c>
      <c r="E631" s="9" t="s">
        <v>47</v>
      </c>
      <c r="F631" s="9" t="s">
        <v>99</v>
      </c>
      <c r="G631" s="22" t="s">
        <v>2730</v>
      </c>
      <c r="H631" s="9" t="s">
        <v>57</v>
      </c>
      <c r="I631" s="7"/>
      <c r="J631" s="23" t="s">
        <v>2731</v>
      </c>
      <c r="K631" s="24" t="s">
        <v>2732</v>
      </c>
      <c r="L631" s="22" t="s">
        <v>2733</v>
      </c>
      <c r="M631" s="25"/>
      <c r="N631" s="25"/>
      <c r="O631" s="26"/>
      <c r="P631" s="27"/>
      <c r="Q631" s="28"/>
      <c r="R631" s="28"/>
      <c r="S631" s="26"/>
    </row>
    <row r="632" customFormat="false" ht="15" hidden="false" customHeight="false" outlineLevel="0" collapsed="false">
      <c r="A632" s="7" t="n">
        <v>628</v>
      </c>
      <c r="B632" s="9" t="s">
        <v>29</v>
      </c>
      <c r="C632" s="22" t="s">
        <v>2721</v>
      </c>
      <c r="D632" s="9" t="s">
        <v>2292</v>
      </c>
      <c r="E632" s="9" t="s">
        <v>48</v>
      </c>
      <c r="F632" s="9" t="s">
        <v>99</v>
      </c>
      <c r="G632" s="22" t="s">
        <v>2734</v>
      </c>
      <c r="H632" s="9" t="s">
        <v>57</v>
      </c>
      <c r="I632" s="7"/>
      <c r="J632" s="23" t="s">
        <v>2735</v>
      </c>
      <c r="K632" s="24" t="s">
        <v>2736</v>
      </c>
      <c r="L632" s="22" t="s">
        <v>2737</v>
      </c>
      <c r="M632" s="25"/>
      <c r="N632" s="25"/>
      <c r="O632" s="26"/>
      <c r="P632" s="27"/>
      <c r="Q632" s="28"/>
      <c r="R632" s="28"/>
      <c r="S632" s="26"/>
    </row>
    <row r="633" customFormat="false" ht="15" hidden="false" customHeight="false" outlineLevel="0" collapsed="false">
      <c r="A633" s="7" t="n">
        <v>629</v>
      </c>
      <c r="B633" s="9" t="s">
        <v>29</v>
      </c>
      <c r="C633" s="22" t="s">
        <v>2721</v>
      </c>
      <c r="D633" s="9" t="s">
        <v>2292</v>
      </c>
      <c r="E633" s="9" t="s">
        <v>48</v>
      </c>
      <c r="F633" s="9" t="s">
        <v>99</v>
      </c>
      <c r="G633" s="22" t="s">
        <v>2738</v>
      </c>
      <c r="H633" s="9" t="s">
        <v>57</v>
      </c>
      <c r="I633" s="7"/>
      <c r="J633" s="23" t="s">
        <v>2739</v>
      </c>
      <c r="K633" s="24" t="s">
        <v>2740</v>
      </c>
      <c r="L633" s="22" t="s">
        <v>2741</v>
      </c>
      <c r="M633" s="25"/>
      <c r="N633" s="25"/>
      <c r="O633" s="26"/>
      <c r="P633" s="27"/>
      <c r="Q633" s="28"/>
      <c r="R633" s="28"/>
      <c r="S633" s="26"/>
    </row>
    <row r="634" customFormat="false" ht="15" hidden="false" customHeight="false" outlineLevel="0" collapsed="false">
      <c r="A634" s="7" t="n">
        <v>630</v>
      </c>
      <c r="B634" s="9" t="s">
        <v>29</v>
      </c>
      <c r="C634" s="22" t="s">
        <v>2742</v>
      </c>
      <c r="D634" s="9" t="s">
        <v>2297</v>
      </c>
      <c r="E634" s="9" t="s">
        <v>47</v>
      </c>
      <c r="F634" s="9" t="s">
        <v>99</v>
      </c>
      <c r="G634" s="22" t="s">
        <v>2743</v>
      </c>
      <c r="H634" s="9" t="s">
        <v>57</v>
      </c>
      <c r="I634" s="7"/>
      <c r="J634" s="23" t="s">
        <v>2744</v>
      </c>
      <c r="K634" s="24" t="s">
        <v>2745</v>
      </c>
      <c r="L634" s="22" t="s">
        <v>2746</v>
      </c>
      <c r="M634" s="25"/>
      <c r="N634" s="25"/>
      <c r="O634" s="26"/>
      <c r="P634" s="27"/>
      <c r="Q634" s="28"/>
      <c r="R634" s="28"/>
      <c r="S634" s="26"/>
    </row>
    <row r="635" customFormat="false" ht="15" hidden="false" customHeight="false" outlineLevel="0" collapsed="false">
      <c r="A635" s="7" t="n">
        <v>631</v>
      </c>
      <c r="B635" s="9" t="s">
        <v>29</v>
      </c>
      <c r="C635" s="22" t="s">
        <v>2742</v>
      </c>
      <c r="D635" s="9" t="s">
        <v>2297</v>
      </c>
      <c r="E635" s="9" t="s">
        <v>47</v>
      </c>
      <c r="F635" s="9" t="s">
        <v>99</v>
      </c>
      <c r="G635" s="22" t="s">
        <v>2747</v>
      </c>
      <c r="H635" s="9" t="s">
        <v>56</v>
      </c>
      <c r="I635" s="7"/>
      <c r="J635" s="23" t="s">
        <v>2748</v>
      </c>
      <c r="K635" s="24" t="s">
        <v>2749</v>
      </c>
      <c r="L635" s="22" t="s">
        <v>2750</v>
      </c>
      <c r="M635" s="25"/>
      <c r="N635" s="25"/>
      <c r="O635" s="26"/>
      <c r="P635" s="27"/>
      <c r="Q635" s="28"/>
      <c r="R635" s="28"/>
      <c r="S635" s="26"/>
    </row>
    <row r="636" customFormat="false" ht="15" hidden="false" customHeight="false" outlineLevel="0" collapsed="false">
      <c r="A636" s="7" t="n">
        <v>632</v>
      </c>
      <c r="B636" s="9" t="s">
        <v>29</v>
      </c>
      <c r="C636" s="22" t="s">
        <v>2742</v>
      </c>
      <c r="D636" s="9" t="s">
        <v>2297</v>
      </c>
      <c r="E636" s="9" t="s">
        <v>47</v>
      </c>
      <c r="F636" s="9" t="s">
        <v>99</v>
      </c>
      <c r="G636" s="22" t="s">
        <v>2751</v>
      </c>
      <c r="H636" s="9" t="s">
        <v>56</v>
      </c>
      <c r="I636" s="7"/>
      <c r="J636" s="23" t="s">
        <v>2752</v>
      </c>
      <c r="K636" s="24" t="s">
        <v>2753</v>
      </c>
      <c r="L636" s="22" t="s">
        <v>2754</v>
      </c>
      <c r="M636" s="25"/>
      <c r="N636" s="25"/>
      <c r="O636" s="26"/>
      <c r="P636" s="27"/>
      <c r="Q636" s="28"/>
      <c r="R636" s="28"/>
      <c r="S636" s="26"/>
    </row>
    <row r="637" customFormat="false" ht="15" hidden="false" customHeight="false" outlineLevel="0" collapsed="false">
      <c r="A637" s="7" t="n">
        <v>633</v>
      </c>
      <c r="B637" s="9" t="s">
        <v>29</v>
      </c>
      <c r="C637" s="22" t="s">
        <v>2742</v>
      </c>
      <c r="D637" s="9" t="s">
        <v>2297</v>
      </c>
      <c r="E637" s="9" t="s">
        <v>48</v>
      </c>
      <c r="F637" s="9" t="s">
        <v>99</v>
      </c>
      <c r="G637" s="22" t="s">
        <v>2755</v>
      </c>
      <c r="H637" s="9" t="s">
        <v>57</v>
      </c>
      <c r="I637" s="7"/>
      <c r="J637" s="23" t="s">
        <v>2756</v>
      </c>
      <c r="K637" s="24" t="s">
        <v>2757</v>
      </c>
      <c r="L637" s="22" t="s">
        <v>2758</v>
      </c>
      <c r="M637" s="25"/>
      <c r="N637" s="25"/>
      <c r="O637" s="26"/>
      <c r="P637" s="27"/>
      <c r="Q637" s="28"/>
      <c r="R637" s="28"/>
      <c r="S637" s="26"/>
    </row>
    <row r="638" customFormat="false" ht="15" hidden="false" customHeight="false" outlineLevel="0" collapsed="false">
      <c r="A638" s="7" t="n">
        <v>634</v>
      </c>
      <c r="B638" s="9" t="s">
        <v>29</v>
      </c>
      <c r="C638" s="22" t="s">
        <v>2742</v>
      </c>
      <c r="D638" s="9" t="s">
        <v>2297</v>
      </c>
      <c r="E638" s="9" t="s">
        <v>48</v>
      </c>
      <c r="F638" s="9" t="s">
        <v>99</v>
      </c>
      <c r="G638" s="22" t="s">
        <v>2759</v>
      </c>
      <c r="H638" s="9" t="s">
        <v>57</v>
      </c>
      <c r="I638" s="7"/>
      <c r="J638" s="23" t="s">
        <v>2760</v>
      </c>
      <c r="K638" s="24" t="s">
        <v>2761</v>
      </c>
      <c r="L638" s="22" t="s">
        <v>2762</v>
      </c>
      <c r="M638" s="25"/>
      <c r="N638" s="25"/>
      <c r="O638" s="26"/>
      <c r="P638" s="27"/>
      <c r="Q638" s="28"/>
      <c r="R638" s="28"/>
      <c r="S638" s="26"/>
    </row>
    <row r="639" customFormat="false" ht="15" hidden="false" customHeight="false" outlineLevel="0" collapsed="false">
      <c r="A639" s="7" t="n">
        <v>635</v>
      </c>
      <c r="B639" s="9" t="s">
        <v>29</v>
      </c>
      <c r="C639" s="22" t="s">
        <v>2742</v>
      </c>
      <c r="D639" s="9" t="s">
        <v>2297</v>
      </c>
      <c r="E639" s="9" t="s">
        <v>48</v>
      </c>
      <c r="F639" s="9" t="s">
        <v>99</v>
      </c>
      <c r="G639" s="22" t="s">
        <v>2763</v>
      </c>
      <c r="H639" s="9" t="s">
        <v>57</v>
      </c>
      <c r="I639" s="7"/>
      <c r="J639" s="23" t="s">
        <v>2764</v>
      </c>
      <c r="K639" s="24" t="s">
        <v>2765</v>
      </c>
      <c r="L639" s="22" t="s">
        <v>2766</v>
      </c>
      <c r="M639" s="25"/>
      <c r="N639" s="25"/>
      <c r="O639" s="26"/>
      <c r="P639" s="27"/>
      <c r="Q639" s="28"/>
      <c r="R639" s="28"/>
      <c r="S639" s="26"/>
    </row>
    <row r="640" customFormat="false" ht="15" hidden="false" customHeight="false" outlineLevel="0" collapsed="false">
      <c r="A640" s="7" t="n">
        <v>636</v>
      </c>
      <c r="B640" s="9" t="s">
        <v>29</v>
      </c>
      <c r="C640" s="22" t="s">
        <v>2767</v>
      </c>
      <c r="D640" s="9" t="s">
        <v>2310</v>
      </c>
      <c r="E640" s="9" t="s">
        <v>47</v>
      </c>
      <c r="F640" s="9" t="s">
        <v>99</v>
      </c>
      <c r="G640" s="22" t="s">
        <v>2768</v>
      </c>
      <c r="H640" s="9" t="s">
        <v>56</v>
      </c>
      <c r="I640" s="7"/>
      <c r="J640" s="23" t="s">
        <v>2769</v>
      </c>
      <c r="K640" s="24" t="s">
        <v>2770</v>
      </c>
      <c r="L640" s="22" t="s">
        <v>2771</v>
      </c>
      <c r="M640" s="25"/>
      <c r="N640" s="25"/>
      <c r="O640" s="26"/>
      <c r="P640" s="27"/>
      <c r="Q640" s="28"/>
      <c r="R640" s="28"/>
      <c r="S640" s="26"/>
    </row>
    <row r="641" customFormat="false" ht="15" hidden="false" customHeight="false" outlineLevel="0" collapsed="false">
      <c r="A641" s="7" t="n">
        <v>637</v>
      </c>
      <c r="B641" s="9" t="s">
        <v>29</v>
      </c>
      <c r="C641" s="22" t="s">
        <v>2767</v>
      </c>
      <c r="D641" s="9" t="s">
        <v>2310</v>
      </c>
      <c r="E641" s="9" t="s">
        <v>47</v>
      </c>
      <c r="F641" s="9" t="s">
        <v>99</v>
      </c>
      <c r="G641" s="22" t="s">
        <v>2772</v>
      </c>
      <c r="H641" s="9" t="s">
        <v>57</v>
      </c>
      <c r="I641" s="7"/>
      <c r="J641" s="23" t="s">
        <v>2773</v>
      </c>
      <c r="K641" s="24" t="s">
        <v>2774</v>
      </c>
      <c r="L641" s="22" t="s">
        <v>2775</v>
      </c>
      <c r="M641" s="25"/>
      <c r="N641" s="25"/>
      <c r="O641" s="26"/>
      <c r="P641" s="27"/>
      <c r="Q641" s="28"/>
      <c r="R641" s="28"/>
      <c r="S641" s="26"/>
    </row>
    <row r="642" customFormat="false" ht="15" hidden="false" customHeight="false" outlineLevel="0" collapsed="false">
      <c r="A642" s="7" t="n">
        <v>638</v>
      </c>
      <c r="B642" s="9" t="s">
        <v>29</v>
      </c>
      <c r="C642" s="22" t="s">
        <v>2767</v>
      </c>
      <c r="D642" s="9" t="s">
        <v>2310</v>
      </c>
      <c r="E642" s="9" t="s">
        <v>47</v>
      </c>
      <c r="F642" s="9" t="s">
        <v>99</v>
      </c>
      <c r="G642" s="22" t="s">
        <v>2776</v>
      </c>
      <c r="H642" s="9" t="s">
        <v>57</v>
      </c>
      <c r="I642" s="7"/>
      <c r="J642" s="23" t="s">
        <v>2777</v>
      </c>
      <c r="K642" s="24" t="s">
        <v>2778</v>
      </c>
      <c r="L642" s="22" t="s">
        <v>2779</v>
      </c>
      <c r="M642" s="25"/>
      <c r="N642" s="25"/>
      <c r="O642" s="26"/>
      <c r="P642" s="27"/>
      <c r="Q642" s="28"/>
      <c r="R642" s="28"/>
      <c r="S642" s="26"/>
    </row>
    <row r="643" customFormat="false" ht="15" hidden="false" customHeight="false" outlineLevel="0" collapsed="false">
      <c r="A643" s="7" t="n">
        <v>639</v>
      </c>
      <c r="B643" s="9" t="s">
        <v>29</v>
      </c>
      <c r="C643" s="22" t="s">
        <v>2767</v>
      </c>
      <c r="D643" s="9" t="s">
        <v>2310</v>
      </c>
      <c r="E643" s="9" t="s">
        <v>47</v>
      </c>
      <c r="F643" s="9" t="s">
        <v>99</v>
      </c>
      <c r="G643" s="22" t="s">
        <v>2780</v>
      </c>
      <c r="H643" s="9" t="s">
        <v>56</v>
      </c>
      <c r="I643" s="7"/>
      <c r="J643" s="23" t="s">
        <v>2781</v>
      </c>
      <c r="K643" s="24" t="s">
        <v>2782</v>
      </c>
      <c r="L643" s="22" t="s">
        <v>2783</v>
      </c>
      <c r="M643" s="25"/>
      <c r="N643" s="25"/>
      <c r="O643" s="26"/>
      <c r="P643" s="27"/>
      <c r="Q643" s="28"/>
      <c r="R643" s="28"/>
      <c r="S643" s="26"/>
    </row>
    <row r="644" customFormat="false" ht="15" hidden="false" customHeight="false" outlineLevel="0" collapsed="false">
      <c r="A644" s="7" t="n">
        <v>640</v>
      </c>
      <c r="B644" s="9" t="s">
        <v>29</v>
      </c>
      <c r="C644" s="22" t="s">
        <v>2767</v>
      </c>
      <c r="D644" s="9" t="s">
        <v>2310</v>
      </c>
      <c r="E644" s="9" t="s">
        <v>47</v>
      </c>
      <c r="F644" s="9" t="s">
        <v>99</v>
      </c>
      <c r="G644" s="22" t="s">
        <v>2784</v>
      </c>
      <c r="H644" s="9" t="s">
        <v>57</v>
      </c>
      <c r="I644" s="7"/>
      <c r="J644" s="23" t="s">
        <v>2785</v>
      </c>
      <c r="K644" s="24" t="s">
        <v>2786</v>
      </c>
      <c r="L644" s="22" t="s">
        <v>2787</v>
      </c>
      <c r="M644" s="25"/>
      <c r="N644" s="25"/>
      <c r="O644" s="26"/>
      <c r="P644" s="27"/>
      <c r="Q644" s="28"/>
      <c r="R644" s="28"/>
      <c r="S644" s="26"/>
    </row>
    <row r="645" customFormat="false" ht="15" hidden="false" customHeight="false" outlineLevel="0" collapsed="false">
      <c r="A645" s="7" t="n">
        <v>641</v>
      </c>
      <c r="B645" s="9" t="s">
        <v>29</v>
      </c>
      <c r="C645" s="22" t="s">
        <v>2767</v>
      </c>
      <c r="D645" s="9" t="s">
        <v>2310</v>
      </c>
      <c r="E645" s="9" t="s">
        <v>47</v>
      </c>
      <c r="F645" s="9" t="s">
        <v>99</v>
      </c>
      <c r="G645" s="22" t="s">
        <v>2788</v>
      </c>
      <c r="H645" s="9" t="s">
        <v>57</v>
      </c>
      <c r="I645" s="7"/>
      <c r="J645" s="23" t="s">
        <v>2789</v>
      </c>
      <c r="K645" s="24" t="s">
        <v>2790</v>
      </c>
      <c r="L645" s="22" t="s">
        <v>2791</v>
      </c>
      <c r="M645" s="25"/>
      <c r="N645" s="25"/>
      <c r="O645" s="26"/>
      <c r="P645" s="27"/>
      <c r="Q645" s="28"/>
      <c r="R645" s="28"/>
      <c r="S645" s="26"/>
    </row>
    <row r="646" customFormat="false" ht="15" hidden="false" customHeight="false" outlineLevel="0" collapsed="false">
      <c r="A646" s="7" t="n">
        <v>642</v>
      </c>
      <c r="B646" s="9" t="s">
        <v>29</v>
      </c>
      <c r="C646" s="22" t="s">
        <v>2767</v>
      </c>
      <c r="D646" s="9" t="s">
        <v>2310</v>
      </c>
      <c r="E646" s="9" t="s">
        <v>48</v>
      </c>
      <c r="F646" s="9" t="s">
        <v>99</v>
      </c>
      <c r="G646" s="22" t="s">
        <v>2792</v>
      </c>
      <c r="H646" s="9" t="s">
        <v>56</v>
      </c>
      <c r="I646" s="7"/>
      <c r="J646" s="23" t="s">
        <v>2793</v>
      </c>
      <c r="K646" s="24" t="s">
        <v>2794</v>
      </c>
      <c r="L646" s="22" t="s">
        <v>2795</v>
      </c>
      <c r="M646" s="25"/>
      <c r="N646" s="25"/>
      <c r="O646" s="26"/>
      <c r="P646" s="27"/>
      <c r="Q646" s="28"/>
      <c r="R646" s="28"/>
      <c r="S646" s="26"/>
    </row>
    <row r="647" customFormat="false" ht="15" hidden="false" customHeight="false" outlineLevel="0" collapsed="false">
      <c r="A647" s="7" t="n">
        <v>643</v>
      </c>
      <c r="B647" s="9" t="s">
        <v>29</v>
      </c>
      <c r="C647" s="22" t="s">
        <v>2796</v>
      </c>
      <c r="D647" s="9" t="s">
        <v>2327</v>
      </c>
      <c r="E647" s="9" t="s">
        <v>47</v>
      </c>
      <c r="F647" s="9" t="s">
        <v>99</v>
      </c>
      <c r="G647" s="22" t="s">
        <v>2797</v>
      </c>
      <c r="H647" s="9" t="s">
        <v>57</v>
      </c>
      <c r="I647" s="7"/>
      <c r="J647" s="23" t="s">
        <v>2798</v>
      </c>
      <c r="K647" s="24" t="s">
        <v>2799</v>
      </c>
      <c r="L647" s="22" t="s">
        <v>2800</v>
      </c>
      <c r="M647" s="25"/>
      <c r="N647" s="25"/>
      <c r="O647" s="26"/>
      <c r="P647" s="27"/>
      <c r="Q647" s="28"/>
      <c r="R647" s="28"/>
      <c r="S647" s="26"/>
    </row>
    <row r="648" customFormat="false" ht="15" hidden="false" customHeight="false" outlineLevel="0" collapsed="false">
      <c r="A648" s="7" t="n">
        <v>644</v>
      </c>
      <c r="B648" s="9" t="s">
        <v>29</v>
      </c>
      <c r="C648" s="22" t="s">
        <v>2796</v>
      </c>
      <c r="D648" s="9" t="s">
        <v>2327</v>
      </c>
      <c r="E648" s="9" t="s">
        <v>47</v>
      </c>
      <c r="F648" s="9" t="s">
        <v>99</v>
      </c>
      <c r="G648" s="22" t="s">
        <v>2801</v>
      </c>
      <c r="H648" s="9" t="s">
        <v>57</v>
      </c>
      <c r="I648" s="7"/>
      <c r="J648" s="23" t="s">
        <v>2802</v>
      </c>
      <c r="K648" s="24" t="s">
        <v>2803</v>
      </c>
      <c r="L648" s="22" t="s">
        <v>2804</v>
      </c>
      <c r="M648" s="25"/>
      <c r="N648" s="25"/>
      <c r="O648" s="26"/>
      <c r="P648" s="27"/>
      <c r="Q648" s="28"/>
      <c r="R648" s="28"/>
      <c r="S648" s="26"/>
    </row>
    <row r="649" customFormat="false" ht="15" hidden="false" customHeight="false" outlineLevel="0" collapsed="false">
      <c r="A649" s="7" t="n">
        <v>645</v>
      </c>
      <c r="B649" s="9" t="s">
        <v>29</v>
      </c>
      <c r="C649" s="22" t="s">
        <v>2796</v>
      </c>
      <c r="D649" s="9" t="s">
        <v>2327</v>
      </c>
      <c r="E649" s="9" t="s">
        <v>47</v>
      </c>
      <c r="F649" s="9" t="s">
        <v>99</v>
      </c>
      <c r="G649" s="22" t="s">
        <v>2805</v>
      </c>
      <c r="H649" s="9" t="s">
        <v>56</v>
      </c>
      <c r="I649" s="7"/>
      <c r="J649" s="23" t="s">
        <v>2806</v>
      </c>
      <c r="K649" s="24" t="s">
        <v>2807</v>
      </c>
      <c r="L649" s="22" t="s">
        <v>2808</v>
      </c>
      <c r="M649" s="25"/>
      <c r="N649" s="25"/>
      <c r="O649" s="26"/>
      <c r="P649" s="27"/>
      <c r="Q649" s="28"/>
      <c r="R649" s="28"/>
      <c r="S649" s="26"/>
    </row>
    <row r="650" customFormat="false" ht="15" hidden="false" customHeight="false" outlineLevel="0" collapsed="false">
      <c r="A650" s="7" t="n">
        <v>646</v>
      </c>
      <c r="B650" s="9" t="s">
        <v>29</v>
      </c>
      <c r="C650" s="22" t="s">
        <v>2796</v>
      </c>
      <c r="D650" s="9" t="s">
        <v>2327</v>
      </c>
      <c r="E650" s="9" t="s">
        <v>47</v>
      </c>
      <c r="F650" s="9" t="s">
        <v>99</v>
      </c>
      <c r="G650" s="22" t="s">
        <v>2809</v>
      </c>
      <c r="H650" s="9" t="s">
        <v>56</v>
      </c>
      <c r="I650" s="7"/>
      <c r="J650" s="23" t="s">
        <v>2810</v>
      </c>
      <c r="K650" s="24" t="s">
        <v>2811</v>
      </c>
      <c r="L650" s="22" t="s">
        <v>2812</v>
      </c>
      <c r="M650" s="25"/>
      <c r="N650" s="25"/>
      <c r="O650" s="26"/>
      <c r="P650" s="27"/>
      <c r="Q650" s="28"/>
      <c r="R650" s="28"/>
      <c r="S650" s="26"/>
    </row>
    <row r="651" customFormat="false" ht="15" hidden="false" customHeight="false" outlineLevel="0" collapsed="false">
      <c r="A651" s="7" t="n">
        <v>647</v>
      </c>
      <c r="B651" s="9" t="s">
        <v>29</v>
      </c>
      <c r="C651" s="22" t="s">
        <v>2813</v>
      </c>
      <c r="D651" s="9" t="s">
        <v>2268</v>
      </c>
      <c r="E651" s="9" t="s">
        <v>47</v>
      </c>
      <c r="F651" s="9" t="s">
        <v>99</v>
      </c>
      <c r="G651" s="22" t="s">
        <v>2814</v>
      </c>
      <c r="H651" s="9" t="s">
        <v>56</v>
      </c>
      <c r="I651" s="7"/>
      <c r="J651" s="23" t="s">
        <v>2815</v>
      </c>
      <c r="K651" s="24" t="s">
        <v>2816</v>
      </c>
      <c r="L651" s="22" t="s">
        <v>2817</v>
      </c>
      <c r="M651" s="25"/>
      <c r="N651" s="25"/>
      <c r="O651" s="26"/>
      <c r="P651" s="27"/>
      <c r="Q651" s="28"/>
      <c r="R651" s="28"/>
      <c r="S651" s="26"/>
    </row>
    <row r="652" customFormat="false" ht="15" hidden="false" customHeight="false" outlineLevel="0" collapsed="false">
      <c r="A652" s="7" t="n">
        <v>648</v>
      </c>
      <c r="B652" s="9" t="s">
        <v>29</v>
      </c>
      <c r="C652" s="22" t="s">
        <v>2813</v>
      </c>
      <c r="D652" s="9" t="s">
        <v>2268</v>
      </c>
      <c r="E652" s="9" t="s">
        <v>48</v>
      </c>
      <c r="F652" s="9" t="s">
        <v>124</v>
      </c>
      <c r="G652" s="22" t="s">
        <v>2818</v>
      </c>
      <c r="H652" s="9" t="s">
        <v>57</v>
      </c>
      <c r="I652" s="7"/>
      <c r="J652" s="23" t="s">
        <v>2819</v>
      </c>
      <c r="K652" s="24" t="s">
        <v>2820</v>
      </c>
      <c r="L652" s="22" t="s">
        <v>2821</v>
      </c>
      <c r="M652" s="25"/>
      <c r="N652" s="25"/>
      <c r="O652" s="26"/>
      <c r="P652" s="27"/>
      <c r="Q652" s="28"/>
      <c r="R652" s="28"/>
      <c r="S652" s="26"/>
    </row>
    <row r="653" customFormat="false" ht="15" hidden="false" customHeight="false" outlineLevel="0" collapsed="false">
      <c r="A653" s="7" t="n">
        <v>649</v>
      </c>
      <c r="B653" s="9" t="s">
        <v>29</v>
      </c>
      <c r="C653" s="22" t="s">
        <v>2813</v>
      </c>
      <c r="D653" s="9" t="s">
        <v>2336</v>
      </c>
      <c r="E653" s="9" t="s">
        <v>47</v>
      </c>
      <c r="F653" s="9" t="s">
        <v>99</v>
      </c>
      <c r="G653" s="22" t="s">
        <v>2822</v>
      </c>
      <c r="H653" s="9" t="s">
        <v>57</v>
      </c>
      <c r="I653" s="7"/>
      <c r="J653" s="23" t="s">
        <v>2823</v>
      </c>
      <c r="K653" s="24" t="s">
        <v>2824</v>
      </c>
      <c r="L653" s="22" t="s">
        <v>2825</v>
      </c>
      <c r="M653" s="25"/>
      <c r="N653" s="25"/>
      <c r="O653" s="26"/>
      <c r="P653" s="27"/>
      <c r="Q653" s="28"/>
      <c r="R653" s="28"/>
      <c r="S653" s="26"/>
    </row>
    <row r="654" customFormat="false" ht="15" hidden="false" customHeight="false" outlineLevel="0" collapsed="false">
      <c r="A654" s="7" t="n">
        <v>650</v>
      </c>
      <c r="B654" s="9" t="s">
        <v>29</v>
      </c>
      <c r="C654" s="22" t="s">
        <v>2813</v>
      </c>
      <c r="D654" s="9" t="s">
        <v>2336</v>
      </c>
      <c r="E654" s="9" t="s">
        <v>47</v>
      </c>
      <c r="F654" s="9" t="s">
        <v>99</v>
      </c>
      <c r="G654" s="22" t="s">
        <v>2826</v>
      </c>
      <c r="H654" s="9" t="s">
        <v>57</v>
      </c>
      <c r="I654" s="7"/>
      <c r="J654" s="23" t="s">
        <v>2827</v>
      </c>
      <c r="K654" s="24" t="s">
        <v>2828</v>
      </c>
      <c r="L654" s="22" t="s">
        <v>2829</v>
      </c>
      <c r="M654" s="25"/>
      <c r="N654" s="25"/>
      <c r="O654" s="26"/>
      <c r="P654" s="27"/>
      <c r="Q654" s="28"/>
      <c r="R654" s="28"/>
      <c r="S654" s="26"/>
    </row>
    <row r="655" customFormat="false" ht="15" hidden="false" customHeight="false" outlineLevel="0" collapsed="false">
      <c r="A655" s="7" t="n">
        <v>651</v>
      </c>
      <c r="B655" s="9" t="s">
        <v>29</v>
      </c>
      <c r="C655" s="22" t="s">
        <v>2813</v>
      </c>
      <c r="D655" s="9" t="s">
        <v>2336</v>
      </c>
      <c r="E655" s="9" t="s">
        <v>47</v>
      </c>
      <c r="F655" s="9" t="s">
        <v>99</v>
      </c>
      <c r="G655" s="22" t="s">
        <v>2830</v>
      </c>
      <c r="H655" s="9" t="s">
        <v>56</v>
      </c>
      <c r="I655" s="7"/>
      <c r="J655" s="23" t="s">
        <v>2831</v>
      </c>
      <c r="K655" s="24" t="s">
        <v>2832</v>
      </c>
      <c r="L655" s="22" t="s">
        <v>2833</v>
      </c>
      <c r="M655" s="25"/>
      <c r="N655" s="25"/>
      <c r="O655" s="26"/>
      <c r="P655" s="27"/>
      <c r="Q655" s="28"/>
      <c r="R655" s="28"/>
      <c r="S655" s="26"/>
    </row>
    <row r="656" customFormat="false" ht="15" hidden="false" customHeight="false" outlineLevel="0" collapsed="false">
      <c r="A656" s="7" t="n">
        <v>652</v>
      </c>
      <c r="B656" s="9" t="s">
        <v>29</v>
      </c>
      <c r="C656" s="22" t="s">
        <v>2813</v>
      </c>
      <c r="D656" s="9" t="s">
        <v>2336</v>
      </c>
      <c r="E656" s="9" t="s">
        <v>47</v>
      </c>
      <c r="F656" s="9" t="s">
        <v>99</v>
      </c>
      <c r="G656" s="22" t="s">
        <v>2834</v>
      </c>
      <c r="H656" s="9" t="s">
        <v>57</v>
      </c>
      <c r="I656" s="7"/>
      <c r="J656" s="23" t="s">
        <v>2835</v>
      </c>
      <c r="K656" s="24" t="s">
        <v>2836</v>
      </c>
      <c r="L656" s="22" t="s">
        <v>2837</v>
      </c>
      <c r="M656" s="25"/>
      <c r="N656" s="25"/>
      <c r="O656" s="26"/>
      <c r="P656" s="27"/>
      <c r="Q656" s="28"/>
      <c r="R656" s="28"/>
      <c r="S656" s="26"/>
    </row>
    <row r="657" customFormat="false" ht="15" hidden="false" customHeight="false" outlineLevel="0" collapsed="false">
      <c r="A657" s="7" t="n">
        <v>653</v>
      </c>
      <c r="B657" s="9" t="s">
        <v>29</v>
      </c>
      <c r="C657" s="22" t="s">
        <v>2813</v>
      </c>
      <c r="D657" s="9" t="s">
        <v>2336</v>
      </c>
      <c r="E657" s="9" t="s">
        <v>47</v>
      </c>
      <c r="F657" s="9" t="s">
        <v>99</v>
      </c>
      <c r="G657" s="22" t="s">
        <v>2838</v>
      </c>
      <c r="H657" s="9" t="s">
        <v>55</v>
      </c>
      <c r="I657" s="7"/>
      <c r="J657" s="23" t="s">
        <v>2839</v>
      </c>
      <c r="K657" s="24" t="s">
        <v>2840</v>
      </c>
      <c r="L657" s="22" t="s">
        <v>2841</v>
      </c>
      <c r="M657" s="25"/>
      <c r="N657" s="25"/>
      <c r="O657" s="26"/>
      <c r="P657" s="27"/>
      <c r="Q657" s="28"/>
      <c r="R657" s="28"/>
      <c r="S657" s="26"/>
    </row>
    <row r="658" customFormat="false" ht="15" hidden="false" customHeight="false" outlineLevel="0" collapsed="false">
      <c r="A658" s="7" t="n">
        <v>654</v>
      </c>
      <c r="B658" s="9" t="s">
        <v>29</v>
      </c>
      <c r="C658" s="22" t="s">
        <v>2813</v>
      </c>
      <c r="D658" s="9" t="s">
        <v>2336</v>
      </c>
      <c r="E658" s="9" t="s">
        <v>47</v>
      </c>
      <c r="F658" s="9" t="s">
        <v>99</v>
      </c>
      <c r="G658" s="22" t="s">
        <v>2842</v>
      </c>
      <c r="H658" s="9" t="s">
        <v>56</v>
      </c>
      <c r="I658" s="7"/>
      <c r="J658" s="23" t="s">
        <v>2843</v>
      </c>
      <c r="K658" s="24" t="s">
        <v>2844</v>
      </c>
      <c r="L658" s="22" t="s">
        <v>2845</v>
      </c>
      <c r="M658" s="25"/>
      <c r="N658" s="25"/>
      <c r="O658" s="26"/>
      <c r="P658" s="27"/>
      <c r="Q658" s="28"/>
      <c r="R658" s="28"/>
      <c r="S658" s="26"/>
    </row>
    <row r="659" customFormat="false" ht="15" hidden="false" customHeight="false" outlineLevel="0" collapsed="false">
      <c r="A659" s="7" t="n">
        <v>655</v>
      </c>
      <c r="B659" s="9" t="s">
        <v>29</v>
      </c>
      <c r="C659" s="22" t="s">
        <v>2813</v>
      </c>
      <c r="D659" s="9" t="s">
        <v>2336</v>
      </c>
      <c r="E659" s="9" t="s">
        <v>47</v>
      </c>
      <c r="F659" s="9" t="s">
        <v>99</v>
      </c>
      <c r="G659" s="22" t="s">
        <v>2846</v>
      </c>
      <c r="H659" s="9" t="s">
        <v>56</v>
      </c>
      <c r="I659" s="7"/>
      <c r="J659" s="23" t="s">
        <v>2847</v>
      </c>
      <c r="K659" s="24" t="s">
        <v>2848</v>
      </c>
      <c r="L659" s="22" t="s">
        <v>2849</v>
      </c>
      <c r="M659" s="25"/>
      <c r="N659" s="25"/>
      <c r="O659" s="26"/>
      <c r="P659" s="27"/>
      <c r="Q659" s="28"/>
      <c r="R659" s="28"/>
      <c r="S659" s="26"/>
    </row>
    <row r="660" customFormat="false" ht="15" hidden="false" customHeight="false" outlineLevel="0" collapsed="false">
      <c r="A660" s="7" t="n">
        <v>656</v>
      </c>
      <c r="B660" s="9" t="s">
        <v>29</v>
      </c>
      <c r="C660" s="22" t="s">
        <v>2813</v>
      </c>
      <c r="D660" s="9" t="s">
        <v>2336</v>
      </c>
      <c r="E660" s="9" t="s">
        <v>48</v>
      </c>
      <c r="F660" s="9" t="s">
        <v>99</v>
      </c>
      <c r="G660" s="22" t="s">
        <v>2850</v>
      </c>
      <c r="H660" s="9" t="s">
        <v>57</v>
      </c>
      <c r="I660" s="7"/>
      <c r="J660" s="23" t="s">
        <v>2851</v>
      </c>
      <c r="K660" s="24" t="s">
        <v>2852</v>
      </c>
      <c r="L660" s="22" t="s">
        <v>2853</v>
      </c>
      <c r="M660" s="25"/>
      <c r="N660" s="25"/>
      <c r="O660" s="26"/>
      <c r="P660" s="27"/>
      <c r="Q660" s="28"/>
      <c r="R660" s="28"/>
      <c r="S660" s="26"/>
    </row>
    <row r="661" customFormat="false" ht="15" hidden="false" customHeight="false" outlineLevel="0" collapsed="false">
      <c r="A661" s="7" t="n">
        <v>657</v>
      </c>
      <c r="B661" s="9" t="s">
        <v>29</v>
      </c>
      <c r="C661" s="22" t="s">
        <v>2813</v>
      </c>
      <c r="D661" s="9" t="s">
        <v>2336</v>
      </c>
      <c r="E661" s="9" t="s">
        <v>48</v>
      </c>
      <c r="F661" s="9" t="s">
        <v>99</v>
      </c>
      <c r="G661" s="22" t="s">
        <v>2854</v>
      </c>
      <c r="H661" s="9" t="s">
        <v>56</v>
      </c>
      <c r="I661" s="7"/>
      <c r="J661" s="23" t="s">
        <v>2855</v>
      </c>
      <c r="K661" s="24" t="s">
        <v>2856</v>
      </c>
      <c r="L661" s="22" t="s">
        <v>2857</v>
      </c>
      <c r="M661" s="25"/>
      <c r="N661" s="25"/>
      <c r="O661" s="26"/>
      <c r="P661" s="27"/>
      <c r="Q661" s="28"/>
      <c r="R661" s="28"/>
      <c r="S661" s="26"/>
    </row>
    <row r="662" customFormat="false" ht="15" hidden="false" customHeight="false" outlineLevel="0" collapsed="false">
      <c r="A662" s="7" t="n">
        <v>658</v>
      </c>
      <c r="B662" s="9" t="s">
        <v>29</v>
      </c>
      <c r="C662" s="22" t="s">
        <v>2813</v>
      </c>
      <c r="D662" s="9" t="s">
        <v>2336</v>
      </c>
      <c r="E662" s="9" t="s">
        <v>48</v>
      </c>
      <c r="F662" s="9" t="s">
        <v>99</v>
      </c>
      <c r="G662" s="22" t="s">
        <v>2858</v>
      </c>
      <c r="H662" s="9" t="s">
        <v>56</v>
      </c>
      <c r="I662" s="7"/>
      <c r="J662" s="23" t="s">
        <v>2859</v>
      </c>
      <c r="K662" s="24" t="s">
        <v>2860</v>
      </c>
      <c r="L662" s="22" t="s">
        <v>2861</v>
      </c>
      <c r="M662" s="25"/>
      <c r="N662" s="25"/>
      <c r="O662" s="26"/>
      <c r="P662" s="27"/>
      <c r="Q662" s="28"/>
      <c r="R662" s="28"/>
      <c r="S662" s="26"/>
    </row>
    <row r="663" customFormat="false" ht="15" hidden="false" customHeight="false" outlineLevel="0" collapsed="false">
      <c r="A663" s="7" t="n">
        <v>659</v>
      </c>
      <c r="B663" s="9" t="s">
        <v>32</v>
      </c>
      <c r="C663" s="22" t="s">
        <v>2862</v>
      </c>
      <c r="D663" s="9" t="s">
        <v>2863</v>
      </c>
      <c r="E663" s="9" t="s">
        <v>47</v>
      </c>
      <c r="F663" s="9" t="s">
        <v>99</v>
      </c>
      <c r="G663" s="22" t="s">
        <v>2864</v>
      </c>
      <c r="H663" s="9" t="s">
        <v>56</v>
      </c>
      <c r="I663" s="7" t="s">
        <v>869</v>
      </c>
      <c r="J663" s="23" t="s">
        <v>2865</v>
      </c>
      <c r="K663" s="24" t="s">
        <v>2866</v>
      </c>
      <c r="L663" s="22" t="s">
        <v>2867</v>
      </c>
      <c r="M663" s="25"/>
      <c r="N663" s="25"/>
      <c r="O663" s="26"/>
      <c r="P663" s="27"/>
      <c r="Q663" s="28"/>
      <c r="R663" s="28"/>
      <c r="S663" s="26"/>
    </row>
    <row r="664" customFormat="false" ht="15" hidden="false" customHeight="false" outlineLevel="0" collapsed="false">
      <c r="A664" s="7" t="n">
        <v>660</v>
      </c>
      <c r="B664" s="9" t="s">
        <v>32</v>
      </c>
      <c r="C664" s="22" t="s">
        <v>2862</v>
      </c>
      <c r="D664" s="9" t="s">
        <v>2863</v>
      </c>
      <c r="E664" s="9" t="s">
        <v>47</v>
      </c>
      <c r="F664" s="9" t="s">
        <v>99</v>
      </c>
      <c r="G664" s="22" t="s">
        <v>2868</v>
      </c>
      <c r="H664" s="9" t="s">
        <v>57</v>
      </c>
      <c r="I664" s="7"/>
      <c r="J664" s="23" t="s">
        <v>2869</v>
      </c>
      <c r="K664" s="24" t="s">
        <v>2870</v>
      </c>
      <c r="L664" s="22" t="s">
        <v>2871</v>
      </c>
      <c r="M664" s="25"/>
      <c r="N664" s="25"/>
      <c r="O664" s="26"/>
      <c r="P664" s="27"/>
      <c r="Q664" s="28"/>
      <c r="R664" s="28"/>
      <c r="S664" s="26"/>
    </row>
    <row r="665" customFormat="false" ht="15" hidden="false" customHeight="false" outlineLevel="0" collapsed="false">
      <c r="A665" s="7" t="n">
        <v>661</v>
      </c>
      <c r="B665" s="9" t="s">
        <v>32</v>
      </c>
      <c r="C665" s="22" t="s">
        <v>300</v>
      </c>
      <c r="D665" s="9" t="s">
        <v>2872</v>
      </c>
      <c r="E665" s="9" t="s">
        <v>49</v>
      </c>
      <c r="F665" s="9" t="s">
        <v>99</v>
      </c>
      <c r="G665" s="22" t="s">
        <v>2873</v>
      </c>
      <c r="H665" s="9" t="s">
        <v>55</v>
      </c>
      <c r="I665" s="7" t="s">
        <v>869</v>
      </c>
      <c r="J665" s="23" t="s">
        <v>2874</v>
      </c>
      <c r="K665" s="24" t="s">
        <v>2875</v>
      </c>
      <c r="L665" s="22" t="s">
        <v>2876</v>
      </c>
      <c r="M665" s="25"/>
      <c r="N665" s="25"/>
      <c r="O665" s="26"/>
      <c r="P665" s="27"/>
      <c r="Q665" s="28"/>
      <c r="R665" s="28"/>
      <c r="S665" s="26"/>
    </row>
    <row r="666" customFormat="false" ht="15" hidden="false" customHeight="false" outlineLevel="0" collapsed="false">
      <c r="A666" s="7" t="n">
        <v>662</v>
      </c>
      <c r="B666" s="9" t="s">
        <v>32</v>
      </c>
      <c r="C666" s="22" t="s">
        <v>300</v>
      </c>
      <c r="D666" s="9" t="s">
        <v>2877</v>
      </c>
      <c r="E666" s="9" t="s">
        <v>49</v>
      </c>
      <c r="F666" s="9" t="s">
        <v>99</v>
      </c>
      <c r="G666" s="22" t="s">
        <v>2878</v>
      </c>
      <c r="H666" s="9" t="s">
        <v>56</v>
      </c>
      <c r="I666" s="7"/>
      <c r="J666" s="23" t="s">
        <v>2879</v>
      </c>
      <c r="K666" s="24" t="s">
        <v>2880</v>
      </c>
      <c r="L666" s="22" t="s">
        <v>2881</v>
      </c>
      <c r="M666" s="25"/>
      <c r="N666" s="25"/>
      <c r="O666" s="26"/>
      <c r="P666" s="27"/>
      <c r="Q666" s="28"/>
      <c r="R666" s="28"/>
      <c r="S666" s="26"/>
    </row>
    <row r="667" customFormat="false" ht="15" hidden="false" customHeight="false" outlineLevel="0" collapsed="false">
      <c r="A667" s="7" t="n">
        <v>663</v>
      </c>
      <c r="B667" s="9" t="s">
        <v>32</v>
      </c>
      <c r="C667" s="22" t="s">
        <v>300</v>
      </c>
      <c r="D667" s="9" t="s">
        <v>2882</v>
      </c>
      <c r="E667" s="9" t="s">
        <v>49</v>
      </c>
      <c r="F667" s="9" t="s">
        <v>99</v>
      </c>
      <c r="G667" s="22" t="s">
        <v>2883</v>
      </c>
      <c r="H667" s="9" t="s">
        <v>57</v>
      </c>
      <c r="I667" s="7" t="s">
        <v>869</v>
      </c>
      <c r="J667" s="23" t="s">
        <v>2884</v>
      </c>
      <c r="K667" s="24" t="s">
        <v>2885</v>
      </c>
      <c r="L667" s="22" t="s">
        <v>2886</v>
      </c>
      <c r="M667" s="25"/>
      <c r="N667" s="25"/>
      <c r="O667" s="26"/>
      <c r="P667" s="27"/>
      <c r="Q667" s="28"/>
      <c r="R667" s="28"/>
      <c r="S667" s="26"/>
    </row>
    <row r="668" customFormat="false" ht="15" hidden="false" customHeight="false" outlineLevel="0" collapsed="false">
      <c r="A668" s="7" t="n">
        <v>664</v>
      </c>
      <c r="B668" s="9" t="s">
        <v>32</v>
      </c>
      <c r="C668" s="22" t="s">
        <v>300</v>
      </c>
      <c r="D668" s="9" t="s">
        <v>2882</v>
      </c>
      <c r="E668" s="9" t="s">
        <v>49</v>
      </c>
      <c r="F668" s="9" t="s">
        <v>99</v>
      </c>
      <c r="G668" s="22" t="s">
        <v>2887</v>
      </c>
      <c r="H668" s="9" t="s">
        <v>57</v>
      </c>
      <c r="I668" s="7" t="s">
        <v>869</v>
      </c>
      <c r="J668" s="23" t="s">
        <v>2888</v>
      </c>
      <c r="K668" s="24" t="s">
        <v>2889</v>
      </c>
      <c r="L668" s="22" t="s">
        <v>2890</v>
      </c>
      <c r="M668" s="25"/>
      <c r="N668" s="25"/>
      <c r="O668" s="26"/>
      <c r="P668" s="27"/>
      <c r="Q668" s="28"/>
      <c r="R668" s="28"/>
      <c r="S668" s="26"/>
    </row>
    <row r="669" customFormat="false" ht="15" hidden="false" customHeight="false" outlineLevel="0" collapsed="false">
      <c r="A669" s="7" t="n">
        <v>665</v>
      </c>
      <c r="B669" s="9" t="s">
        <v>32</v>
      </c>
      <c r="C669" s="22" t="s">
        <v>300</v>
      </c>
      <c r="D669" s="9" t="s">
        <v>2882</v>
      </c>
      <c r="E669" s="9" t="s">
        <v>49</v>
      </c>
      <c r="F669" s="9" t="s">
        <v>99</v>
      </c>
      <c r="G669" s="22" t="s">
        <v>2891</v>
      </c>
      <c r="H669" s="9" t="s">
        <v>56</v>
      </c>
      <c r="I669" s="7" t="s">
        <v>869</v>
      </c>
      <c r="J669" s="23" t="s">
        <v>2892</v>
      </c>
      <c r="K669" s="24" t="s">
        <v>2893</v>
      </c>
      <c r="L669" s="22" t="s">
        <v>2894</v>
      </c>
      <c r="M669" s="25"/>
      <c r="N669" s="25"/>
      <c r="O669" s="26"/>
      <c r="P669" s="27"/>
      <c r="Q669" s="28"/>
      <c r="R669" s="28"/>
      <c r="S669" s="26"/>
    </row>
    <row r="670" customFormat="false" ht="15" hidden="false" customHeight="false" outlineLevel="0" collapsed="false">
      <c r="A670" s="7" t="n">
        <v>666</v>
      </c>
      <c r="B670" s="9" t="s">
        <v>32</v>
      </c>
      <c r="C670" s="22" t="s">
        <v>300</v>
      </c>
      <c r="D670" s="9" t="s">
        <v>2882</v>
      </c>
      <c r="E670" s="9" t="s">
        <v>49</v>
      </c>
      <c r="F670" s="9" t="s">
        <v>99</v>
      </c>
      <c r="G670" s="22" t="s">
        <v>2895</v>
      </c>
      <c r="H670" s="9" t="s">
        <v>57</v>
      </c>
      <c r="I670" s="7" t="s">
        <v>869</v>
      </c>
      <c r="J670" s="23" t="s">
        <v>2896</v>
      </c>
      <c r="K670" s="24" t="s">
        <v>2897</v>
      </c>
      <c r="L670" s="22" t="s">
        <v>2898</v>
      </c>
      <c r="M670" s="25"/>
      <c r="N670" s="25"/>
      <c r="O670" s="26"/>
      <c r="P670" s="27"/>
      <c r="Q670" s="28"/>
      <c r="R670" s="28"/>
      <c r="S670" s="26"/>
    </row>
    <row r="671" customFormat="false" ht="15" hidden="false" customHeight="false" outlineLevel="0" collapsed="false">
      <c r="A671" s="7" t="n">
        <v>667</v>
      </c>
      <c r="B671" s="9" t="s">
        <v>32</v>
      </c>
      <c r="C671" s="22" t="s">
        <v>300</v>
      </c>
      <c r="D671" s="9" t="s">
        <v>2882</v>
      </c>
      <c r="E671" s="9" t="s">
        <v>49</v>
      </c>
      <c r="F671" s="9" t="s">
        <v>124</v>
      </c>
      <c r="G671" s="22" t="s">
        <v>2899</v>
      </c>
      <c r="H671" s="9" t="s">
        <v>56</v>
      </c>
      <c r="I671" s="7" t="s">
        <v>869</v>
      </c>
      <c r="J671" s="23" t="s">
        <v>2900</v>
      </c>
      <c r="K671" s="24" t="s">
        <v>2901</v>
      </c>
      <c r="L671" s="22" t="s">
        <v>2902</v>
      </c>
      <c r="M671" s="25"/>
      <c r="N671" s="25"/>
      <c r="O671" s="26"/>
      <c r="P671" s="27"/>
      <c r="Q671" s="28"/>
      <c r="R671" s="28"/>
      <c r="S671" s="26"/>
    </row>
    <row r="672" customFormat="false" ht="15" hidden="false" customHeight="false" outlineLevel="0" collapsed="false">
      <c r="A672" s="7" t="n">
        <v>668</v>
      </c>
      <c r="B672" s="9" t="s">
        <v>32</v>
      </c>
      <c r="C672" s="22" t="s">
        <v>300</v>
      </c>
      <c r="D672" s="9" t="s">
        <v>2882</v>
      </c>
      <c r="E672" s="9" t="s">
        <v>49</v>
      </c>
      <c r="F672" s="9" t="s">
        <v>99</v>
      </c>
      <c r="G672" s="22" t="s">
        <v>2903</v>
      </c>
      <c r="H672" s="9" t="s">
        <v>55</v>
      </c>
      <c r="I672" s="7"/>
      <c r="J672" s="23" t="s">
        <v>2904</v>
      </c>
      <c r="K672" s="24" t="s">
        <v>2905</v>
      </c>
      <c r="L672" s="22" t="s">
        <v>2906</v>
      </c>
      <c r="M672" s="25"/>
      <c r="N672" s="25"/>
      <c r="O672" s="26"/>
      <c r="P672" s="27"/>
      <c r="Q672" s="28"/>
      <c r="R672" s="28"/>
      <c r="S672" s="26"/>
    </row>
    <row r="673" customFormat="false" ht="15" hidden="false" customHeight="false" outlineLevel="0" collapsed="false">
      <c r="A673" s="7" t="n">
        <v>669</v>
      </c>
      <c r="B673" s="9" t="s">
        <v>32</v>
      </c>
      <c r="C673" s="22" t="s">
        <v>300</v>
      </c>
      <c r="D673" s="9" t="s">
        <v>2882</v>
      </c>
      <c r="E673" s="9" t="s">
        <v>49</v>
      </c>
      <c r="F673" s="9" t="s">
        <v>124</v>
      </c>
      <c r="G673" s="22" t="s">
        <v>2907</v>
      </c>
      <c r="H673" s="9" t="s">
        <v>56</v>
      </c>
      <c r="I673" s="7" t="s">
        <v>869</v>
      </c>
      <c r="J673" s="23" t="s">
        <v>2908</v>
      </c>
      <c r="K673" s="24" t="s">
        <v>2909</v>
      </c>
      <c r="L673" s="22" t="s">
        <v>2910</v>
      </c>
      <c r="M673" s="25"/>
      <c r="N673" s="25"/>
      <c r="O673" s="26"/>
      <c r="P673" s="27"/>
      <c r="Q673" s="28"/>
      <c r="R673" s="28"/>
      <c r="S673" s="26"/>
    </row>
    <row r="674" customFormat="false" ht="15" hidden="false" customHeight="false" outlineLevel="0" collapsed="false">
      <c r="A674" s="7" t="n">
        <v>670</v>
      </c>
      <c r="B674" s="9" t="s">
        <v>32</v>
      </c>
      <c r="C674" s="22" t="s">
        <v>300</v>
      </c>
      <c r="D674" s="9" t="s">
        <v>2882</v>
      </c>
      <c r="E674" s="9" t="s">
        <v>49</v>
      </c>
      <c r="F674" s="9" t="s">
        <v>99</v>
      </c>
      <c r="G674" s="22" t="s">
        <v>2911</v>
      </c>
      <c r="H674" s="9" t="s">
        <v>56</v>
      </c>
      <c r="I674" s="7" t="s">
        <v>869</v>
      </c>
      <c r="J674" s="23" t="s">
        <v>2912</v>
      </c>
      <c r="K674" s="24" t="s">
        <v>2913</v>
      </c>
      <c r="L674" s="22" t="s">
        <v>2914</v>
      </c>
      <c r="M674" s="25"/>
      <c r="N674" s="25"/>
      <c r="O674" s="26"/>
      <c r="P674" s="27"/>
      <c r="Q674" s="28"/>
      <c r="R674" s="28"/>
      <c r="S674" s="26"/>
    </row>
    <row r="675" customFormat="false" ht="15" hidden="false" customHeight="false" outlineLevel="0" collapsed="false">
      <c r="A675" s="7" t="n">
        <v>671</v>
      </c>
      <c r="B675" s="9" t="s">
        <v>32</v>
      </c>
      <c r="C675" s="22" t="s">
        <v>300</v>
      </c>
      <c r="D675" s="9" t="s">
        <v>2915</v>
      </c>
      <c r="E675" s="9" t="s">
        <v>49</v>
      </c>
      <c r="F675" s="9" t="s">
        <v>124</v>
      </c>
      <c r="G675" s="22" t="s">
        <v>2916</v>
      </c>
      <c r="H675" s="9" t="s">
        <v>57</v>
      </c>
      <c r="I675" s="7" t="s">
        <v>869</v>
      </c>
      <c r="J675" s="23" t="s">
        <v>2917</v>
      </c>
      <c r="K675" s="24" t="s">
        <v>2918</v>
      </c>
      <c r="L675" s="22" t="s">
        <v>2919</v>
      </c>
      <c r="M675" s="25"/>
      <c r="N675" s="25"/>
      <c r="O675" s="26"/>
      <c r="P675" s="27"/>
      <c r="Q675" s="28"/>
      <c r="R675" s="28"/>
      <c r="S675" s="26"/>
    </row>
    <row r="676" customFormat="false" ht="15" hidden="false" customHeight="false" outlineLevel="0" collapsed="false">
      <c r="A676" s="7" t="n">
        <v>672</v>
      </c>
      <c r="B676" s="9" t="s">
        <v>32</v>
      </c>
      <c r="C676" s="22" t="s">
        <v>300</v>
      </c>
      <c r="D676" s="9" t="s">
        <v>2915</v>
      </c>
      <c r="E676" s="9" t="s">
        <v>326</v>
      </c>
      <c r="F676" s="9" t="s">
        <v>124</v>
      </c>
      <c r="G676" s="22" t="s">
        <v>2920</v>
      </c>
      <c r="H676" s="9" t="s">
        <v>56</v>
      </c>
      <c r="I676" s="7" t="s">
        <v>869</v>
      </c>
      <c r="J676" s="23" t="s">
        <v>2921</v>
      </c>
      <c r="K676" s="24" t="s">
        <v>2922</v>
      </c>
      <c r="L676" s="22" t="s">
        <v>2923</v>
      </c>
      <c r="M676" s="25"/>
      <c r="N676" s="25"/>
      <c r="O676" s="26"/>
      <c r="P676" s="27"/>
      <c r="Q676" s="28"/>
      <c r="R676" s="28"/>
      <c r="S676" s="26"/>
    </row>
    <row r="677" customFormat="false" ht="15" hidden="false" customHeight="false" outlineLevel="0" collapsed="false">
      <c r="A677" s="7" t="n">
        <v>673</v>
      </c>
      <c r="B677" s="9" t="s">
        <v>32</v>
      </c>
      <c r="C677" s="22" t="s">
        <v>300</v>
      </c>
      <c r="D677" s="9" t="s">
        <v>2915</v>
      </c>
      <c r="E677" s="9" t="s">
        <v>326</v>
      </c>
      <c r="F677" s="9" t="s">
        <v>99</v>
      </c>
      <c r="G677" s="22" t="s">
        <v>2924</v>
      </c>
      <c r="H677" s="9" t="s">
        <v>57</v>
      </c>
      <c r="I677" s="7" t="s">
        <v>869</v>
      </c>
      <c r="J677" s="23" t="s">
        <v>2925</v>
      </c>
      <c r="K677" s="24" t="s">
        <v>2926</v>
      </c>
      <c r="L677" s="22" t="s">
        <v>2927</v>
      </c>
      <c r="M677" s="25"/>
      <c r="N677" s="25"/>
      <c r="O677" s="26"/>
      <c r="P677" s="27"/>
      <c r="Q677" s="28"/>
      <c r="R677" s="28"/>
      <c r="S677" s="26"/>
    </row>
    <row r="678" customFormat="false" ht="15" hidden="false" customHeight="false" outlineLevel="0" collapsed="false">
      <c r="A678" s="7" t="n">
        <v>674</v>
      </c>
      <c r="B678" s="9" t="s">
        <v>32</v>
      </c>
      <c r="C678" s="22" t="s">
        <v>2928</v>
      </c>
      <c r="D678" s="9" t="s">
        <v>2929</v>
      </c>
      <c r="E678" s="9" t="s">
        <v>47</v>
      </c>
      <c r="F678" s="9" t="s">
        <v>99</v>
      </c>
      <c r="G678" s="22" t="s">
        <v>2930</v>
      </c>
      <c r="H678" s="9" t="s">
        <v>57</v>
      </c>
      <c r="I678" s="7"/>
      <c r="J678" s="23" t="s">
        <v>2931</v>
      </c>
      <c r="K678" s="24" t="s">
        <v>2932</v>
      </c>
      <c r="L678" s="22" t="s">
        <v>2933</v>
      </c>
      <c r="M678" s="25"/>
      <c r="N678" s="25"/>
      <c r="O678" s="26"/>
      <c r="P678" s="27"/>
      <c r="Q678" s="28"/>
      <c r="R678" s="28"/>
      <c r="S678" s="26"/>
    </row>
    <row r="679" customFormat="false" ht="15" hidden="false" customHeight="false" outlineLevel="0" collapsed="false">
      <c r="A679" s="7" t="n">
        <v>675</v>
      </c>
      <c r="B679" s="9" t="s">
        <v>32</v>
      </c>
      <c r="C679" s="22" t="s">
        <v>2934</v>
      </c>
      <c r="D679" s="9" t="s">
        <v>2935</v>
      </c>
      <c r="E679" s="9" t="s">
        <v>47</v>
      </c>
      <c r="F679" s="9" t="s">
        <v>99</v>
      </c>
      <c r="G679" s="22" t="s">
        <v>2936</v>
      </c>
      <c r="H679" s="9" t="s">
        <v>57</v>
      </c>
      <c r="I679" s="7"/>
      <c r="J679" s="23" t="s">
        <v>2937</v>
      </c>
      <c r="K679" s="24" t="s">
        <v>2938</v>
      </c>
      <c r="L679" s="22" t="s">
        <v>2939</v>
      </c>
      <c r="M679" s="25"/>
      <c r="N679" s="25"/>
      <c r="O679" s="26"/>
      <c r="P679" s="27"/>
      <c r="Q679" s="28"/>
      <c r="R679" s="28"/>
      <c r="S679" s="26"/>
    </row>
    <row r="680" customFormat="false" ht="15" hidden="false" customHeight="false" outlineLevel="0" collapsed="false">
      <c r="A680" s="7" t="n">
        <v>676</v>
      </c>
      <c r="B680" s="9" t="s">
        <v>32</v>
      </c>
      <c r="C680" s="22" t="s">
        <v>2940</v>
      </c>
      <c r="D680" s="9" t="s">
        <v>2941</v>
      </c>
      <c r="E680" s="9" t="s">
        <v>47</v>
      </c>
      <c r="F680" s="9" t="s">
        <v>99</v>
      </c>
      <c r="G680" s="22" t="s">
        <v>2942</v>
      </c>
      <c r="H680" s="9" t="s">
        <v>57</v>
      </c>
      <c r="I680" s="7"/>
      <c r="J680" s="23" t="s">
        <v>2943</v>
      </c>
      <c r="K680" s="24" t="s">
        <v>2944</v>
      </c>
      <c r="L680" s="22" t="s">
        <v>2945</v>
      </c>
      <c r="M680" s="25"/>
      <c r="N680" s="25"/>
      <c r="O680" s="26"/>
      <c r="P680" s="27"/>
      <c r="Q680" s="28"/>
      <c r="R680" s="28"/>
      <c r="S680" s="26"/>
    </row>
    <row r="681" customFormat="false" ht="15" hidden="false" customHeight="false" outlineLevel="0" collapsed="false">
      <c r="A681" s="7" t="n">
        <v>677</v>
      </c>
      <c r="B681" s="9" t="s">
        <v>32</v>
      </c>
      <c r="C681" s="22" t="s">
        <v>2946</v>
      </c>
      <c r="D681" s="9" t="s">
        <v>2947</v>
      </c>
      <c r="E681" s="9" t="s">
        <v>47</v>
      </c>
      <c r="F681" s="9" t="s">
        <v>99</v>
      </c>
      <c r="G681" s="22" t="s">
        <v>2948</v>
      </c>
      <c r="H681" s="9" t="s">
        <v>56</v>
      </c>
      <c r="I681" s="7"/>
      <c r="J681" s="23" t="s">
        <v>2949</v>
      </c>
      <c r="K681" s="24" t="s">
        <v>2950</v>
      </c>
      <c r="L681" s="22" t="s">
        <v>2951</v>
      </c>
      <c r="M681" s="25"/>
      <c r="N681" s="25"/>
      <c r="O681" s="26"/>
      <c r="P681" s="27"/>
      <c r="Q681" s="28"/>
      <c r="R681" s="28"/>
      <c r="S681" s="26"/>
    </row>
    <row r="682" customFormat="false" ht="15" hidden="false" customHeight="false" outlineLevel="0" collapsed="false">
      <c r="A682" s="7" t="n">
        <v>678</v>
      </c>
      <c r="B682" s="9" t="s">
        <v>32</v>
      </c>
      <c r="C682" s="22" t="s">
        <v>2946</v>
      </c>
      <c r="D682" s="9" t="s">
        <v>2947</v>
      </c>
      <c r="E682" s="9" t="s">
        <v>48</v>
      </c>
      <c r="F682" s="9" t="s">
        <v>124</v>
      </c>
      <c r="G682" s="22" t="s">
        <v>2952</v>
      </c>
      <c r="H682" s="9" t="s">
        <v>57</v>
      </c>
      <c r="I682" s="7" t="s">
        <v>869</v>
      </c>
      <c r="J682" s="23" t="s">
        <v>2953</v>
      </c>
      <c r="K682" s="24" t="s">
        <v>2954</v>
      </c>
      <c r="L682" s="22" t="s">
        <v>2955</v>
      </c>
      <c r="M682" s="25"/>
      <c r="N682" s="25"/>
      <c r="O682" s="26"/>
      <c r="P682" s="27"/>
      <c r="Q682" s="28"/>
      <c r="R682" s="28"/>
      <c r="S682" s="26"/>
    </row>
    <row r="683" customFormat="false" ht="15" hidden="false" customHeight="false" outlineLevel="0" collapsed="false">
      <c r="A683" s="7" t="n">
        <v>679</v>
      </c>
      <c r="B683" s="9" t="s">
        <v>32</v>
      </c>
      <c r="C683" s="22" t="s">
        <v>2956</v>
      </c>
      <c r="D683" s="9" t="s">
        <v>2877</v>
      </c>
      <c r="E683" s="9" t="s">
        <v>47</v>
      </c>
      <c r="F683" s="9" t="s">
        <v>99</v>
      </c>
      <c r="G683" s="22" t="s">
        <v>2957</v>
      </c>
      <c r="H683" s="9" t="s">
        <v>56</v>
      </c>
      <c r="I683" s="7" t="s">
        <v>869</v>
      </c>
      <c r="J683" s="23" t="s">
        <v>2958</v>
      </c>
      <c r="K683" s="24" t="s">
        <v>2959</v>
      </c>
      <c r="L683" s="22" t="s">
        <v>2960</v>
      </c>
      <c r="M683" s="25"/>
      <c r="N683" s="25"/>
      <c r="O683" s="26"/>
      <c r="P683" s="27"/>
      <c r="Q683" s="28"/>
      <c r="R683" s="28"/>
      <c r="S683" s="26"/>
    </row>
    <row r="684" customFormat="false" ht="15" hidden="false" customHeight="false" outlineLevel="0" collapsed="false">
      <c r="A684" s="7" t="n">
        <v>680</v>
      </c>
      <c r="B684" s="9" t="s">
        <v>32</v>
      </c>
      <c r="C684" s="22" t="s">
        <v>2956</v>
      </c>
      <c r="D684" s="9" t="s">
        <v>2877</v>
      </c>
      <c r="E684" s="9" t="s">
        <v>47</v>
      </c>
      <c r="F684" s="9" t="s">
        <v>99</v>
      </c>
      <c r="G684" s="22" t="s">
        <v>2961</v>
      </c>
      <c r="H684" s="9" t="s">
        <v>56</v>
      </c>
      <c r="I684" s="7" t="s">
        <v>869</v>
      </c>
      <c r="J684" s="23" t="s">
        <v>2962</v>
      </c>
      <c r="K684" s="24" t="s">
        <v>2963</v>
      </c>
      <c r="L684" s="22" t="s">
        <v>2964</v>
      </c>
      <c r="M684" s="25"/>
      <c r="N684" s="25"/>
      <c r="O684" s="26"/>
      <c r="P684" s="27"/>
      <c r="Q684" s="28"/>
      <c r="R684" s="28"/>
      <c r="S684" s="26"/>
    </row>
    <row r="685" customFormat="false" ht="15" hidden="false" customHeight="false" outlineLevel="0" collapsed="false">
      <c r="A685" s="7" t="n">
        <v>681</v>
      </c>
      <c r="B685" s="9" t="s">
        <v>32</v>
      </c>
      <c r="C685" s="22" t="s">
        <v>2956</v>
      </c>
      <c r="D685" s="9" t="s">
        <v>2877</v>
      </c>
      <c r="E685" s="9" t="s">
        <v>47</v>
      </c>
      <c r="F685" s="9" t="s">
        <v>99</v>
      </c>
      <c r="G685" s="22" t="s">
        <v>2965</v>
      </c>
      <c r="H685" s="9" t="s">
        <v>56</v>
      </c>
      <c r="I685" s="7" t="s">
        <v>869</v>
      </c>
      <c r="J685" s="23" t="s">
        <v>2966</v>
      </c>
      <c r="K685" s="24" t="s">
        <v>2967</v>
      </c>
      <c r="L685" s="22" t="s">
        <v>2968</v>
      </c>
      <c r="M685" s="25"/>
      <c r="N685" s="25"/>
      <c r="O685" s="26"/>
      <c r="P685" s="27"/>
      <c r="Q685" s="28"/>
      <c r="R685" s="28"/>
      <c r="S685" s="26"/>
    </row>
    <row r="686" customFormat="false" ht="15" hidden="false" customHeight="false" outlineLevel="0" collapsed="false">
      <c r="A686" s="7" t="n">
        <v>682</v>
      </c>
      <c r="B686" s="9" t="s">
        <v>32</v>
      </c>
      <c r="C686" s="22" t="s">
        <v>2956</v>
      </c>
      <c r="D686" s="9" t="s">
        <v>2877</v>
      </c>
      <c r="E686" s="9" t="s">
        <v>47</v>
      </c>
      <c r="F686" s="9" t="s">
        <v>99</v>
      </c>
      <c r="G686" s="22" t="s">
        <v>2969</v>
      </c>
      <c r="H686" s="9" t="s">
        <v>56</v>
      </c>
      <c r="I686" s="7" t="s">
        <v>869</v>
      </c>
      <c r="J686" s="23" t="s">
        <v>2970</v>
      </c>
      <c r="K686" s="24" t="s">
        <v>2971</v>
      </c>
      <c r="L686" s="22" t="s">
        <v>2972</v>
      </c>
      <c r="M686" s="25"/>
      <c r="N686" s="25"/>
      <c r="O686" s="26"/>
      <c r="P686" s="27"/>
      <c r="Q686" s="28"/>
      <c r="R686" s="28"/>
      <c r="S686" s="26"/>
    </row>
    <row r="687" customFormat="false" ht="15" hidden="false" customHeight="false" outlineLevel="0" collapsed="false">
      <c r="A687" s="7" t="n">
        <v>683</v>
      </c>
      <c r="B687" s="9" t="s">
        <v>32</v>
      </c>
      <c r="C687" s="22" t="s">
        <v>2956</v>
      </c>
      <c r="D687" s="9" t="s">
        <v>2877</v>
      </c>
      <c r="E687" s="9" t="s">
        <v>48</v>
      </c>
      <c r="F687" s="9" t="s">
        <v>99</v>
      </c>
      <c r="G687" s="22" t="s">
        <v>2973</v>
      </c>
      <c r="H687" s="9" t="s">
        <v>57</v>
      </c>
      <c r="I687" s="7"/>
      <c r="J687" s="23" t="s">
        <v>2974</v>
      </c>
      <c r="K687" s="24" t="s">
        <v>2975</v>
      </c>
      <c r="L687" s="22" t="s">
        <v>2976</v>
      </c>
      <c r="M687" s="25"/>
      <c r="N687" s="25"/>
      <c r="O687" s="26"/>
      <c r="P687" s="27"/>
      <c r="Q687" s="28"/>
      <c r="R687" s="28"/>
      <c r="S687" s="26"/>
    </row>
    <row r="688" customFormat="false" ht="15" hidden="false" customHeight="false" outlineLevel="0" collapsed="false">
      <c r="A688" s="7" t="n">
        <v>684</v>
      </c>
      <c r="B688" s="9" t="s">
        <v>32</v>
      </c>
      <c r="C688" s="22" t="s">
        <v>2977</v>
      </c>
      <c r="D688" s="9" t="s">
        <v>2882</v>
      </c>
      <c r="E688" s="9" t="s">
        <v>47</v>
      </c>
      <c r="F688" s="9" t="s">
        <v>99</v>
      </c>
      <c r="G688" s="22" t="s">
        <v>2978</v>
      </c>
      <c r="H688" s="9" t="s">
        <v>56</v>
      </c>
      <c r="I688" s="7" t="s">
        <v>869</v>
      </c>
      <c r="J688" s="23" t="s">
        <v>2979</v>
      </c>
      <c r="K688" s="24" t="s">
        <v>2980</v>
      </c>
      <c r="L688" s="22" t="s">
        <v>2981</v>
      </c>
      <c r="M688" s="25"/>
      <c r="N688" s="25"/>
      <c r="O688" s="26"/>
      <c r="P688" s="27"/>
      <c r="Q688" s="28"/>
      <c r="R688" s="28"/>
      <c r="S688" s="26"/>
    </row>
    <row r="689" customFormat="false" ht="15" hidden="false" customHeight="false" outlineLevel="0" collapsed="false">
      <c r="A689" s="7" t="n">
        <v>685</v>
      </c>
      <c r="B689" s="9" t="s">
        <v>32</v>
      </c>
      <c r="C689" s="22" t="s">
        <v>2977</v>
      </c>
      <c r="D689" s="9" t="s">
        <v>2882</v>
      </c>
      <c r="E689" s="9" t="s">
        <v>47</v>
      </c>
      <c r="F689" s="9" t="s">
        <v>99</v>
      </c>
      <c r="G689" s="22" t="s">
        <v>2982</v>
      </c>
      <c r="H689" s="9" t="s">
        <v>56</v>
      </c>
      <c r="I689" s="7" t="s">
        <v>869</v>
      </c>
      <c r="J689" s="23" t="s">
        <v>2983</v>
      </c>
      <c r="K689" s="24" t="s">
        <v>2984</v>
      </c>
      <c r="L689" s="22" t="s">
        <v>2985</v>
      </c>
      <c r="M689" s="25"/>
      <c r="N689" s="25"/>
      <c r="O689" s="26"/>
      <c r="P689" s="27"/>
      <c r="Q689" s="28"/>
      <c r="R689" s="28"/>
      <c r="S689" s="26"/>
    </row>
    <row r="690" customFormat="false" ht="15" hidden="false" customHeight="false" outlineLevel="0" collapsed="false">
      <c r="A690" s="7" t="n">
        <v>686</v>
      </c>
      <c r="B690" s="9" t="s">
        <v>32</v>
      </c>
      <c r="C690" s="22" t="s">
        <v>2977</v>
      </c>
      <c r="D690" s="9" t="s">
        <v>2882</v>
      </c>
      <c r="E690" s="9" t="s">
        <v>47</v>
      </c>
      <c r="F690" s="9" t="s">
        <v>99</v>
      </c>
      <c r="G690" s="22" t="s">
        <v>2986</v>
      </c>
      <c r="H690" s="9" t="s">
        <v>56</v>
      </c>
      <c r="I690" s="7" t="s">
        <v>869</v>
      </c>
      <c r="J690" s="23" t="s">
        <v>2987</v>
      </c>
      <c r="K690" s="24" t="s">
        <v>2988</v>
      </c>
      <c r="L690" s="22" t="s">
        <v>2989</v>
      </c>
      <c r="M690" s="25"/>
      <c r="N690" s="25"/>
      <c r="O690" s="26"/>
      <c r="P690" s="27"/>
      <c r="Q690" s="28"/>
      <c r="R690" s="28"/>
      <c r="S690" s="26"/>
    </row>
    <row r="691" customFormat="false" ht="15" hidden="false" customHeight="false" outlineLevel="0" collapsed="false">
      <c r="A691" s="7" t="n">
        <v>687</v>
      </c>
      <c r="B691" s="9" t="s">
        <v>32</v>
      </c>
      <c r="C691" s="22" t="s">
        <v>2977</v>
      </c>
      <c r="D691" s="9" t="s">
        <v>2882</v>
      </c>
      <c r="E691" s="9" t="s">
        <v>47</v>
      </c>
      <c r="F691" s="9" t="s">
        <v>99</v>
      </c>
      <c r="G691" s="22" t="s">
        <v>2990</v>
      </c>
      <c r="H691" s="9" t="s">
        <v>57</v>
      </c>
      <c r="I691" s="7" t="s">
        <v>869</v>
      </c>
      <c r="J691" s="23" t="s">
        <v>2991</v>
      </c>
      <c r="K691" s="24" t="s">
        <v>2992</v>
      </c>
      <c r="L691" s="22" t="s">
        <v>2993</v>
      </c>
      <c r="M691" s="25"/>
      <c r="N691" s="25"/>
      <c r="O691" s="26"/>
      <c r="P691" s="27"/>
      <c r="Q691" s="28"/>
      <c r="R691" s="28"/>
      <c r="S691" s="26"/>
    </row>
    <row r="692" customFormat="false" ht="15" hidden="false" customHeight="false" outlineLevel="0" collapsed="false">
      <c r="A692" s="7" t="n">
        <v>688</v>
      </c>
      <c r="B692" s="9" t="s">
        <v>32</v>
      </c>
      <c r="C692" s="22" t="s">
        <v>2977</v>
      </c>
      <c r="D692" s="9" t="s">
        <v>2882</v>
      </c>
      <c r="E692" s="9" t="s">
        <v>47</v>
      </c>
      <c r="F692" s="9" t="s">
        <v>99</v>
      </c>
      <c r="G692" s="22" t="s">
        <v>2994</v>
      </c>
      <c r="H692" s="9" t="s">
        <v>56</v>
      </c>
      <c r="I692" s="7"/>
      <c r="J692" s="23" t="s">
        <v>2995</v>
      </c>
      <c r="K692" s="24" t="s">
        <v>2996</v>
      </c>
      <c r="L692" s="22" t="s">
        <v>2997</v>
      </c>
      <c r="M692" s="25"/>
      <c r="N692" s="25"/>
      <c r="O692" s="26"/>
      <c r="P692" s="27"/>
      <c r="Q692" s="28"/>
      <c r="R692" s="28"/>
      <c r="S692" s="26"/>
    </row>
    <row r="693" customFormat="false" ht="15" hidden="false" customHeight="false" outlineLevel="0" collapsed="false">
      <c r="A693" s="7" t="n">
        <v>689</v>
      </c>
      <c r="B693" s="9" t="s">
        <v>32</v>
      </c>
      <c r="C693" s="22" t="s">
        <v>2977</v>
      </c>
      <c r="D693" s="9" t="s">
        <v>2882</v>
      </c>
      <c r="E693" s="9" t="s">
        <v>47</v>
      </c>
      <c r="F693" s="9" t="s">
        <v>99</v>
      </c>
      <c r="G693" s="22" t="s">
        <v>2998</v>
      </c>
      <c r="H693" s="9" t="s">
        <v>57</v>
      </c>
      <c r="I693" s="7"/>
      <c r="J693" s="23" t="s">
        <v>2999</v>
      </c>
      <c r="K693" s="24" t="s">
        <v>3000</v>
      </c>
      <c r="L693" s="22" t="s">
        <v>3001</v>
      </c>
      <c r="M693" s="25"/>
      <c r="N693" s="25"/>
      <c r="O693" s="26"/>
      <c r="P693" s="27"/>
      <c r="Q693" s="28"/>
      <c r="R693" s="28"/>
      <c r="S693" s="26"/>
    </row>
    <row r="694" customFormat="false" ht="15" hidden="false" customHeight="false" outlineLevel="0" collapsed="false">
      <c r="A694" s="7" t="n">
        <v>690</v>
      </c>
      <c r="B694" s="9" t="s">
        <v>32</v>
      </c>
      <c r="C694" s="22" t="s">
        <v>2977</v>
      </c>
      <c r="D694" s="9" t="s">
        <v>2882</v>
      </c>
      <c r="E694" s="9" t="s">
        <v>47</v>
      </c>
      <c r="F694" s="9" t="s">
        <v>99</v>
      </c>
      <c r="G694" s="22" t="s">
        <v>3002</v>
      </c>
      <c r="H694" s="9" t="s">
        <v>56</v>
      </c>
      <c r="I694" s="7" t="s">
        <v>869</v>
      </c>
      <c r="J694" s="23" t="s">
        <v>3003</v>
      </c>
      <c r="K694" s="24" t="s">
        <v>3004</v>
      </c>
      <c r="L694" s="22" t="s">
        <v>3005</v>
      </c>
      <c r="M694" s="25"/>
      <c r="N694" s="25"/>
      <c r="O694" s="26"/>
      <c r="P694" s="27"/>
      <c r="Q694" s="28"/>
      <c r="R694" s="28"/>
      <c r="S694" s="26"/>
    </row>
    <row r="695" customFormat="false" ht="15" hidden="false" customHeight="false" outlineLevel="0" collapsed="false">
      <c r="A695" s="7" t="n">
        <v>691</v>
      </c>
      <c r="B695" s="9" t="s">
        <v>32</v>
      </c>
      <c r="C695" s="22" t="s">
        <v>2977</v>
      </c>
      <c r="D695" s="9" t="s">
        <v>2882</v>
      </c>
      <c r="E695" s="9" t="s">
        <v>47</v>
      </c>
      <c r="F695" s="9" t="s">
        <v>99</v>
      </c>
      <c r="G695" s="22" t="s">
        <v>3006</v>
      </c>
      <c r="H695" s="9" t="s">
        <v>56</v>
      </c>
      <c r="I695" s="7"/>
      <c r="J695" s="23" t="s">
        <v>3007</v>
      </c>
      <c r="K695" s="24" t="s">
        <v>3008</v>
      </c>
      <c r="L695" s="22" t="s">
        <v>3009</v>
      </c>
      <c r="M695" s="25"/>
      <c r="N695" s="25"/>
      <c r="O695" s="26"/>
      <c r="P695" s="27"/>
      <c r="Q695" s="28"/>
      <c r="R695" s="28"/>
      <c r="S695" s="26"/>
    </row>
    <row r="696" customFormat="false" ht="15" hidden="false" customHeight="false" outlineLevel="0" collapsed="false">
      <c r="A696" s="7" t="n">
        <v>692</v>
      </c>
      <c r="B696" s="9" t="s">
        <v>32</v>
      </c>
      <c r="C696" s="22" t="s">
        <v>2977</v>
      </c>
      <c r="D696" s="9" t="s">
        <v>2882</v>
      </c>
      <c r="E696" s="9" t="s">
        <v>48</v>
      </c>
      <c r="F696" s="9" t="s">
        <v>99</v>
      </c>
      <c r="G696" s="22" t="s">
        <v>3010</v>
      </c>
      <c r="H696" s="9" t="s">
        <v>57</v>
      </c>
      <c r="I696" s="7" t="s">
        <v>869</v>
      </c>
      <c r="J696" s="23" t="s">
        <v>3011</v>
      </c>
      <c r="K696" s="24" t="s">
        <v>3012</v>
      </c>
      <c r="L696" s="22" t="s">
        <v>3013</v>
      </c>
      <c r="M696" s="25"/>
      <c r="N696" s="25"/>
      <c r="O696" s="26"/>
      <c r="P696" s="27"/>
      <c r="Q696" s="28"/>
      <c r="R696" s="28"/>
      <c r="S696" s="26"/>
    </row>
    <row r="697" customFormat="false" ht="15" hidden="false" customHeight="false" outlineLevel="0" collapsed="false">
      <c r="A697" s="7" t="n">
        <v>693</v>
      </c>
      <c r="B697" s="9" t="s">
        <v>32</v>
      </c>
      <c r="C697" s="22" t="s">
        <v>3014</v>
      </c>
      <c r="D697" s="9" t="s">
        <v>2915</v>
      </c>
      <c r="E697" s="9" t="s">
        <v>47</v>
      </c>
      <c r="F697" s="9" t="s">
        <v>99</v>
      </c>
      <c r="G697" s="22" t="s">
        <v>3015</v>
      </c>
      <c r="H697" s="9" t="s">
        <v>56</v>
      </c>
      <c r="I697" s="7"/>
      <c r="J697" s="23" t="s">
        <v>3016</v>
      </c>
      <c r="K697" s="24" t="s">
        <v>3017</v>
      </c>
      <c r="L697" s="22" t="s">
        <v>3018</v>
      </c>
      <c r="M697" s="25"/>
      <c r="N697" s="25"/>
      <c r="O697" s="26"/>
      <c r="P697" s="27"/>
      <c r="Q697" s="28"/>
      <c r="R697" s="28"/>
      <c r="S697" s="26"/>
    </row>
    <row r="698" customFormat="false" ht="15" hidden="false" customHeight="false" outlineLevel="0" collapsed="false">
      <c r="A698" s="7" t="n">
        <v>694</v>
      </c>
      <c r="B698" s="9" t="s">
        <v>32</v>
      </c>
      <c r="C698" s="22" t="s">
        <v>3014</v>
      </c>
      <c r="D698" s="9" t="s">
        <v>2915</v>
      </c>
      <c r="E698" s="9" t="s">
        <v>47</v>
      </c>
      <c r="F698" s="9" t="s">
        <v>99</v>
      </c>
      <c r="G698" s="22" t="s">
        <v>3019</v>
      </c>
      <c r="H698" s="9" t="s">
        <v>57</v>
      </c>
      <c r="I698" s="7"/>
      <c r="J698" s="23" t="s">
        <v>3020</v>
      </c>
      <c r="K698" s="24" t="s">
        <v>3021</v>
      </c>
      <c r="L698" s="22" t="s">
        <v>3022</v>
      </c>
      <c r="M698" s="25"/>
      <c r="N698" s="25"/>
      <c r="O698" s="26"/>
      <c r="P698" s="27"/>
      <c r="Q698" s="28"/>
      <c r="R698" s="28"/>
      <c r="S698" s="26"/>
    </row>
    <row r="699" customFormat="false" ht="15" hidden="false" customHeight="false" outlineLevel="0" collapsed="false">
      <c r="A699" s="7" t="n">
        <v>695</v>
      </c>
      <c r="B699" s="9" t="s">
        <v>32</v>
      </c>
      <c r="C699" s="22" t="s">
        <v>3014</v>
      </c>
      <c r="D699" s="9" t="s">
        <v>2915</v>
      </c>
      <c r="E699" s="9" t="s">
        <v>47</v>
      </c>
      <c r="F699" s="9" t="s">
        <v>99</v>
      </c>
      <c r="G699" s="22" t="s">
        <v>3023</v>
      </c>
      <c r="H699" s="9" t="s">
        <v>57</v>
      </c>
      <c r="I699" s="7" t="s">
        <v>869</v>
      </c>
      <c r="J699" s="23" t="s">
        <v>3024</v>
      </c>
      <c r="K699" s="24" t="s">
        <v>3025</v>
      </c>
      <c r="L699" s="22" t="s">
        <v>3026</v>
      </c>
      <c r="M699" s="25"/>
      <c r="N699" s="25"/>
      <c r="O699" s="26"/>
      <c r="P699" s="27"/>
      <c r="Q699" s="28"/>
      <c r="R699" s="28"/>
      <c r="S699" s="26"/>
    </row>
    <row r="700" customFormat="false" ht="15" hidden="false" customHeight="false" outlineLevel="0" collapsed="false">
      <c r="A700" s="7" t="n">
        <v>696</v>
      </c>
      <c r="B700" s="9" t="s">
        <v>32</v>
      </c>
      <c r="C700" s="22" t="s">
        <v>3014</v>
      </c>
      <c r="D700" s="9" t="s">
        <v>2915</v>
      </c>
      <c r="E700" s="9" t="s">
        <v>47</v>
      </c>
      <c r="F700" s="9" t="s">
        <v>99</v>
      </c>
      <c r="G700" s="22" t="s">
        <v>3027</v>
      </c>
      <c r="H700" s="9" t="s">
        <v>56</v>
      </c>
      <c r="I700" s="7"/>
      <c r="J700" s="23" t="s">
        <v>3028</v>
      </c>
      <c r="K700" s="24" t="s">
        <v>3029</v>
      </c>
      <c r="L700" s="22" t="s">
        <v>3030</v>
      </c>
      <c r="M700" s="25"/>
      <c r="N700" s="25"/>
      <c r="O700" s="26"/>
      <c r="P700" s="27"/>
      <c r="Q700" s="28"/>
      <c r="R700" s="28"/>
      <c r="S700" s="26"/>
    </row>
    <row r="701" customFormat="false" ht="15" hidden="false" customHeight="false" outlineLevel="0" collapsed="false">
      <c r="A701" s="7" t="n">
        <v>697</v>
      </c>
      <c r="B701" s="9" t="s">
        <v>32</v>
      </c>
      <c r="C701" s="22" t="s">
        <v>3014</v>
      </c>
      <c r="D701" s="9" t="s">
        <v>2915</v>
      </c>
      <c r="E701" s="9" t="s">
        <v>48</v>
      </c>
      <c r="F701" s="9" t="s">
        <v>124</v>
      </c>
      <c r="G701" s="22" t="s">
        <v>3031</v>
      </c>
      <c r="H701" s="9" t="s">
        <v>56</v>
      </c>
      <c r="I701" s="7"/>
      <c r="J701" s="23" t="s">
        <v>3032</v>
      </c>
      <c r="K701" s="24" t="s">
        <v>3033</v>
      </c>
      <c r="L701" s="22" t="s">
        <v>3034</v>
      </c>
      <c r="M701" s="25"/>
      <c r="N701" s="25"/>
      <c r="O701" s="26"/>
      <c r="P701" s="27"/>
      <c r="Q701" s="28"/>
      <c r="R701" s="28"/>
      <c r="S701" s="26"/>
    </row>
    <row r="702" customFormat="false" ht="15" hidden="false" customHeight="false" outlineLevel="0" collapsed="false">
      <c r="A702" s="7" t="n">
        <v>698</v>
      </c>
      <c r="B702" s="9" t="s">
        <v>32</v>
      </c>
      <c r="C702" s="22" t="s">
        <v>3014</v>
      </c>
      <c r="D702" s="9" t="s">
        <v>2915</v>
      </c>
      <c r="E702" s="9" t="s">
        <v>48</v>
      </c>
      <c r="F702" s="9" t="s">
        <v>124</v>
      </c>
      <c r="G702" s="22" t="s">
        <v>3035</v>
      </c>
      <c r="H702" s="9" t="s">
        <v>56</v>
      </c>
      <c r="I702" s="7" t="s">
        <v>869</v>
      </c>
      <c r="J702" s="23" t="s">
        <v>3036</v>
      </c>
      <c r="K702" s="24" t="s">
        <v>3037</v>
      </c>
      <c r="L702" s="22" t="s">
        <v>2919</v>
      </c>
      <c r="M702" s="25"/>
      <c r="N702" s="25"/>
      <c r="O702" s="26"/>
      <c r="P702" s="27"/>
      <c r="Q702" s="28"/>
      <c r="R702" s="28"/>
      <c r="S702" s="26"/>
    </row>
    <row r="703" customFormat="false" ht="15" hidden="false" customHeight="false" outlineLevel="0" collapsed="false">
      <c r="A703" s="7" t="n">
        <v>699</v>
      </c>
      <c r="B703" s="9" t="s">
        <v>34</v>
      </c>
      <c r="C703" s="22" t="s">
        <v>3038</v>
      </c>
      <c r="D703" s="9" t="s">
        <v>3039</v>
      </c>
      <c r="E703" s="9" t="s">
        <v>47</v>
      </c>
      <c r="F703" s="9" t="s">
        <v>99</v>
      </c>
      <c r="G703" s="22" t="s">
        <v>2012</v>
      </c>
      <c r="H703" s="9" t="s">
        <v>56</v>
      </c>
      <c r="I703" s="7"/>
      <c r="J703" s="23" t="s">
        <v>3040</v>
      </c>
      <c r="K703" s="24" t="s">
        <v>3041</v>
      </c>
      <c r="L703" s="22" t="s">
        <v>3042</v>
      </c>
      <c r="M703" s="25"/>
      <c r="N703" s="25"/>
      <c r="O703" s="26"/>
      <c r="P703" s="27"/>
      <c r="Q703" s="28"/>
      <c r="R703" s="28"/>
      <c r="S703" s="26"/>
    </row>
    <row r="704" customFormat="false" ht="15" hidden="false" customHeight="false" outlineLevel="0" collapsed="false">
      <c r="A704" s="7" t="n">
        <v>700</v>
      </c>
      <c r="B704" s="9" t="s">
        <v>34</v>
      </c>
      <c r="C704" s="22" t="s">
        <v>3038</v>
      </c>
      <c r="D704" s="9" t="s">
        <v>3039</v>
      </c>
      <c r="E704" s="9" t="s">
        <v>47</v>
      </c>
      <c r="F704" s="9" t="s">
        <v>99</v>
      </c>
      <c r="G704" s="22" t="s">
        <v>3043</v>
      </c>
      <c r="H704" s="9" t="s">
        <v>56</v>
      </c>
      <c r="I704" s="7" t="s">
        <v>869</v>
      </c>
      <c r="J704" s="23" t="s">
        <v>3044</v>
      </c>
      <c r="K704" s="24" t="s">
        <v>3045</v>
      </c>
      <c r="L704" s="22" t="s">
        <v>3046</v>
      </c>
      <c r="M704" s="25"/>
      <c r="N704" s="25"/>
      <c r="O704" s="26"/>
      <c r="P704" s="27"/>
      <c r="Q704" s="28"/>
      <c r="R704" s="28"/>
      <c r="S704" s="26"/>
    </row>
    <row r="705" customFormat="false" ht="15" hidden="false" customHeight="false" outlineLevel="0" collapsed="false">
      <c r="A705" s="7" t="n">
        <v>701</v>
      </c>
      <c r="B705" s="9" t="s">
        <v>34</v>
      </c>
      <c r="C705" s="22" t="s">
        <v>3038</v>
      </c>
      <c r="D705" s="9" t="s">
        <v>3039</v>
      </c>
      <c r="E705" s="9" t="s">
        <v>47</v>
      </c>
      <c r="F705" s="9" t="s">
        <v>99</v>
      </c>
      <c r="G705" s="22" t="s">
        <v>3047</v>
      </c>
      <c r="H705" s="9" t="s">
        <v>56</v>
      </c>
      <c r="I705" s="7"/>
      <c r="J705" s="23" t="s">
        <v>3048</v>
      </c>
      <c r="K705" s="24" t="s">
        <v>3049</v>
      </c>
      <c r="L705" s="22" t="s">
        <v>3050</v>
      </c>
      <c r="M705" s="25"/>
      <c r="N705" s="25"/>
      <c r="O705" s="26"/>
      <c r="P705" s="27"/>
      <c r="Q705" s="28"/>
      <c r="R705" s="28"/>
      <c r="S705" s="26"/>
    </row>
    <row r="706" customFormat="false" ht="15" hidden="false" customHeight="false" outlineLevel="0" collapsed="false">
      <c r="A706" s="7" t="n">
        <v>702</v>
      </c>
      <c r="B706" s="9" t="s">
        <v>34</v>
      </c>
      <c r="C706" s="22" t="s">
        <v>3038</v>
      </c>
      <c r="D706" s="9" t="s">
        <v>3039</v>
      </c>
      <c r="E706" s="9" t="s">
        <v>48</v>
      </c>
      <c r="F706" s="9" t="s">
        <v>124</v>
      </c>
      <c r="G706" s="22" t="s">
        <v>3051</v>
      </c>
      <c r="H706" s="9" t="s">
        <v>57</v>
      </c>
      <c r="I706" s="7"/>
      <c r="J706" s="23" t="s">
        <v>3052</v>
      </c>
      <c r="K706" s="24" t="s">
        <v>3053</v>
      </c>
      <c r="L706" s="22" t="s">
        <v>3054</v>
      </c>
      <c r="M706" s="25"/>
      <c r="N706" s="25"/>
      <c r="O706" s="26"/>
      <c r="P706" s="27"/>
      <c r="Q706" s="28"/>
      <c r="R706" s="28"/>
      <c r="S706" s="26"/>
    </row>
    <row r="707" customFormat="false" ht="15" hidden="false" customHeight="false" outlineLevel="0" collapsed="false">
      <c r="A707" s="7" t="n">
        <v>703</v>
      </c>
      <c r="B707" s="9" t="s">
        <v>34</v>
      </c>
      <c r="C707" s="22" t="s">
        <v>3038</v>
      </c>
      <c r="D707" s="9" t="s">
        <v>3039</v>
      </c>
      <c r="E707" s="9" t="s">
        <v>48</v>
      </c>
      <c r="F707" s="9" t="s">
        <v>124</v>
      </c>
      <c r="G707" s="22" t="s">
        <v>3055</v>
      </c>
      <c r="H707" s="9" t="s">
        <v>56</v>
      </c>
      <c r="I707" s="7" t="s">
        <v>869</v>
      </c>
      <c r="J707" s="23" t="s">
        <v>3056</v>
      </c>
      <c r="K707" s="24" t="s">
        <v>3057</v>
      </c>
      <c r="L707" s="22" t="s">
        <v>3058</v>
      </c>
      <c r="M707" s="25"/>
      <c r="N707" s="25"/>
      <c r="O707" s="26"/>
      <c r="P707" s="27"/>
      <c r="Q707" s="28"/>
      <c r="R707" s="28"/>
      <c r="S707" s="26"/>
    </row>
    <row r="708" customFormat="false" ht="15" hidden="false" customHeight="false" outlineLevel="0" collapsed="false">
      <c r="A708" s="7" t="n">
        <v>704</v>
      </c>
      <c r="B708" s="9" t="s">
        <v>34</v>
      </c>
      <c r="C708" s="22" t="s">
        <v>300</v>
      </c>
      <c r="D708" s="9" t="s">
        <v>3039</v>
      </c>
      <c r="E708" s="9" t="s">
        <v>49</v>
      </c>
      <c r="F708" s="9" t="s">
        <v>124</v>
      </c>
      <c r="G708" s="22" t="s">
        <v>3059</v>
      </c>
      <c r="H708" s="9" t="s">
        <v>56</v>
      </c>
      <c r="I708" s="7"/>
      <c r="J708" s="23" t="s">
        <v>3060</v>
      </c>
      <c r="K708" s="24" t="s">
        <v>3061</v>
      </c>
      <c r="L708" s="22" t="s">
        <v>3058</v>
      </c>
      <c r="M708" s="25"/>
      <c r="N708" s="25"/>
      <c r="O708" s="26"/>
      <c r="P708" s="27"/>
      <c r="Q708" s="28"/>
      <c r="R708" s="28"/>
      <c r="S708" s="26"/>
    </row>
    <row r="709" customFormat="false" ht="15" hidden="false" customHeight="false" outlineLevel="0" collapsed="false">
      <c r="A709" s="7" t="n">
        <v>705</v>
      </c>
      <c r="B709" s="9" t="s">
        <v>34</v>
      </c>
      <c r="C709" s="22" t="s">
        <v>300</v>
      </c>
      <c r="D709" s="9" t="s">
        <v>3062</v>
      </c>
      <c r="E709" s="9" t="s">
        <v>326</v>
      </c>
      <c r="F709" s="9" t="s">
        <v>99</v>
      </c>
      <c r="G709" s="22" t="s">
        <v>3063</v>
      </c>
      <c r="H709" s="9" t="s">
        <v>57</v>
      </c>
      <c r="I709" s="7"/>
      <c r="J709" s="23" t="s">
        <v>3064</v>
      </c>
      <c r="K709" s="24" t="s">
        <v>3065</v>
      </c>
      <c r="L709" s="22" t="s">
        <v>3066</v>
      </c>
      <c r="M709" s="25"/>
      <c r="N709" s="25"/>
      <c r="O709" s="26"/>
      <c r="P709" s="27"/>
      <c r="Q709" s="28"/>
      <c r="R709" s="28"/>
      <c r="S709" s="26"/>
    </row>
    <row r="710" customFormat="false" ht="15" hidden="false" customHeight="false" outlineLevel="0" collapsed="false">
      <c r="A710" s="7" t="n">
        <v>706</v>
      </c>
      <c r="B710" s="9" t="s">
        <v>34</v>
      </c>
      <c r="C710" s="22" t="s">
        <v>300</v>
      </c>
      <c r="D710" s="9" t="s">
        <v>3067</v>
      </c>
      <c r="E710" s="9" t="s">
        <v>49</v>
      </c>
      <c r="F710" s="9" t="s">
        <v>124</v>
      </c>
      <c r="G710" s="22" t="s">
        <v>3068</v>
      </c>
      <c r="H710" s="9" t="s">
        <v>56</v>
      </c>
      <c r="I710" s="7" t="s">
        <v>869</v>
      </c>
      <c r="J710" s="23" t="s">
        <v>3069</v>
      </c>
      <c r="K710" s="24" t="s">
        <v>3070</v>
      </c>
      <c r="L710" s="22" t="s">
        <v>3071</v>
      </c>
      <c r="M710" s="25"/>
      <c r="N710" s="25"/>
      <c r="O710" s="26"/>
      <c r="P710" s="27"/>
      <c r="Q710" s="28"/>
      <c r="R710" s="28"/>
      <c r="S710" s="29" t="s">
        <v>3072</v>
      </c>
    </row>
    <row r="711" customFormat="false" ht="15" hidden="false" customHeight="false" outlineLevel="0" collapsed="false">
      <c r="A711" s="7" t="n">
        <v>707</v>
      </c>
      <c r="B711" s="9" t="s">
        <v>34</v>
      </c>
      <c r="C711" s="22" t="s">
        <v>300</v>
      </c>
      <c r="D711" s="9" t="s">
        <v>3067</v>
      </c>
      <c r="E711" s="9" t="s">
        <v>49</v>
      </c>
      <c r="F711" s="9" t="s">
        <v>124</v>
      </c>
      <c r="G711" s="22" t="s">
        <v>3073</v>
      </c>
      <c r="H711" s="9" t="s">
        <v>57</v>
      </c>
      <c r="I711" s="7"/>
      <c r="J711" s="23" t="s">
        <v>3074</v>
      </c>
      <c r="K711" s="24" t="s">
        <v>3075</v>
      </c>
      <c r="L711" s="22" t="s">
        <v>3076</v>
      </c>
      <c r="M711" s="25"/>
      <c r="N711" s="25"/>
      <c r="O711" s="26"/>
      <c r="P711" s="27"/>
      <c r="Q711" s="28"/>
      <c r="R711" s="28"/>
      <c r="S711" s="26"/>
    </row>
    <row r="712" customFormat="false" ht="15" hidden="false" customHeight="false" outlineLevel="0" collapsed="false">
      <c r="A712" s="7" t="n">
        <v>708</v>
      </c>
      <c r="B712" s="9" t="s">
        <v>34</v>
      </c>
      <c r="C712" s="22" t="s">
        <v>300</v>
      </c>
      <c r="D712" s="9" t="s">
        <v>3077</v>
      </c>
      <c r="E712" s="9" t="s">
        <v>49</v>
      </c>
      <c r="F712" s="9" t="s">
        <v>124</v>
      </c>
      <c r="G712" s="22" t="s">
        <v>3078</v>
      </c>
      <c r="H712" s="9" t="s">
        <v>57</v>
      </c>
      <c r="I712" s="7"/>
      <c r="J712" s="23" t="s">
        <v>3079</v>
      </c>
      <c r="K712" s="24" t="s">
        <v>3080</v>
      </c>
      <c r="L712" s="22" t="s">
        <v>3081</v>
      </c>
      <c r="M712" s="25"/>
      <c r="N712" s="25"/>
      <c r="O712" s="26"/>
      <c r="P712" s="27"/>
      <c r="Q712" s="28"/>
      <c r="R712" s="28"/>
      <c r="S712" s="26"/>
    </row>
    <row r="713" customFormat="false" ht="15" hidden="false" customHeight="false" outlineLevel="0" collapsed="false">
      <c r="A713" s="7" t="n">
        <v>709</v>
      </c>
      <c r="B713" s="9" t="s">
        <v>34</v>
      </c>
      <c r="C713" s="22" t="s">
        <v>300</v>
      </c>
      <c r="D713" s="9" t="s">
        <v>3082</v>
      </c>
      <c r="E713" s="9" t="s">
        <v>49</v>
      </c>
      <c r="F713" s="9" t="s">
        <v>99</v>
      </c>
      <c r="G713" s="22" t="s">
        <v>3083</v>
      </c>
      <c r="H713" s="9" t="s">
        <v>57</v>
      </c>
      <c r="I713" s="7"/>
      <c r="J713" s="23" t="s">
        <v>3084</v>
      </c>
      <c r="K713" s="24" t="s">
        <v>3085</v>
      </c>
      <c r="L713" s="22" t="s">
        <v>3086</v>
      </c>
      <c r="M713" s="25"/>
      <c r="N713" s="25"/>
      <c r="O713" s="26"/>
      <c r="P713" s="27"/>
      <c r="Q713" s="28"/>
      <c r="R713" s="28"/>
      <c r="S713" s="26"/>
    </row>
    <row r="714" customFormat="false" ht="15" hidden="false" customHeight="false" outlineLevel="0" collapsed="false">
      <c r="A714" s="7" t="n">
        <v>710</v>
      </c>
      <c r="B714" s="9" t="s">
        <v>34</v>
      </c>
      <c r="C714" s="22" t="s">
        <v>300</v>
      </c>
      <c r="D714" s="9" t="s">
        <v>3082</v>
      </c>
      <c r="E714" s="9" t="s">
        <v>49</v>
      </c>
      <c r="F714" s="9" t="s">
        <v>124</v>
      </c>
      <c r="G714" s="22" t="s">
        <v>3087</v>
      </c>
      <c r="H714" s="9" t="s">
        <v>57</v>
      </c>
      <c r="I714" s="7"/>
      <c r="J714" s="23" t="s">
        <v>3088</v>
      </c>
      <c r="K714" s="24" t="s">
        <v>3089</v>
      </c>
      <c r="L714" s="22" t="s">
        <v>3090</v>
      </c>
      <c r="M714" s="25"/>
      <c r="N714" s="25"/>
      <c r="O714" s="26"/>
      <c r="P714" s="27"/>
      <c r="Q714" s="28"/>
      <c r="R714" s="28"/>
      <c r="S714" s="26"/>
    </row>
    <row r="715" customFormat="false" ht="15" hidden="false" customHeight="false" outlineLevel="0" collapsed="false">
      <c r="A715" s="7" t="n">
        <v>711</v>
      </c>
      <c r="B715" s="9" t="s">
        <v>34</v>
      </c>
      <c r="C715" s="22" t="s">
        <v>300</v>
      </c>
      <c r="D715" s="9" t="s">
        <v>3091</v>
      </c>
      <c r="E715" s="9" t="s">
        <v>49</v>
      </c>
      <c r="F715" s="9" t="s">
        <v>124</v>
      </c>
      <c r="G715" s="22" t="s">
        <v>3092</v>
      </c>
      <c r="H715" s="9" t="s">
        <v>56</v>
      </c>
      <c r="I715" s="7" t="s">
        <v>869</v>
      </c>
      <c r="J715" s="23" t="s">
        <v>3093</v>
      </c>
      <c r="K715" s="24" t="s">
        <v>3094</v>
      </c>
      <c r="L715" s="22" t="s">
        <v>3095</v>
      </c>
      <c r="M715" s="25"/>
      <c r="N715" s="25"/>
      <c r="O715" s="26"/>
      <c r="P715" s="27"/>
      <c r="Q715" s="28"/>
      <c r="R715" s="28"/>
      <c r="S715" s="26"/>
    </row>
    <row r="716" customFormat="false" ht="15" hidden="false" customHeight="false" outlineLevel="0" collapsed="false">
      <c r="A716" s="7" t="n">
        <v>712</v>
      </c>
      <c r="B716" s="9" t="s">
        <v>34</v>
      </c>
      <c r="C716" s="22" t="s">
        <v>300</v>
      </c>
      <c r="D716" s="9" t="s">
        <v>3091</v>
      </c>
      <c r="E716" s="9" t="s">
        <v>49</v>
      </c>
      <c r="F716" s="9" t="s">
        <v>124</v>
      </c>
      <c r="G716" s="22" t="s">
        <v>3096</v>
      </c>
      <c r="H716" s="9" t="s">
        <v>56</v>
      </c>
      <c r="I716" s="7"/>
      <c r="J716" s="23" t="s">
        <v>3097</v>
      </c>
      <c r="K716" s="24" t="s">
        <v>3098</v>
      </c>
      <c r="L716" s="22" t="s">
        <v>3099</v>
      </c>
      <c r="M716" s="25"/>
      <c r="N716" s="25"/>
      <c r="O716" s="26"/>
      <c r="P716" s="27"/>
      <c r="Q716" s="28"/>
      <c r="R716" s="28"/>
      <c r="S716" s="26"/>
    </row>
    <row r="717" customFormat="false" ht="15" hidden="false" customHeight="false" outlineLevel="0" collapsed="false">
      <c r="A717" s="7" t="n">
        <v>713</v>
      </c>
      <c r="B717" s="9" t="s">
        <v>34</v>
      </c>
      <c r="C717" s="22" t="s">
        <v>300</v>
      </c>
      <c r="D717" s="9" t="s">
        <v>3091</v>
      </c>
      <c r="E717" s="9" t="s">
        <v>49</v>
      </c>
      <c r="F717" s="9" t="s">
        <v>124</v>
      </c>
      <c r="G717" s="22" t="s">
        <v>3100</v>
      </c>
      <c r="H717" s="9" t="s">
        <v>56</v>
      </c>
      <c r="I717" s="7"/>
      <c r="J717" s="23" t="s">
        <v>3101</v>
      </c>
      <c r="K717" s="24" t="s">
        <v>3102</v>
      </c>
      <c r="L717" s="22" t="s">
        <v>3103</v>
      </c>
      <c r="M717" s="25"/>
      <c r="N717" s="25"/>
      <c r="O717" s="26"/>
      <c r="P717" s="27"/>
      <c r="Q717" s="28"/>
      <c r="R717" s="28"/>
      <c r="S717" s="26"/>
    </row>
    <row r="718" customFormat="false" ht="15" hidden="false" customHeight="false" outlineLevel="0" collapsed="false">
      <c r="A718" s="7" t="n">
        <v>714</v>
      </c>
      <c r="B718" s="9" t="s">
        <v>34</v>
      </c>
      <c r="C718" s="22" t="s">
        <v>300</v>
      </c>
      <c r="D718" s="9" t="s">
        <v>3091</v>
      </c>
      <c r="E718" s="9" t="s">
        <v>49</v>
      </c>
      <c r="F718" s="9" t="s">
        <v>124</v>
      </c>
      <c r="G718" s="22" t="s">
        <v>3104</v>
      </c>
      <c r="H718" s="9" t="s">
        <v>56</v>
      </c>
      <c r="I718" s="7"/>
      <c r="J718" s="23" t="s">
        <v>3105</v>
      </c>
      <c r="K718" s="24" t="s">
        <v>3106</v>
      </c>
      <c r="L718" s="22" t="s">
        <v>3107</v>
      </c>
      <c r="M718" s="25"/>
      <c r="N718" s="25"/>
      <c r="O718" s="26"/>
      <c r="P718" s="27"/>
      <c r="Q718" s="28"/>
      <c r="R718" s="28"/>
      <c r="S718" s="26"/>
    </row>
    <row r="719" customFormat="false" ht="15" hidden="false" customHeight="false" outlineLevel="0" collapsed="false">
      <c r="A719" s="7" t="n">
        <v>715</v>
      </c>
      <c r="B719" s="9" t="s">
        <v>34</v>
      </c>
      <c r="C719" s="22" t="s">
        <v>300</v>
      </c>
      <c r="D719" s="9" t="s">
        <v>3091</v>
      </c>
      <c r="E719" s="9" t="s">
        <v>49</v>
      </c>
      <c r="F719" s="9" t="s">
        <v>124</v>
      </c>
      <c r="G719" s="22" t="s">
        <v>3108</v>
      </c>
      <c r="H719" s="9" t="s">
        <v>56</v>
      </c>
      <c r="I719" s="7" t="s">
        <v>869</v>
      </c>
      <c r="J719" s="23" t="s">
        <v>3109</v>
      </c>
      <c r="K719" s="24" t="s">
        <v>3110</v>
      </c>
      <c r="L719" s="22" t="s">
        <v>3111</v>
      </c>
      <c r="M719" s="25"/>
      <c r="N719" s="25"/>
      <c r="O719" s="26"/>
      <c r="P719" s="27"/>
      <c r="Q719" s="28"/>
      <c r="R719" s="28"/>
      <c r="S719" s="26"/>
    </row>
    <row r="720" customFormat="false" ht="15" hidden="false" customHeight="false" outlineLevel="0" collapsed="false">
      <c r="A720" s="7" t="n">
        <v>716</v>
      </c>
      <c r="B720" s="9" t="s">
        <v>34</v>
      </c>
      <c r="C720" s="22" t="s">
        <v>300</v>
      </c>
      <c r="D720" s="9" t="s">
        <v>3091</v>
      </c>
      <c r="E720" s="9" t="s">
        <v>326</v>
      </c>
      <c r="F720" s="9" t="s">
        <v>99</v>
      </c>
      <c r="G720" s="22" t="s">
        <v>3112</v>
      </c>
      <c r="H720" s="9" t="s">
        <v>56</v>
      </c>
      <c r="I720" s="7" t="s">
        <v>869</v>
      </c>
      <c r="J720" s="23" t="s">
        <v>3113</v>
      </c>
      <c r="K720" s="24" t="s">
        <v>3114</v>
      </c>
      <c r="L720" s="22" t="s">
        <v>3115</v>
      </c>
      <c r="M720" s="25"/>
      <c r="N720" s="25"/>
      <c r="O720" s="26"/>
      <c r="P720" s="27"/>
      <c r="Q720" s="28"/>
      <c r="R720" s="28"/>
      <c r="S720" s="26"/>
    </row>
    <row r="721" customFormat="false" ht="15" hidden="false" customHeight="false" outlineLevel="0" collapsed="false">
      <c r="A721" s="7" t="n">
        <v>717</v>
      </c>
      <c r="B721" s="9" t="s">
        <v>34</v>
      </c>
      <c r="C721" s="22" t="s">
        <v>300</v>
      </c>
      <c r="D721" s="9" t="s">
        <v>3116</v>
      </c>
      <c r="E721" s="9" t="s">
        <v>49</v>
      </c>
      <c r="F721" s="9" t="s">
        <v>124</v>
      </c>
      <c r="G721" s="22" t="s">
        <v>3117</v>
      </c>
      <c r="H721" s="9" t="s">
        <v>56</v>
      </c>
      <c r="I721" s="7" t="s">
        <v>869</v>
      </c>
      <c r="J721" s="23" t="s">
        <v>3118</v>
      </c>
      <c r="K721" s="24" t="s">
        <v>3119</v>
      </c>
      <c r="L721" s="22" t="s">
        <v>3120</v>
      </c>
      <c r="M721" s="25"/>
      <c r="N721" s="25"/>
      <c r="O721" s="26"/>
      <c r="P721" s="27"/>
      <c r="Q721" s="28"/>
      <c r="R721" s="28"/>
      <c r="S721" s="26"/>
    </row>
    <row r="722" customFormat="false" ht="15" hidden="false" customHeight="false" outlineLevel="0" collapsed="false">
      <c r="A722" s="7" t="n">
        <v>718</v>
      </c>
      <c r="B722" s="9" t="s">
        <v>34</v>
      </c>
      <c r="C722" s="22" t="s">
        <v>300</v>
      </c>
      <c r="D722" s="9" t="s">
        <v>3116</v>
      </c>
      <c r="E722" s="9" t="s">
        <v>49</v>
      </c>
      <c r="F722" s="9" t="s">
        <v>124</v>
      </c>
      <c r="G722" s="22" t="s">
        <v>3121</v>
      </c>
      <c r="H722" s="9" t="s">
        <v>56</v>
      </c>
      <c r="I722" s="7" t="s">
        <v>869</v>
      </c>
      <c r="J722" s="23" t="s">
        <v>3122</v>
      </c>
      <c r="K722" s="24" t="s">
        <v>3123</v>
      </c>
      <c r="L722" s="22" t="s">
        <v>3124</v>
      </c>
      <c r="M722" s="25"/>
      <c r="N722" s="25"/>
      <c r="O722" s="26"/>
      <c r="P722" s="27"/>
      <c r="Q722" s="28"/>
      <c r="R722" s="28"/>
      <c r="S722" s="26"/>
    </row>
    <row r="723" customFormat="false" ht="15" hidden="false" customHeight="false" outlineLevel="0" collapsed="false">
      <c r="A723" s="7" t="n">
        <v>719</v>
      </c>
      <c r="B723" s="9" t="s">
        <v>34</v>
      </c>
      <c r="C723" s="22" t="s">
        <v>3125</v>
      </c>
      <c r="D723" s="9" t="s">
        <v>3062</v>
      </c>
      <c r="E723" s="9" t="s">
        <v>47</v>
      </c>
      <c r="F723" s="9" t="s">
        <v>99</v>
      </c>
      <c r="G723" s="22" t="s">
        <v>3126</v>
      </c>
      <c r="H723" s="9" t="s">
        <v>56</v>
      </c>
      <c r="I723" s="7"/>
      <c r="J723" s="23" t="s">
        <v>3127</v>
      </c>
      <c r="K723" s="24" t="s">
        <v>3128</v>
      </c>
      <c r="L723" s="22" t="s">
        <v>3129</v>
      </c>
      <c r="M723" s="25"/>
      <c r="N723" s="25"/>
      <c r="O723" s="26"/>
      <c r="P723" s="27"/>
      <c r="Q723" s="28"/>
      <c r="R723" s="28"/>
      <c r="S723" s="26"/>
    </row>
    <row r="724" customFormat="false" ht="15" hidden="false" customHeight="false" outlineLevel="0" collapsed="false">
      <c r="A724" s="7" t="n">
        <v>720</v>
      </c>
      <c r="B724" s="9" t="s">
        <v>34</v>
      </c>
      <c r="C724" s="22" t="s">
        <v>3125</v>
      </c>
      <c r="D724" s="9" t="s">
        <v>3062</v>
      </c>
      <c r="E724" s="9" t="s">
        <v>47</v>
      </c>
      <c r="F724" s="9" t="s">
        <v>99</v>
      </c>
      <c r="G724" s="22" t="s">
        <v>3130</v>
      </c>
      <c r="H724" s="9" t="s">
        <v>56</v>
      </c>
      <c r="I724" s="7"/>
      <c r="J724" s="23" t="s">
        <v>3131</v>
      </c>
      <c r="K724" s="24" t="s">
        <v>3132</v>
      </c>
      <c r="L724" s="22" t="s">
        <v>3133</v>
      </c>
      <c r="M724" s="25"/>
      <c r="N724" s="25"/>
      <c r="O724" s="26"/>
      <c r="P724" s="27"/>
      <c r="Q724" s="28"/>
      <c r="R724" s="28"/>
      <c r="S724" s="26"/>
    </row>
    <row r="725" customFormat="false" ht="15" hidden="false" customHeight="false" outlineLevel="0" collapsed="false">
      <c r="A725" s="7" t="n">
        <v>721</v>
      </c>
      <c r="B725" s="9" t="s">
        <v>34</v>
      </c>
      <c r="C725" s="22" t="s">
        <v>3125</v>
      </c>
      <c r="D725" s="9" t="s">
        <v>3062</v>
      </c>
      <c r="E725" s="9" t="s">
        <v>47</v>
      </c>
      <c r="F725" s="9" t="s">
        <v>99</v>
      </c>
      <c r="G725" s="22" t="s">
        <v>3134</v>
      </c>
      <c r="H725" s="9" t="s">
        <v>57</v>
      </c>
      <c r="I725" s="7"/>
      <c r="J725" s="23" t="s">
        <v>3135</v>
      </c>
      <c r="K725" s="24" t="s">
        <v>3136</v>
      </c>
      <c r="L725" s="22" t="s">
        <v>3137</v>
      </c>
      <c r="M725" s="25"/>
      <c r="N725" s="25"/>
      <c r="O725" s="26"/>
      <c r="P725" s="27"/>
      <c r="Q725" s="28"/>
      <c r="R725" s="28"/>
      <c r="S725" s="26"/>
    </row>
    <row r="726" customFormat="false" ht="15" hidden="false" customHeight="false" outlineLevel="0" collapsed="false">
      <c r="A726" s="7" t="n">
        <v>722</v>
      </c>
      <c r="B726" s="9" t="s">
        <v>34</v>
      </c>
      <c r="C726" s="22" t="s">
        <v>3125</v>
      </c>
      <c r="D726" s="9" t="s">
        <v>3062</v>
      </c>
      <c r="E726" s="9" t="s">
        <v>47</v>
      </c>
      <c r="F726" s="9" t="s">
        <v>99</v>
      </c>
      <c r="G726" s="22" t="s">
        <v>3138</v>
      </c>
      <c r="H726" s="9" t="s">
        <v>56</v>
      </c>
      <c r="I726" s="7"/>
      <c r="J726" s="23" t="s">
        <v>3139</v>
      </c>
      <c r="K726" s="24" t="s">
        <v>3140</v>
      </c>
      <c r="L726" s="22" t="s">
        <v>3141</v>
      </c>
      <c r="M726" s="25"/>
      <c r="N726" s="25"/>
      <c r="O726" s="26"/>
      <c r="P726" s="27"/>
      <c r="Q726" s="28"/>
      <c r="R726" s="28"/>
      <c r="S726" s="26"/>
    </row>
    <row r="727" customFormat="false" ht="15" hidden="false" customHeight="false" outlineLevel="0" collapsed="false">
      <c r="A727" s="7" t="n">
        <v>723</v>
      </c>
      <c r="B727" s="9" t="s">
        <v>34</v>
      </c>
      <c r="C727" s="22" t="s">
        <v>3125</v>
      </c>
      <c r="D727" s="9" t="s">
        <v>3062</v>
      </c>
      <c r="E727" s="9" t="s">
        <v>47</v>
      </c>
      <c r="F727" s="9" t="s">
        <v>99</v>
      </c>
      <c r="G727" s="22" t="s">
        <v>3142</v>
      </c>
      <c r="H727" s="9" t="s">
        <v>56</v>
      </c>
      <c r="I727" s="7"/>
      <c r="J727" s="23" t="s">
        <v>3143</v>
      </c>
      <c r="K727" s="24" t="s">
        <v>3144</v>
      </c>
      <c r="L727" s="22" t="s">
        <v>3145</v>
      </c>
      <c r="M727" s="25"/>
      <c r="N727" s="25"/>
      <c r="O727" s="26"/>
      <c r="P727" s="27"/>
      <c r="Q727" s="28"/>
      <c r="R727" s="28"/>
      <c r="S727" s="26"/>
    </row>
    <row r="728" customFormat="false" ht="15" hidden="false" customHeight="false" outlineLevel="0" collapsed="false">
      <c r="A728" s="7" t="n">
        <v>724</v>
      </c>
      <c r="B728" s="9" t="s">
        <v>34</v>
      </c>
      <c r="C728" s="22" t="s">
        <v>3125</v>
      </c>
      <c r="D728" s="9" t="s">
        <v>3062</v>
      </c>
      <c r="E728" s="9" t="s">
        <v>47</v>
      </c>
      <c r="F728" s="9" t="s">
        <v>99</v>
      </c>
      <c r="G728" s="22" t="s">
        <v>3146</v>
      </c>
      <c r="H728" s="9" t="s">
        <v>57</v>
      </c>
      <c r="I728" s="7"/>
      <c r="J728" s="23" t="s">
        <v>3147</v>
      </c>
      <c r="K728" s="24" t="s">
        <v>3148</v>
      </c>
      <c r="L728" s="22" t="s">
        <v>3149</v>
      </c>
      <c r="M728" s="25"/>
      <c r="N728" s="25"/>
      <c r="O728" s="26"/>
      <c r="P728" s="27"/>
      <c r="Q728" s="28"/>
      <c r="R728" s="28"/>
      <c r="S728" s="26"/>
    </row>
    <row r="729" customFormat="false" ht="15" hidden="false" customHeight="false" outlineLevel="0" collapsed="false">
      <c r="A729" s="7" t="n">
        <v>725</v>
      </c>
      <c r="B729" s="9" t="s">
        <v>34</v>
      </c>
      <c r="C729" s="22" t="s">
        <v>3125</v>
      </c>
      <c r="D729" s="9" t="s">
        <v>3062</v>
      </c>
      <c r="E729" s="9" t="s">
        <v>47</v>
      </c>
      <c r="F729" s="9" t="s">
        <v>99</v>
      </c>
      <c r="G729" s="22" t="s">
        <v>3150</v>
      </c>
      <c r="H729" s="9" t="s">
        <v>56</v>
      </c>
      <c r="I729" s="7"/>
      <c r="J729" s="23" t="s">
        <v>3151</v>
      </c>
      <c r="K729" s="24" t="s">
        <v>3152</v>
      </c>
      <c r="L729" s="22" t="s">
        <v>3153</v>
      </c>
      <c r="M729" s="25"/>
      <c r="N729" s="25"/>
      <c r="O729" s="26"/>
      <c r="P729" s="27"/>
      <c r="Q729" s="28"/>
      <c r="R729" s="28"/>
      <c r="S729" s="26"/>
    </row>
    <row r="730" customFormat="false" ht="15" hidden="false" customHeight="false" outlineLevel="0" collapsed="false">
      <c r="A730" s="7" t="n">
        <v>726</v>
      </c>
      <c r="B730" s="9" t="s">
        <v>34</v>
      </c>
      <c r="C730" s="22" t="s">
        <v>3125</v>
      </c>
      <c r="D730" s="9" t="s">
        <v>3062</v>
      </c>
      <c r="E730" s="9" t="s">
        <v>48</v>
      </c>
      <c r="F730" s="9" t="s">
        <v>124</v>
      </c>
      <c r="G730" s="22" t="s">
        <v>3154</v>
      </c>
      <c r="H730" s="9" t="s">
        <v>56</v>
      </c>
      <c r="I730" s="7"/>
      <c r="J730" s="23" t="s">
        <v>3155</v>
      </c>
      <c r="K730" s="24" t="s">
        <v>3156</v>
      </c>
      <c r="L730" s="22" t="s">
        <v>3157</v>
      </c>
      <c r="M730" s="25"/>
      <c r="N730" s="25"/>
      <c r="O730" s="26"/>
      <c r="P730" s="27"/>
      <c r="Q730" s="28"/>
      <c r="R730" s="28"/>
      <c r="S730" s="26"/>
    </row>
    <row r="731" customFormat="false" ht="15" hidden="false" customHeight="false" outlineLevel="0" collapsed="false">
      <c r="A731" s="7" t="n">
        <v>727</v>
      </c>
      <c r="B731" s="9" t="s">
        <v>34</v>
      </c>
      <c r="C731" s="22" t="s">
        <v>3158</v>
      </c>
      <c r="D731" s="9" t="s">
        <v>3159</v>
      </c>
      <c r="E731" s="9" t="s">
        <v>47</v>
      </c>
      <c r="F731" s="9" t="s">
        <v>99</v>
      </c>
      <c r="G731" s="22" t="s">
        <v>2957</v>
      </c>
      <c r="H731" s="9" t="s">
        <v>56</v>
      </c>
      <c r="I731" s="7" t="s">
        <v>869</v>
      </c>
      <c r="J731" s="23" t="s">
        <v>3160</v>
      </c>
      <c r="K731" s="24" t="s">
        <v>3161</v>
      </c>
      <c r="L731" s="22" t="s">
        <v>3162</v>
      </c>
      <c r="M731" s="25"/>
      <c r="N731" s="25"/>
      <c r="O731" s="26"/>
      <c r="P731" s="27"/>
      <c r="Q731" s="28"/>
      <c r="R731" s="28"/>
      <c r="S731" s="26"/>
    </row>
    <row r="732" customFormat="false" ht="15" hidden="false" customHeight="false" outlineLevel="0" collapsed="false">
      <c r="A732" s="7" t="n">
        <v>728</v>
      </c>
      <c r="B732" s="9" t="s">
        <v>34</v>
      </c>
      <c r="C732" s="22" t="s">
        <v>3158</v>
      </c>
      <c r="D732" s="9" t="s">
        <v>3159</v>
      </c>
      <c r="E732" s="9" t="s">
        <v>47</v>
      </c>
      <c r="F732" s="9" t="s">
        <v>99</v>
      </c>
      <c r="G732" s="22" t="s">
        <v>3163</v>
      </c>
      <c r="H732" s="9" t="s">
        <v>56</v>
      </c>
      <c r="I732" s="7" t="s">
        <v>869</v>
      </c>
      <c r="J732" s="23" t="s">
        <v>3164</v>
      </c>
      <c r="K732" s="24" t="s">
        <v>3165</v>
      </c>
      <c r="L732" s="22" t="s">
        <v>3166</v>
      </c>
      <c r="M732" s="25"/>
      <c r="N732" s="25"/>
      <c r="O732" s="26"/>
      <c r="P732" s="27"/>
      <c r="Q732" s="28"/>
      <c r="R732" s="28"/>
      <c r="S732" s="26"/>
    </row>
    <row r="733" customFormat="false" ht="15" hidden="false" customHeight="false" outlineLevel="0" collapsed="false">
      <c r="A733" s="7" t="n">
        <v>729</v>
      </c>
      <c r="B733" s="9" t="s">
        <v>34</v>
      </c>
      <c r="C733" s="22" t="s">
        <v>3158</v>
      </c>
      <c r="D733" s="9" t="s">
        <v>3159</v>
      </c>
      <c r="E733" s="9" t="s">
        <v>47</v>
      </c>
      <c r="F733" s="9" t="s">
        <v>99</v>
      </c>
      <c r="G733" s="22" t="s">
        <v>3167</v>
      </c>
      <c r="H733" s="9" t="s">
        <v>57</v>
      </c>
      <c r="I733" s="7"/>
      <c r="J733" s="23" t="s">
        <v>3168</v>
      </c>
      <c r="K733" s="24" t="s">
        <v>3169</v>
      </c>
      <c r="L733" s="22" t="s">
        <v>3170</v>
      </c>
      <c r="M733" s="25"/>
      <c r="N733" s="25"/>
      <c r="O733" s="26"/>
      <c r="P733" s="27"/>
      <c r="Q733" s="28"/>
      <c r="R733" s="28"/>
      <c r="S733" s="26"/>
    </row>
    <row r="734" customFormat="false" ht="15" hidden="false" customHeight="false" outlineLevel="0" collapsed="false">
      <c r="A734" s="7" t="n">
        <v>730</v>
      </c>
      <c r="B734" s="9" t="s">
        <v>34</v>
      </c>
      <c r="C734" s="22" t="s">
        <v>3171</v>
      </c>
      <c r="D734" s="9" t="s">
        <v>3172</v>
      </c>
      <c r="E734" s="9" t="s">
        <v>47</v>
      </c>
      <c r="F734" s="9" t="s">
        <v>99</v>
      </c>
      <c r="G734" s="22" t="s">
        <v>3173</v>
      </c>
      <c r="H734" s="9" t="s">
        <v>56</v>
      </c>
      <c r="I734" s="7"/>
      <c r="J734" s="23" t="s">
        <v>3174</v>
      </c>
      <c r="K734" s="24" t="s">
        <v>3175</v>
      </c>
      <c r="L734" s="22" t="s">
        <v>3176</v>
      </c>
      <c r="M734" s="25"/>
      <c r="N734" s="25"/>
      <c r="O734" s="26"/>
      <c r="P734" s="27"/>
      <c r="Q734" s="28"/>
      <c r="R734" s="28"/>
      <c r="S734" s="26"/>
    </row>
    <row r="735" customFormat="false" ht="15" hidden="false" customHeight="false" outlineLevel="0" collapsed="false">
      <c r="A735" s="7" t="n">
        <v>731</v>
      </c>
      <c r="B735" s="9" t="s">
        <v>34</v>
      </c>
      <c r="C735" s="22" t="s">
        <v>3177</v>
      </c>
      <c r="D735" s="9" t="s">
        <v>3178</v>
      </c>
      <c r="E735" s="9" t="s">
        <v>47</v>
      </c>
      <c r="F735" s="9" t="s">
        <v>99</v>
      </c>
      <c r="G735" s="22" t="s">
        <v>3179</v>
      </c>
      <c r="H735" s="9" t="s">
        <v>56</v>
      </c>
      <c r="I735" s="7"/>
      <c r="J735" s="23" t="s">
        <v>3180</v>
      </c>
      <c r="K735" s="24" t="s">
        <v>3181</v>
      </c>
      <c r="L735" s="22" t="s">
        <v>3182</v>
      </c>
      <c r="M735" s="25"/>
      <c r="N735" s="25"/>
      <c r="O735" s="26"/>
      <c r="P735" s="27"/>
      <c r="Q735" s="28"/>
      <c r="R735" s="28"/>
      <c r="S735" s="26"/>
    </row>
    <row r="736" customFormat="false" ht="15" hidden="false" customHeight="false" outlineLevel="0" collapsed="false">
      <c r="A736" s="7" t="n">
        <v>732</v>
      </c>
      <c r="B736" s="9" t="s">
        <v>34</v>
      </c>
      <c r="C736" s="22" t="s">
        <v>3183</v>
      </c>
      <c r="D736" s="9" t="s">
        <v>3184</v>
      </c>
      <c r="E736" s="9" t="s">
        <v>47</v>
      </c>
      <c r="F736" s="9" t="s">
        <v>99</v>
      </c>
      <c r="G736" s="22" t="s">
        <v>3185</v>
      </c>
      <c r="H736" s="9" t="s">
        <v>56</v>
      </c>
      <c r="I736" s="7"/>
      <c r="J736" s="23" t="s">
        <v>3186</v>
      </c>
      <c r="K736" s="24" t="s">
        <v>3187</v>
      </c>
      <c r="L736" s="22" t="s">
        <v>3188</v>
      </c>
      <c r="M736" s="25"/>
      <c r="N736" s="25"/>
      <c r="O736" s="26"/>
      <c r="P736" s="27"/>
      <c r="Q736" s="28"/>
      <c r="R736" s="28"/>
      <c r="S736" s="26"/>
    </row>
    <row r="737" customFormat="false" ht="15" hidden="false" customHeight="false" outlineLevel="0" collapsed="false">
      <c r="A737" s="7" t="n">
        <v>733</v>
      </c>
      <c r="B737" s="9" t="s">
        <v>34</v>
      </c>
      <c r="C737" s="22" t="s">
        <v>3183</v>
      </c>
      <c r="D737" s="9" t="s">
        <v>3184</v>
      </c>
      <c r="E737" s="9" t="s">
        <v>47</v>
      </c>
      <c r="F737" s="9" t="s">
        <v>99</v>
      </c>
      <c r="G737" s="22" t="s">
        <v>3189</v>
      </c>
      <c r="H737" s="9" t="s">
        <v>56</v>
      </c>
      <c r="I737" s="7"/>
      <c r="J737" s="23" t="s">
        <v>3190</v>
      </c>
      <c r="K737" s="24" t="s">
        <v>3191</v>
      </c>
      <c r="L737" s="22" t="s">
        <v>3192</v>
      </c>
      <c r="M737" s="25"/>
      <c r="N737" s="25"/>
      <c r="O737" s="26"/>
      <c r="P737" s="27"/>
      <c r="Q737" s="28"/>
      <c r="R737" s="28"/>
      <c r="S737" s="26"/>
    </row>
    <row r="738" customFormat="false" ht="15" hidden="false" customHeight="false" outlineLevel="0" collapsed="false">
      <c r="A738" s="7" t="n">
        <v>734</v>
      </c>
      <c r="B738" s="9" t="s">
        <v>34</v>
      </c>
      <c r="C738" s="22" t="s">
        <v>3193</v>
      </c>
      <c r="D738" s="9" t="s">
        <v>3077</v>
      </c>
      <c r="E738" s="9" t="s">
        <v>47</v>
      </c>
      <c r="F738" s="9" t="s">
        <v>99</v>
      </c>
      <c r="G738" s="22" t="s">
        <v>3194</v>
      </c>
      <c r="H738" s="9" t="s">
        <v>56</v>
      </c>
      <c r="I738" s="7"/>
      <c r="J738" s="23" t="s">
        <v>3195</v>
      </c>
      <c r="K738" s="24" t="s">
        <v>3196</v>
      </c>
      <c r="L738" s="22" t="s">
        <v>3197</v>
      </c>
      <c r="M738" s="25"/>
      <c r="N738" s="25"/>
      <c r="O738" s="26"/>
      <c r="P738" s="27"/>
      <c r="Q738" s="28"/>
      <c r="R738" s="28"/>
      <c r="S738" s="26"/>
    </row>
    <row r="739" customFormat="false" ht="15" hidden="false" customHeight="false" outlineLevel="0" collapsed="false">
      <c r="A739" s="7" t="n">
        <v>735</v>
      </c>
      <c r="B739" s="9" t="s">
        <v>34</v>
      </c>
      <c r="C739" s="22" t="s">
        <v>3193</v>
      </c>
      <c r="D739" s="9" t="s">
        <v>3077</v>
      </c>
      <c r="E739" s="9" t="s">
        <v>47</v>
      </c>
      <c r="F739" s="9" t="s">
        <v>99</v>
      </c>
      <c r="G739" s="22" t="s">
        <v>3198</v>
      </c>
      <c r="H739" s="9" t="s">
        <v>57</v>
      </c>
      <c r="I739" s="7"/>
      <c r="J739" s="23" t="s">
        <v>3199</v>
      </c>
      <c r="K739" s="24" t="s">
        <v>3200</v>
      </c>
      <c r="L739" s="22" t="s">
        <v>3201</v>
      </c>
      <c r="M739" s="25"/>
      <c r="N739" s="25"/>
      <c r="O739" s="26"/>
      <c r="P739" s="27"/>
      <c r="Q739" s="28"/>
      <c r="R739" s="28"/>
      <c r="S739" s="26"/>
    </row>
    <row r="740" customFormat="false" ht="15" hidden="false" customHeight="false" outlineLevel="0" collapsed="false">
      <c r="A740" s="7" t="n">
        <v>736</v>
      </c>
      <c r="B740" s="9" t="s">
        <v>34</v>
      </c>
      <c r="C740" s="22" t="s">
        <v>3193</v>
      </c>
      <c r="D740" s="9" t="s">
        <v>3077</v>
      </c>
      <c r="E740" s="9" t="s">
        <v>47</v>
      </c>
      <c r="F740" s="9" t="s">
        <v>99</v>
      </c>
      <c r="G740" s="22" t="s">
        <v>1939</v>
      </c>
      <c r="H740" s="9" t="s">
        <v>57</v>
      </c>
      <c r="I740" s="7"/>
      <c r="J740" s="23" t="s">
        <v>3202</v>
      </c>
      <c r="K740" s="24" t="s">
        <v>3203</v>
      </c>
      <c r="L740" s="22" t="s">
        <v>3204</v>
      </c>
      <c r="M740" s="25"/>
      <c r="N740" s="25"/>
      <c r="O740" s="26"/>
      <c r="P740" s="27"/>
      <c r="Q740" s="28"/>
      <c r="R740" s="28"/>
      <c r="S740" s="26"/>
    </row>
    <row r="741" customFormat="false" ht="15" hidden="false" customHeight="false" outlineLevel="0" collapsed="false">
      <c r="A741" s="7" t="n">
        <v>737</v>
      </c>
      <c r="B741" s="9" t="s">
        <v>34</v>
      </c>
      <c r="C741" s="22" t="s">
        <v>3193</v>
      </c>
      <c r="D741" s="9" t="s">
        <v>3077</v>
      </c>
      <c r="E741" s="9" t="s">
        <v>47</v>
      </c>
      <c r="F741" s="9" t="s">
        <v>99</v>
      </c>
      <c r="G741" s="22" t="s">
        <v>3205</v>
      </c>
      <c r="H741" s="9" t="s">
        <v>55</v>
      </c>
      <c r="I741" s="7"/>
      <c r="J741" s="23" t="s">
        <v>3206</v>
      </c>
      <c r="K741" s="24" t="s">
        <v>3207</v>
      </c>
      <c r="L741" s="22" t="s">
        <v>3208</v>
      </c>
      <c r="M741" s="25"/>
      <c r="N741" s="25"/>
      <c r="O741" s="26"/>
      <c r="P741" s="27"/>
      <c r="Q741" s="28"/>
      <c r="R741" s="28"/>
      <c r="S741" s="26"/>
    </row>
    <row r="742" customFormat="false" ht="15" hidden="false" customHeight="false" outlineLevel="0" collapsed="false">
      <c r="A742" s="7" t="n">
        <v>738</v>
      </c>
      <c r="B742" s="9" t="s">
        <v>34</v>
      </c>
      <c r="C742" s="22" t="s">
        <v>3193</v>
      </c>
      <c r="D742" s="9" t="s">
        <v>3077</v>
      </c>
      <c r="E742" s="9" t="s">
        <v>47</v>
      </c>
      <c r="F742" s="9" t="s">
        <v>99</v>
      </c>
      <c r="G742" s="22" t="s">
        <v>3209</v>
      </c>
      <c r="H742" s="9" t="s">
        <v>56</v>
      </c>
      <c r="I742" s="7" t="s">
        <v>869</v>
      </c>
      <c r="J742" s="23" t="s">
        <v>3210</v>
      </c>
      <c r="K742" s="24" t="s">
        <v>3211</v>
      </c>
      <c r="L742" s="22" t="s">
        <v>3212</v>
      </c>
      <c r="M742" s="25"/>
      <c r="N742" s="25"/>
      <c r="O742" s="26"/>
      <c r="P742" s="27"/>
      <c r="Q742" s="28"/>
      <c r="R742" s="28"/>
      <c r="S742" s="26"/>
    </row>
    <row r="743" customFormat="false" ht="15" hidden="false" customHeight="false" outlineLevel="0" collapsed="false">
      <c r="A743" s="7" t="n">
        <v>739</v>
      </c>
      <c r="B743" s="9" t="s">
        <v>34</v>
      </c>
      <c r="C743" s="22" t="s">
        <v>3193</v>
      </c>
      <c r="D743" s="9" t="s">
        <v>3077</v>
      </c>
      <c r="E743" s="9" t="s">
        <v>47</v>
      </c>
      <c r="F743" s="9" t="s">
        <v>99</v>
      </c>
      <c r="G743" s="22" t="s">
        <v>3213</v>
      </c>
      <c r="H743" s="9" t="s">
        <v>56</v>
      </c>
      <c r="I743" s="7"/>
      <c r="J743" s="23" t="s">
        <v>3214</v>
      </c>
      <c r="K743" s="24" t="s">
        <v>3215</v>
      </c>
      <c r="L743" s="22" t="s">
        <v>3216</v>
      </c>
      <c r="M743" s="25"/>
      <c r="N743" s="25"/>
      <c r="O743" s="26"/>
      <c r="P743" s="27"/>
      <c r="Q743" s="28"/>
      <c r="R743" s="28"/>
      <c r="S743" s="26"/>
    </row>
    <row r="744" customFormat="false" ht="15" hidden="false" customHeight="false" outlineLevel="0" collapsed="false">
      <c r="A744" s="7" t="n">
        <v>740</v>
      </c>
      <c r="B744" s="9" t="s">
        <v>34</v>
      </c>
      <c r="C744" s="22" t="s">
        <v>3193</v>
      </c>
      <c r="D744" s="9" t="s">
        <v>3077</v>
      </c>
      <c r="E744" s="9" t="s">
        <v>47</v>
      </c>
      <c r="F744" s="9" t="s">
        <v>99</v>
      </c>
      <c r="G744" s="22" t="s">
        <v>3217</v>
      </c>
      <c r="H744" s="9" t="s">
        <v>55</v>
      </c>
      <c r="I744" s="7"/>
      <c r="J744" s="23" t="s">
        <v>3218</v>
      </c>
      <c r="K744" s="24" t="s">
        <v>3219</v>
      </c>
      <c r="L744" s="22" t="s">
        <v>3220</v>
      </c>
      <c r="M744" s="25"/>
      <c r="N744" s="25"/>
      <c r="O744" s="26"/>
      <c r="P744" s="27"/>
      <c r="Q744" s="28"/>
      <c r="R744" s="28"/>
      <c r="S744" s="26"/>
    </row>
    <row r="745" customFormat="false" ht="15" hidden="false" customHeight="false" outlineLevel="0" collapsed="false">
      <c r="A745" s="7" t="n">
        <v>741</v>
      </c>
      <c r="B745" s="9" t="s">
        <v>34</v>
      </c>
      <c r="C745" s="22" t="s">
        <v>3193</v>
      </c>
      <c r="D745" s="9" t="s">
        <v>3077</v>
      </c>
      <c r="E745" s="9" t="s">
        <v>48</v>
      </c>
      <c r="F745" s="9" t="s">
        <v>99</v>
      </c>
      <c r="G745" s="22" t="s">
        <v>3221</v>
      </c>
      <c r="H745" s="9" t="s">
        <v>57</v>
      </c>
      <c r="I745" s="7"/>
      <c r="J745" s="23" t="s">
        <v>3222</v>
      </c>
      <c r="K745" s="24" t="s">
        <v>3223</v>
      </c>
      <c r="L745" s="22" t="s">
        <v>3224</v>
      </c>
      <c r="M745" s="25"/>
      <c r="N745" s="25"/>
      <c r="O745" s="26"/>
      <c r="P745" s="27"/>
      <c r="Q745" s="28"/>
      <c r="R745" s="28"/>
      <c r="S745" s="26"/>
    </row>
    <row r="746" customFormat="false" ht="15" hidden="false" customHeight="false" outlineLevel="0" collapsed="false">
      <c r="A746" s="7" t="n">
        <v>742</v>
      </c>
      <c r="B746" s="9" t="s">
        <v>34</v>
      </c>
      <c r="C746" s="22" t="s">
        <v>3225</v>
      </c>
      <c r="D746" s="9" t="s">
        <v>3082</v>
      </c>
      <c r="E746" s="9" t="s">
        <v>47</v>
      </c>
      <c r="F746" s="9" t="s">
        <v>99</v>
      </c>
      <c r="G746" s="22" t="s">
        <v>3226</v>
      </c>
      <c r="H746" s="9" t="s">
        <v>56</v>
      </c>
      <c r="I746" s="7" t="s">
        <v>869</v>
      </c>
      <c r="J746" s="23" t="s">
        <v>3227</v>
      </c>
      <c r="K746" s="24" t="s">
        <v>3228</v>
      </c>
      <c r="L746" s="22" t="s">
        <v>3229</v>
      </c>
      <c r="M746" s="25"/>
      <c r="N746" s="25"/>
      <c r="O746" s="26"/>
      <c r="P746" s="27"/>
      <c r="Q746" s="28"/>
      <c r="R746" s="28"/>
      <c r="S746" s="26"/>
    </row>
    <row r="747" customFormat="false" ht="15" hidden="false" customHeight="false" outlineLevel="0" collapsed="false">
      <c r="A747" s="7" t="n">
        <v>743</v>
      </c>
      <c r="B747" s="9" t="s">
        <v>34</v>
      </c>
      <c r="C747" s="22" t="s">
        <v>3225</v>
      </c>
      <c r="D747" s="9" t="s">
        <v>3082</v>
      </c>
      <c r="E747" s="9" t="s">
        <v>47</v>
      </c>
      <c r="F747" s="9" t="s">
        <v>99</v>
      </c>
      <c r="G747" s="22" t="s">
        <v>3230</v>
      </c>
      <c r="H747" s="9" t="s">
        <v>57</v>
      </c>
      <c r="I747" s="7"/>
      <c r="J747" s="23" t="s">
        <v>3231</v>
      </c>
      <c r="K747" s="24" t="s">
        <v>3232</v>
      </c>
      <c r="L747" s="22" t="s">
        <v>3233</v>
      </c>
      <c r="M747" s="25"/>
      <c r="N747" s="25"/>
      <c r="O747" s="26"/>
      <c r="P747" s="27"/>
      <c r="Q747" s="28"/>
      <c r="R747" s="28"/>
      <c r="S747" s="26"/>
    </row>
    <row r="748" customFormat="false" ht="15" hidden="false" customHeight="false" outlineLevel="0" collapsed="false">
      <c r="A748" s="7" t="n">
        <v>744</v>
      </c>
      <c r="B748" s="9" t="s">
        <v>34</v>
      </c>
      <c r="C748" s="22" t="s">
        <v>3225</v>
      </c>
      <c r="D748" s="9" t="s">
        <v>3082</v>
      </c>
      <c r="E748" s="9" t="s">
        <v>47</v>
      </c>
      <c r="F748" s="9" t="s">
        <v>99</v>
      </c>
      <c r="G748" s="22" t="s">
        <v>3234</v>
      </c>
      <c r="H748" s="9" t="s">
        <v>56</v>
      </c>
      <c r="I748" s="7"/>
      <c r="J748" s="23" t="s">
        <v>3235</v>
      </c>
      <c r="K748" s="24" t="s">
        <v>3236</v>
      </c>
      <c r="L748" s="22" t="s">
        <v>3237</v>
      </c>
      <c r="M748" s="25"/>
      <c r="N748" s="25"/>
      <c r="O748" s="26"/>
      <c r="P748" s="27"/>
      <c r="Q748" s="28"/>
      <c r="R748" s="28"/>
      <c r="S748" s="26"/>
    </row>
    <row r="749" customFormat="false" ht="15" hidden="false" customHeight="false" outlineLevel="0" collapsed="false">
      <c r="A749" s="7" t="n">
        <v>745</v>
      </c>
      <c r="B749" s="9" t="s">
        <v>34</v>
      </c>
      <c r="C749" s="22" t="s">
        <v>3225</v>
      </c>
      <c r="D749" s="9" t="s">
        <v>3082</v>
      </c>
      <c r="E749" s="9" t="s">
        <v>47</v>
      </c>
      <c r="F749" s="9" t="s">
        <v>99</v>
      </c>
      <c r="G749" s="22" t="s">
        <v>3238</v>
      </c>
      <c r="H749" s="9" t="s">
        <v>56</v>
      </c>
      <c r="I749" s="7" t="s">
        <v>869</v>
      </c>
      <c r="J749" s="23" t="s">
        <v>3239</v>
      </c>
      <c r="K749" s="24" t="s">
        <v>3240</v>
      </c>
      <c r="L749" s="22" t="s">
        <v>3241</v>
      </c>
      <c r="M749" s="25"/>
      <c r="N749" s="25"/>
      <c r="O749" s="26"/>
      <c r="P749" s="27"/>
      <c r="Q749" s="28"/>
      <c r="R749" s="28"/>
      <c r="S749" s="26"/>
    </row>
    <row r="750" customFormat="false" ht="15" hidden="false" customHeight="false" outlineLevel="0" collapsed="false">
      <c r="A750" s="7" t="n">
        <v>746</v>
      </c>
      <c r="B750" s="9" t="s">
        <v>34</v>
      </c>
      <c r="C750" s="22" t="s">
        <v>3225</v>
      </c>
      <c r="D750" s="9" t="s">
        <v>3082</v>
      </c>
      <c r="E750" s="9" t="s">
        <v>47</v>
      </c>
      <c r="F750" s="9" t="s">
        <v>99</v>
      </c>
      <c r="G750" s="22" t="s">
        <v>3242</v>
      </c>
      <c r="H750" s="9" t="s">
        <v>56</v>
      </c>
      <c r="I750" s="7" t="s">
        <v>869</v>
      </c>
      <c r="J750" s="23" t="s">
        <v>3243</v>
      </c>
      <c r="K750" s="24" t="s">
        <v>3244</v>
      </c>
      <c r="L750" s="22" t="s">
        <v>3245</v>
      </c>
      <c r="M750" s="25"/>
      <c r="N750" s="25"/>
      <c r="O750" s="26"/>
      <c r="P750" s="27"/>
      <c r="Q750" s="28"/>
      <c r="R750" s="28"/>
      <c r="S750" s="26"/>
    </row>
    <row r="751" customFormat="false" ht="15" hidden="false" customHeight="false" outlineLevel="0" collapsed="false">
      <c r="A751" s="7" t="n">
        <v>747</v>
      </c>
      <c r="B751" s="9" t="s">
        <v>34</v>
      </c>
      <c r="C751" s="22" t="s">
        <v>3225</v>
      </c>
      <c r="D751" s="9" t="s">
        <v>3082</v>
      </c>
      <c r="E751" s="9" t="s">
        <v>47</v>
      </c>
      <c r="F751" s="9" t="s">
        <v>99</v>
      </c>
      <c r="G751" s="22" t="s">
        <v>3246</v>
      </c>
      <c r="H751" s="9" t="s">
        <v>56</v>
      </c>
      <c r="I751" s="7" t="s">
        <v>869</v>
      </c>
      <c r="J751" s="23" t="s">
        <v>3247</v>
      </c>
      <c r="K751" s="24" t="s">
        <v>3248</v>
      </c>
      <c r="L751" s="22" t="s">
        <v>3249</v>
      </c>
      <c r="M751" s="25"/>
      <c r="N751" s="25"/>
      <c r="O751" s="26"/>
      <c r="P751" s="27"/>
      <c r="Q751" s="28"/>
      <c r="R751" s="28"/>
      <c r="S751" s="26"/>
    </row>
    <row r="752" customFormat="false" ht="15" hidden="false" customHeight="false" outlineLevel="0" collapsed="false">
      <c r="A752" s="7" t="n">
        <v>748</v>
      </c>
      <c r="B752" s="9" t="s">
        <v>34</v>
      </c>
      <c r="C752" s="22" t="s">
        <v>3225</v>
      </c>
      <c r="D752" s="9" t="s">
        <v>3082</v>
      </c>
      <c r="E752" s="9" t="s">
        <v>47</v>
      </c>
      <c r="F752" s="9" t="s">
        <v>99</v>
      </c>
      <c r="G752" s="22" t="s">
        <v>3250</v>
      </c>
      <c r="H752" s="9" t="s">
        <v>57</v>
      </c>
      <c r="I752" s="7"/>
      <c r="J752" s="23" t="s">
        <v>3251</v>
      </c>
      <c r="K752" s="24" t="s">
        <v>3252</v>
      </c>
      <c r="L752" s="22" t="s">
        <v>3253</v>
      </c>
      <c r="M752" s="25"/>
      <c r="N752" s="25"/>
      <c r="O752" s="26"/>
      <c r="P752" s="27"/>
      <c r="Q752" s="28"/>
      <c r="R752" s="28"/>
      <c r="S752" s="26"/>
    </row>
    <row r="753" customFormat="false" ht="15" hidden="false" customHeight="false" outlineLevel="0" collapsed="false">
      <c r="A753" s="7" t="n">
        <v>749</v>
      </c>
      <c r="B753" s="9" t="s">
        <v>34</v>
      </c>
      <c r="C753" s="22" t="s">
        <v>3225</v>
      </c>
      <c r="D753" s="9" t="s">
        <v>3082</v>
      </c>
      <c r="E753" s="9" t="s">
        <v>48</v>
      </c>
      <c r="F753" s="9" t="s">
        <v>124</v>
      </c>
      <c r="G753" s="22" t="s">
        <v>3254</v>
      </c>
      <c r="H753" s="9" t="s">
        <v>55</v>
      </c>
      <c r="I753" s="7" t="s">
        <v>869</v>
      </c>
      <c r="J753" s="23" t="s">
        <v>3255</v>
      </c>
      <c r="K753" s="24" t="s">
        <v>3256</v>
      </c>
      <c r="L753" s="22" t="s">
        <v>3257</v>
      </c>
      <c r="M753" s="25"/>
      <c r="N753" s="25"/>
      <c r="O753" s="26"/>
      <c r="P753" s="27"/>
      <c r="Q753" s="28"/>
      <c r="R753" s="28"/>
      <c r="S753" s="26"/>
    </row>
    <row r="754" customFormat="false" ht="15" hidden="false" customHeight="false" outlineLevel="0" collapsed="false">
      <c r="A754" s="7" t="n">
        <v>750</v>
      </c>
      <c r="B754" s="9" t="s">
        <v>34</v>
      </c>
      <c r="C754" s="22" t="s">
        <v>3225</v>
      </c>
      <c r="D754" s="9" t="s">
        <v>3082</v>
      </c>
      <c r="E754" s="9" t="s">
        <v>48</v>
      </c>
      <c r="F754" s="9" t="s">
        <v>124</v>
      </c>
      <c r="G754" s="22" t="s">
        <v>3258</v>
      </c>
      <c r="H754" s="9" t="s">
        <v>56</v>
      </c>
      <c r="I754" s="7" t="s">
        <v>869</v>
      </c>
      <c r="J754" s="23" t="s">
        <v>3259</v>
      </c>
      <c r="K754" s="24" t="s">
        <v>3260</v>
      </c>
      <c r="L754" s="22" t="s">
        <v>3261</v>
      </c>
      <c r="M754" s="25"/>
      <c r="N754" s="25"/>
      <c r="O754" s="26"/>
      <c r="P754" s="27"/>
      <c r="Q754" s="28"/>
      <c r="R754" s="28"/>
      <c r="S754" s="26"/>
    </row>
    <row r="755" customFormat="false" ht="15" hidden="false" customHeight="false" outlineLevel="0" collapsed="false">
      <c r="A755" s="7" t="n">
        <v>751</v>
      </c>
      <c r="B755" s="9" t="s">
        <v>34</v>
      </c>
      <c r="C755" s="22" t="s">
        <v>3262</v>
      </c>
      <c r="D755" s="9" t="s">
        <v>3263</v>
      </c>
      <c r="E755" s="9" t="s">
        <v>48</v>
      </c>
      <c r="F755" s="9" t="s">
        <v>99</v>
      </c>
      <c r="G755" s="22" t="s">
        <v>3264</v>
      </c>
      <c r="H755" s="9" t="s">
        <v>56</v>
      </c>
      <c r="I755" s="7"/>
      <c r="J755" s="23" t="s">
        <v>3265</v>
      </c>
      <c r="K755" s="24" t="s">
        <v>3266</v>
      </c>
      <c r="L755" s="22" t="s">
        <v>3267</v>
      </c>
      <c r="M755" s="25"/>
      <c r="N755" s="25"/>
      <c r="O755" s="26"/>
      <c r="P755" s="27"/>
      <c r="Q755" s="28"/>
      <c r="R755" s="28"/>
      <c r="S755" s="26"/>
    </row>
    <row r="756" customFormat="false" ht="15" hidden="false" customHeight="false" outlineLevel="0" collapsed="false">
      <c r="A756" s="7" t="n">
        <v>752</v>
      </c>
      <c r="B756" s="9" t="s">
        <v>34</v>
      </c>
      <c r="C756" s="22" t="s">
        <v>3268</v>
      </c>
      <c r="D756" s="9" t="s">
        <v>3269</v>
      </c>
      <c r="E756" s="9" t="s">
        <v>47</v>
      </c>
      <c r="F756" s="9" t="s">
        <v>99</v>
      </c>
      <c r="G756" s="22" t="s">
        <v>3270</v>
      </c>
      <c r="H756" s="9" t="s">
        <v>56</v>
      </c>
      <c r="I756" s="7" t="s">
        <v>869</v>
      </c>
      <c r="J756" s="23" t="s">
        <v>3271</v>
      </c>
      <c r="K756" s="24" t="s">
        <v>3272</v>
      </c>
      <c r="L756" s="22" t="s">
        <v>3273</v>
      </c>
      <c r="M756" s="25"/>
      <c r="N756" s="25"/>
      <c r="O756" s="26"/>
      <c r="P756" s="27"/>
      <c r="Q756" s="28"/>
      <c r="R756" s="28"/>
      <c r="S756" s="26"/>
    </row>
    <row r="757" customFormat="false" ht="15" hidden="false" customHeight="false" outlineLevel="0" collapsed="false">
      <c r="A757" s="7" t="n">
        <v>753</v>
      </c>
      <c r="B757" s="9" t="s">
        <v>34</v>
      </c>
      <c r="C757" s="22" t="s">
        <v>3274</v>
      </c>
      <c r="D757" s="9" t="s">
        <v>3091</v>
      </c>
      <c r="E757" s="9" t="s">
        <v>47</v>
      </c>
      <c r="F757" s="9" t="s">
        <v>99</v>
      </c>
      <c r="G757" s="22" t="s">
        <v>3275</v>
      </c>
      <c r="H757" s="9" t="s">
        <v>57</v>
      </c>
      <c r="I757" s="7"/>
      <c r="J757" s="23" t="s">
        <v>3276</v>
      </c>
      <c r="K757" s="24" t="s">
        <v>3277</v>
      </c>
      <c r="L757" s="22" t="s">
        <v>3278</v>
      </c>
      <c r="M757" s="25"/>
      <c r="N757" s="25"/>
      <c r="O757" s="26"/>
      <c r="P757" s="27"/>
      <c r="Q757" s="28"/>
      <c r="R757" s="28"/>
      <c r="S757" s="26"/>
    </row>
    <row r="758" customFormat="false" ht="15" hidden="false" customHeight="false" outlineLevel="0" collapsed="false">
      <c r="A758" s="7" t="n">
        <v>754</v>
      </c>
      <c r="B758" s="9" t="s">
        <v>34</v>
      </c>
      <c r="C758" s="22" t="s">
        <v>3274</v>
      </c>
      <c r="D758" s="9" t="s">
        <v>3091</v>
      </c>
      <c r="E758" s="9" t="s">
        <v>47</v>
      </c>
      <c r="F758" s="9" t="s">
        <v>99</v>
      </c>
      <c r="G758" s="22" t="s">
        <v>3279</v>
      </c>
      <c r="H758" s="9" t="s">
        <v>56</v>
      </c>
      <c r="I758" s="7"/>
      <c r="J758" s="23" t="s">
        <v>3280</v>
      </c>
      <c r="K758" s="24" t="s">
        <v>3281</v>
      </c>
      <c r="L758" s="22" t="s">
        <v>3282</v>
      </c>
      <c r="M758" s="25"/>
      <c r="N758" s="25"/>
      <c r="O758" s="26"/>
      <c r="P758" s="27"/>
      <c r="Q758" s="28"/>
      <c r="R758" s="28"/>
      <c r="S758" s="26"/>
    </row>
    <row r="759" customFormat="false" ht="15" hidden="false" customHeight="false" outlineLevel="0" collapsed="false">
      <c r="A759" s="7" t="n">
        <v>755</v>
      </c>
      <c r="B759" s="9" t="s">
        <v>34</v>
      </c>
      <c r="C759" s="22" t="s">
        <v>3274</v>
      </c>
      <c r="D759" s="9" t="s">
        <v>3091</v>
      </c>
      <c r="E759" s="9" t="s">
        <v>47</v>
      </c>
      <c r="F759" s="9" t="s">
        <v>99</v>
      </c>
      <c r="G759" s="22" t="s">
        <v>3283</v>
      </c>
      <c r="H759" s="9" t="s">
        <v>57</v>
      </c>
      <c r="I759" s="7"/>
      <c r="J759" s="23" t="s">
        <v>3284</v>
      </c>
      <c r="K759" s="24" t="s">
        <v>3285</v>
      </c>
      <c r="L759" s="22" t="s">
        <v>3286</v>
      </c>
      <c r="M759" s="25"/>
      <c r="N759" s="25"/>
      <c r="O759" s="26"/>
      <c r="P759" s="27"/>
      <c r="Q759" s="28"/>
      <c r="R759" s="28"/>
      <c r="S759" s="26"/>
    </row>
    <row r="760" customFormat="false" ht="15" hidden="false" customHeight="false" outlineLevel="0" collapsed="false">
      <c r="A760" s="7" t="n">
        <v>756</v>
      </c>
      <c r="B760" s="9" t="s">
        <v>34</v>
      </c>
      <c r="C760" s="22" t="s">
        <v>3274</v>
      </c>
      <c r="D760" s="9" t="s">
        <v>3091</v>
      </c>
      <c r="E760" s="9" t="s">
        <v>47</v>
      </c>
      <c r="F760" s="9" t="s">
        <v>99</v>
      </c>
      <c r="G760" s="22" t="s">
        <v>3287</v>
      </c>
      <c r="H760" s="9" t="s">
        <v>56</v>
      </c>
      <c r="I760" s="7"/>
      <c r="J760" s="23" t="s">
        <v>3288</v>
      </c>
      <c r="K760" s="24" t="s">
        <v>3289</v>
      </c>
      <c r="L760" s="22" t="s">
        <v>3290</v>
      </c>
      <c r="M760" s="25"/>
      <c r="N760" s="25"/>
      <c r="O760" s="26"/>
      <c r="P760" s="27"/>
      <c r="Q760" s="28"/>
      <c r="R760" s="28"/>
      <c r="S760" s="26"/>
    </row>
    <row r="761" customFormat="false" ht="15" hidden="false" customHeight="false" outlineLevel="0" collapsed="false">
      <c r="A761" s="7" t="n">
        <v>757</v>
      </c>
      <c r="B761" s="9" t="s">
        <v>34</v>
      </c>
      <c r="C761" s="22" t="s">
        <v>3274</v>
      </c>
      <c r="D761" s="9" t="s">
        <v>3091</v>
      </c>
      <c r="E761" s="9" t="s">
        <v>47</v>
      </c>
      <c r="F761" s="9" t="s">
        <v>99</v>
      </c>
      <c r="G761" s="22" t="s">
        <v>3291</v>
      </c>
      <c r="H761" s="9" t="s">
        <v>56</v>
      </c>
      <c r="I761" s="7"/>
      <c r="J761" s="23" t="s">
        <v>3292</v>
      </c>
      <c r="K761" s="24" t="s">
        <v>3293</v>
      </c>
      <c r="L761" s="22" t="s">
        <v>3294</v>
      </c>
      <c r="M761" s="25"/>
      <c r="N761" s="25"/>
      <c r="O761" s="26"/>
      <c r="P761" s="27"/>
      <c r="Q761" s="28"/>
      <c r="R761" s="28"/>
      <c r="S761" s="26"/>
    </row>
    <row r="762" customFormat="false" ht="15" hidden="false" customHeight="false" outlineLevel="0" collapsed="false">
      <c r="A762" s="7" t="n">
        <v>758</v>
      </c>
      <c r="B762" s="9" t="s">
        <v>34</v>
      </c>
      <c r="C762" s="22" t="s">
        <v>3274</v>
      </c>
      <c r="D762" s="9" t="s">
        <v>3091</v>
      </c>
      <c r="E762" s="9" t="s">
        <v>47</v>
      </c>
      <c r="F762" s="9" t="s">
        <v>99</v>
      </c>
      <c r="G762" s="22" t="s">
        <v>3295</v>
      </c>
      <c r="H762" s="9" t="s">
        <v>56</v>
      </c>
      <c r="I762" s="7" t="s">
        <v>869</v>
      </c>
      <c r="J762" s="23" t="s">
        <v>3296</v>
      </c>
      <c r="K762" s="24" t="s">
        <v>3297</v>
      </c>
      <c r="L762" s="22" t="s">
        <v>3298</v>
      </c>
      <c r="M762" s="25"/>
      <c r="N762" s="25"/>
      <c r="O762" s="26"/>
      <c r="P762" s="27"/>
      <c r="Q762" s="28"/>
      <c r="R762" s="28"/>
      <c r="S762" s="26"/>
    </row>
    <row r="763" customFormat="false" ht="15" hidden="false" customHeight="false" outlineLevel="0" collapsed="false">
      <c r="A763" s="7" t="n">
        <v>759</v>
      </c>
      <c r="B763" s="9" t="s">
        <v>34</v>
      </c>
      <c r="C763" s="22" t="s">
        <v>3274</v>
      </c>
      <c r="D763" s="9" t="s">
        <v>3091</v>
      </c>
      <c r="E763" s="9" t="s">
        <v>47</v>
      </c>
      <c r="F763" s="9" t="s">
        <v>99</v>
      </c>
      <c r="G763" s="22" t="s">
        <v>3299</v>
      </c>
      <c r="H763" s="9" t="s">
        <v>56</v>
      </c>
      <c r="I763" s="7"/>
      <c r="J763" s="23" t="s">
        <v>3300</v>
      </c>
      <c r="K763" s="24" t="s">
        <v>3301</v>
      </c>
      <c r="L763" s="22" t="s">
        <v>3302</v>
      </c>
      <c r="M763" s="25"/>
      <c r="N763" s="25"/>
      <c r="O763" s="26"/>
      <c r="P763" s="27"/>
      <c r="Q763" s="28"/>
      <c r="R763" s="28"/>
      <c r="S763" s="26"/>
    </row>
    <row r="764" customFormat="false" ht="15" hidden="false" customHeight="false" outlineLevel="0" collapsed="false">
      <c r="A764" s="7" t="n">
        <v>760</v>
      </c>
      <c r="B764" s="9" t="s">
        <v>34</v>
      </c>
      <c r="C764" s="22" t="s">
        <v>3274</v>
      </c>
      <c r="D764" s="9" t="s">
        <v>3091</v>
      </c>
      <c r="E764" s="9" t="s">
        <v>47</v>
      </c>
      <c r="F764" s="9" t="s">
        <v>99</v>
      </c>
      <c r="G764" s="22" t="s">
        <v>3303</v>
      </c>
      <c r="H764" s="9" t="s">
        <v>56</v>
      </c>
      <c r="I764" s="7"/>
      <c r="J764" s="23" t="s">
        <v>3304</v>
      </c>
      <c r="K764" s="24" t="s">
        <v>3305</v>
      </c>
      <c r="L764" s="22" t="s">
        <v>3306</v>
      </c>
      <c r="M764" s="25"/>
      <c r="N764" s="25"/>
      <c r="O764" s="26"/>
      <c r="P764" s="27"/>
      <c r="Q764" s="28"/>
      <c r="R764" s="28"/>
      <c r="S764" s="26"/>
    </row>
    <row r="765" customFormat="false" ht="15" hidden="false" customHeight="false" outlineLevel="0" collapsed="false">
      <c r="A765" s="7" t="n">
        <v>761</v>
      </c>
      <c r="B765" s="9" t="s">
        <v>34</v>
      </c>
      <c r="C765" s="22" t="s">
        <v>3274</v>
      </c>
      <c r="D765" s="9" t="s">
        <v>3091</v>
      </c>
      <c r="E765" s="9" t="s">
        <v>47</v>
      </c>
      <c r="F765" s="9" t="s">
        <v>99</v>
      </c>
      <c r="G765" s="22" t="s">
        <v>3307</v>
      </c>
      <c r="H765" s="9" t="s">
        <v>57</v>
      </c>
      <c r="I765" s="7"/>
      <c r="J765" s="23" t="s">
        <v>3308</v>
      </c>
      <c r="K765" s="24" t="s">
        <v>3309</v>
      </c>
      <c r="L765" s="22" t="s">
        <v>3310</v>
      </c>
      <c r="M765" s="25"/>
      <c r="N765" s="25"/>
      <c r="O765" s="26"/>
      <c r="P765" s="27"/>
      <c r="Q765" s="28"/>
      <c r="R765" s="28"/>
      <c r="S765" s="26"/>
    </row>
    <row r="766" customFormat="false" ht="15" hidden="false" customHeight="false" outlineLevel="0" collapsed="false">
      <c r="A766" s="7" t="n">
        <v>762</v>
      </c>
      <c r="B766" s="9" t="s">
        <v>34</v>
      </c>
      <c r="C766" s="22" t="s">
        <v>3274</v>
      </c>
      <c r="D766" s="9" t="s">
        <v>3091</v>
      </c>
      <c r="E766" s="9" t="s">
        <v>47</v>
      </c>
      <c r="F766" s="9" t="s">
        <v>99</v>
      </c>
      <c r="G766" s="22" t="s">
        <v>3311</v>
      </c>
      <c r="H766" s="9" t="s">
        <v>57</v>
      </c>
      <c r="I766" s="7"/>
      <c r="J766" s="23" t="s">
        <v>3312</v>
      </c>
      <c r="K766" s="24" t="s">
        <v>3313</v>
      </c>
      <c r="L766" s="22" t="s">
        <v>3314</v>
      </c>
      <c r="M766" s="25"/>
      <c r="N766" s="25"/>
      <c r="O766" s="26"/>
      <c r="P766" s="27"/>
      <c r="Q766" s="28"/>
      <c r="R766" s="28"/>
      <c r="S766" s="26"/>
    </row>
    <row r="767" customFormat="false" ht="15" hidden="false" customHeight="false" outlineLevel="0" collapsed="false">
      <c r="A767" s="7" t="n">
        <v>763</v>
      </c>
      <c r="B767" s="9" t="s">
        <v>34</v>
      </c>
      <c r="C767" s="22" t="s">
        <v>3274</v>
      </c>
      <c r="D767" s="9" t="s">
        <v>3091</v>
      </c>
      <c r="E767" s="9" t="s">
        <v>47</v>
      </c>
      <c r="F767" s="9" t="s">
        <v>99</v>
      </c>
      <c r="G767" s="22" t="s">
        <v>3315</v>
      </c>
      <c r="H767" s="9" t="s">
        <v>56</v>
      </c>
      <c r="I767" s="7"/>
      <c r="J767" s="23" t="s">
        <v>3316</v>
      </c>
      <c r="K767" s="24" t="s">
        <v>3317</v>
      </c>
      <c r="L767" s="22" t="s">
        <v>3318</v>
      </c>
      <c r="M767" s="25"/>
      <c r="N767" s="25"/>
      <c r="O767" s="26"/>
      <c r="P767" s="27"/>
      <c r="Q767" s="28"/>
      <c r="R767" s="28"/>
      <c r="S767" s="26"/>
    </row>
    <row r="768" customFormat="false" ht="15" hidden="false" customHeight="false" outlineLevel="0" collapsed="false">
      <c r="A768" s="7" t="n">
        <v>764</v>
      </c>
      <c r="B768" s="9" t="s">
        <v>34</v>
      </c>
      <c r="C768" s="22" t="s">
        <v>3274</v>
      </c>
      <c r="D768" s="9" t="s">
        <v>3091</v>
      </c>
      <c r="E768" s="9" t="s">
        <v>47</v>
      </c>
      <c r="F768" s="9" t="s">
        <v>99</v>
      </c>
      <c r="G768" s="22" t="s">
        <v>3319</v>
      </c>
      <c r="H768" s="9" t="s">
        <v>57</v>
      </c>
      <c r="I768" s="7"/>
      <c r="J768" s="23" t="s">
        <v>3320</v>
      </c>
      <c r="K768" s="24" t="s">
        <v>3321</v>
      </c>
      <c r="L768" s="22" t="s">
        <v>3322</v>
      </c>
      <c r="M768" s="25"/>
      <c r="N768" s="25"/>
      <c r="O768" s="26"/>
      <c r="P768" s="27"/>
      <c r="Q768" s="28"/>
      <c r="R768" s="28"/>
      <c r="S768" s="26"/>
    </row>
    <row r="769" customFormat="false" ht="15" hidden="false" customHeight="false" outlineLevel="0" collapsed="false">
      <c r="A769" s="7" t="n">
        <v>765</v>
      </c>
      <c r="B769" s="9" t="s">
        <v>34</v>
      </c>
      <c r="C769" s="22" t="s">
        <v>3274</v>
      </c>
      <c r="D769" s="9" t="s">
        <v>3091</v>
      </c>
      <c r="E769" s="9" t="s">
        <v>47</v>
      </c>
      <c r="F769" s="9" t="s">
        <v>99</v>
      </c>
      <c r="G769" s="22" t="s">
        <v>3323</v>
      </c>
      <c r="H769" s="9" t="s">
        <v>56</v>
      </c>
      <c r="I769" s="7"/>
      <c r="J769" s="23" t="s">
        <v>3324</v>
      </c>
      <c r="K769" s="24" t="s">
        <v>3325</v>
      </c>
      <c r="L769" s="22" t="s">
        <v>3326</v>
      </c>
      <c r="M769" s="25"/>
      <c r="N769" s="25"/>
      <c r="O769" s="26"/>
      <c r="P769" s="27"/>
      <c r="Q769" s="28"/>
      <c r="R769" s="28"/>
      <c r="S769" s="26"/>
    </row>
    <row r="770" customFormat="false" ht="15" hidden="false" customHeight="false" outlineLevel="0" collapsed="false">
      <c r="A770" s="7" t="n">
        <v>766</v>
      </c>
      <c r="B770" s="9" t="s">
        <v>34</v>
      </c>
      <c r="C770" s="22" t="s">
        <v>3274</v>
      </c>
      <c r="D770" s="9" t="s">
        <v>3091</v>
      </c>
      <c r="E770" s="9" t="s">
        <v>47</v>
      </c>
      <c r="F770" s="9" t="s">
        <v>99</v>
      </c>
      <c r="G770" s="22" t="s">
        <v>3327</v>
      </c>
      <c r="H770" s="9" t="s">
        <v>57</v>
      </c>
      <c r="I770" s="7"/>
      <c r="J770" s="23" t="s">
        <v>3328</v>
      </c>
      <c r="K770" s="24" t="s">
        <v>3329</v>
      </c>
      <c r="L770" s="22" t="s">
        <v>3330</v>
      </c>
      <c r="M770" s="25"/>
      <c r="N770" s="25"/>
      <c r="O770" s="26"/>
      <c r="P770" s="27"/>
      <c r="Q770" s="28"/>
      <c r="R770" s="28"/>
      <c r="S770" s="26"/>
    </row>
    <row r="771" customFormat="false" ht="15" hidden="false" customHeight="false" outlineLevel="0" collapsed="false">
      <c r="A771" s="7" t="n">
        <v>767</v>
      </c>
      <c r="B771" s="9" t="s">
        <v>34</v>
      </c>
      <c r="C771" s="22" t="s">
        <v>3274</v>
      </c>
      <c r="D771" s="9" t="s">
        <v>3091</v>
      </c>
      <c r="E771" s="9" t="s">
        <v>47</v>
      </c>
      <c r="F771" s="9" t="s">
        <v>99</v>
      </c>
      <c r="G771" s="22" t="s">
        <v>3331</v>
      </c>
      <c r="H771" s="9" t="s">
        <v>56</v>
      </c>
      <c r="I771" s="7" t="s">
        <v>869</v>
      </c>
      <c r="J771" s="23" t="s">
        <v>3332</v>
      </c>
      <c r="K771" s="24" t="s">
        <v>3333</v>
      </c>
      <c r="L771" s="22" t="s">
        <v>3334</v>
      </c>
      <c r="M771" s="25"/>
      <c r="N771" s="25"/>
      <c r="O771" s="26"/>
      <c r="P771" s="27"/>
      <c r="Q771" s="28"/>
      <c r="R771" s="28"/>
      <c r="S771" s="26"/>
    </row>
    <row r="772" customFormat="false" ht="15" hidden="false" customHeight="false" outlineLevel="0" collapsed="false">
      <c r="A772" s="7" t="n">
        <v>768</v>
      </c>
      <c r="B772" s="9" t="s">
        <v>34</v>
      </c>
      <c r="C772" s="22" t="s">
        <v>3274</v>
      </c>
      <c r="D772" s="9" t="s">
        <v>3091</v>
      </c>
      <c r="E772" s="9" t="s">
        <v>47</v>
      </c>
      <c r="F772" s="9" t="s">
        <v>99</v>
      </c>
      <c r="G772" s="22" t="s">
        <v>3335</v>
      </c>
      <c r="H772" s="9" t="s">
        <v>56</v>
      </c>
      <c r="I772" s="7" t="s">
        <v>869</v>
      </c>
      <c r="J772" s="23" t="s">
        <v>3336</v>
      </c>
      <c r="K772" s="24" t="s">
        <v>3337</v>
      </c>
      <c r="L772" s="22" t="s">
        <v>3338</v>
      </c>
      <c r="M772" s="25"/>
      <c r="N772" s="25"/>
      <c r="O772" s="26"/>
      <c r="P772" s="27"/>
      <c r="Q772" s="28"/>
      <c r="R772" s="28"/>
      <c r="S772" s="26"/>
    </row>
    <row r="773" customFormat="false" ht="15" hidden="false" customHeight="false" outlineLevel="0" collapsed="false">
      <c r="A773" s="7" t="n">
        <v>769</v>
      </c>
      <c r="B773" s="9" t="s">
        <v>34</v>
      </c>
      <c r="C773" s="22" t="s">
        <v>3274</v>
      </c>
      <c r="D773" s="9" t="s">
        <v>3091</v>
      </c>
      <c r="E773" s="9" t="s">
        <v>48</v>
      </c>
      <c r="F773" s="9" t="s">
        <v>124</v>
      </c>
      <c r="G773" s="22" t="s">
        <v>3339</v>
      </c>
      <c r="H773" s="9" t="s">
        <v>56</v>
      </c>
      <c r="I773" s="7"/>
      <c r="J773" s="23" t="s">
        <v>3340</v>
      </c>
      <c r="K773" s="24" t="s">
        <v>3341</v>
      </c>
      <c r="L773" s="22" t="s">
        <v>3342</v>
      </c>
      <c r="M773" s="25"/>
      <c r="N773" s="25"/>
      <c r="O773" s="26"/>
      <c r="P773" s="27"/>
      <c r="Q773" s="28"/>
      <c r="R773" s="28"/>
      <c r="S773" s="26"/>
    </row>
    <row r="774" customFormat="false" ht="15" hidden="false" customHeight="false" outlineLevel="0" collapsed="false">
      <c r="A774" s="7" t="n">
        <v>770</v>
      </c>
      <c r="B774" s="9" t="s">
        <v>34</v>
      </c>
      <c r="C774" s="22" t="s">
        <v>3274</v>
      </c>
      <c r="D774" s="9" t="s">
        <v>3091</v>
      </c>
      <c r="E774" s="9" t="s">
        <v>48</v>
      </c>
      <c r="F774" s="9" t="s">
        <v>124</v>
      </c>
      <c r="G774" s="22" t="s">
        <v>3343</v>
      </c>
      <c r="H774" s="9" t="s">
        <v>57</v>
      </c>
      <c r="I774" s="7"/>
      <c r="J774" s="23" t="s">
        <v>3344</v>
      </c>
      <c r="K774" s="24" t="s">
        <v>3345</v>
      </c>
      <c r="L774" s="22" t="s">
        <v>3346</v>
      </c>
      <c r="M774" s="25"/>
      <c r="N774" s="25"/>
      <c r="O774" s="26"/>
      <c r="P774" s="27"/>
      <c r="Q774" s="28"/>
      <c r="R774" s="28"/>
      <c r="S774" s="26"/>
    </row>
    <row r="775" customFormat="false" ht="15" hidden="false" customHeight="false" outlineLevel="0" collapsed="false">
      <c r="A775" s="7" t="n">
        <v>771</v>
      </c>
      <c r="B775" s="9" t="s">
        <v>34</v>
      </c>
      <c r="C775" s="22" t="s">
        <v>3274</v>
      </c>
      <c r="D775" s="9" t="s">
        <v>3091</v>
      </c>
      <c r="E775" s="9" t="s">
        <v>48</v>
      </c>
      <c r="F775" s="9" t="s">
        <v>124</v>
      </c>
      <c r="G775" s="22" t="s">
        <v>3347</v>
      </c>
      <c r="H775" s="9" t="s">
        <v>56</v>
      </c>
      <c r="I775" s="7"/>
      <c r="J775" s="23" t="s">
        <v>3348</v>
      </c>
      <c r="K775" s="24" t="s">
        <v>3349</v>
      </c>
      <c r="L775" s="22" t="s">
        <v>3350</v>
      </c>
      <c r="M775" s="25"/>
      <c r="N775" s="25"/>
      <c r="O775" s="26"/>
      <c r="P775" s="27"/>
      <c r="Q775" s="28"/>
      <c r="R775" s="28"/>
      <c r="S775" s="26"/>
    </row>
    <row r="776" customFormat="false" ht="15" hidden="false" customHeight="false" outlineLevel="0" collapsed="false">
      <c r="A776" s="7" t="n">
        <v>772</v>
      </c>
      <c r="B776" s="9" t="s">
        <v>34</v>
      </c>
      <c r="C776" s="22" t="s">
        <v>3274</v>
      </c>
      <c r="D776" s="9" t="s">
        <v>3091</v>
      </c>
      <c r="E776" s="9" t="s">
        <v>48</v>
      </c>
      <c r="F776" s="9" t="s">
        <v>99</v>
      </c>
      <c r="G776" s="22" t="s">
        <v>3351</v>
      </c>
      <c r="H776" s="9" t="s">
        <v>57</v>
      </c>
      <c r="I776" s="7"/>
      <c r="J776" s="23" t="s">
        <v>3352</v>
      </c>
      <c r="K776" s="24" t="s">
        <v>3353</v>
      </c>
      <c r="L776" s="22" t="s">
        <v>3354</v>
      </c>
      <c r="M776" s="25"/>
      <c r="N776" s="25"/>
      <c r="O776" s="26"/>
      <c r="P776" s="27"/>
      <c r="Q776" s="28"/>
      <c r="R776" s="28"/>
      <c r="S776" s="26"/>
    </row>
    <row r="777" customFormat="false" ht="15" hidden="false" customHeight="false" outlineLevel="0" collapsed="false">
      <c r="A777" s="7" t="n">
        <v>773</v>
      </c>
      <c r="B777" s="9" t="s">
        <v>34</v>
      </c>
      <c r="C777" s="22" t="s">
        <v>3274</v>
      </c>
      <c r="D777" s="9" t="s">
        <v>3091</v>
      </c>
      <c r="E777" s="9" t="s">
        <v>48</v>
      </c>
      <c r="F777" s="9" t="s">
        <v>124</v>
      </c>
      <c r="G777" s="22" t="s">
        <v>3355</v>
      </c>
      <c r="H777" s="9" t="s">
        <v>56</v>
      </c>
      <c r="I777" s="7"/>
      <c r="J777" s="23" t="s">
        <v>3356</v>
      </c>
      <c r="K777" s="24" t="s">
        <v>3357</v>
      </c>
      <c r="L777" s="22" t="s">
        <v>3099</v>
      </c>
      <c r="M777" s="25"/>
      <c r="N777" s="25"/>
      <c r="O777" s="26"/>
      <c r="P777" s="27"/>
      <c r="Q777" s="28"/>
      <c r="R777" s="28"/>
      <c r="S777" s="26"/>
    </row>
    <row r="778" customFormat="false" ht="15" hidden="false" customHeight="false" outlineLevel="0" collapsed="false">
      <c r="A778" s="7" t="n">
        <v>774</v>
      </c>
      <c r="B778" s="9" t="s">
        <v>34</v>
      </c>
      <c r="C778" s="22" t="s">
        <v>3274</v>
      </c>
      <c r="D778" s="9" t="s">
        <v>3091</v>
      </c>
      <c r="E778" s="9" t="s">
        <v>48</v>
      </c>
      <c r="F778" s="9" t="s">
        <v>99</v>
      </c>
      <c r="G778" s="22" t="s">
        <v>3358</v>
      </c>
      <c r="H778" s="9" t="s">
        <v>56</v>
      </c>
      <c r="I778" s="7"/>
      <c r="J778" s="23" t="s">
        <v>3359</v>
      </c>
      <c r="K778" s="24" t="s">
        <v>3360</v>
      </c>
      <c r="L778" s="22" t="s">
        <v>3361</v>
      </c>
      <c r="M778" s="25"/>
      <c r="N778" s="25"/>
      <c r="O778" s="26"/>
      <c r="P778" s="27"/>
      <c r="Q778" s="28"/>
      <c r="R778" s="28"/>
      <c r="S778" s="26"/>
    </row>
    <row r="779" customFormat="false" ht="15" hidden="false" customHeight="false" outlineLevel="0" collapsed="false">
      <c r="A779" s="7" t="n">
        <v>775</v>
      </c>
      <c r="B779" s="9" t="s">
        <v>34</v>
      </c>
      <c r="C779" s="22" t="s">
        <v>3274</v>
      </c>
      <c r="D779" s="9" t="s">
        <v>3091</v>
      </c>
      <c r="E779" s="9" t="s">
        <v>48</v>
      </c>
      <c r="F779" s="9" t="s">
        <v>124</v>
      </c>
      <c r="G779" s="22" t="s">
        <v>3362</v>
      </c>
      <c r="H779" s="9" t="s">
        <v>56</v>
      </c>
      <c r="I779" s="7" t="s">
        <v>869</v>
      </c>
      <c r="J779" s="23" t="s">
        <v>3363</v>
      </c>
      <c r="K779" s="24" t="s">
        <v>3364</v>
      </c>
      <c r="L779" s="22" t="s">
        <v>3365</v>
      </c>
      <c r="M779" s="25"/>
      <c r="N779" s="25"/>
      <c r="O779" s="26"/>
      <c r="P779" s="27"/>
      <c r="Q779" s="28"/>
      <c r="R779" s="28"/>
      <c r="S779" s="26"/>
    </row>
    <row r="780" customFormat="false" ht="15" hidden="false" customHeight="false" outlineLevel="0" collapsed="false">
      <c r="A780" s="7" t="n">
        <v>776</v>
      </c>
      <c r="B780" s="9" t="s">
        <v>34</v>
      </c>
      <c r="C780" s="22" t="s">
        <v>3366</v>
      </c>
      <c r="D780" s="9" t="s">
        <v>3116</v>
      </c>
      <c r="E780" s="9" t="s">
        <v>47</v>
      </c>
      <c r="F780" s="9" t="s">
        <v>99</v>
      </c>
      <c r="G780" s="22" t="s">
        <v>3367</v>
      </c>
      <c r="H780" s="9" t="s">
        <v>57</v>
      </c>
      <c r="I780" s="7"/>
      <c r="J780" s="23" t="s">
        <v>3368</v>
      </c>
      <c r="K780" s="24" t="s">
        <v>3369</v>
      </c>
      <c r="L780" s="22" t="s">
        <v>3370</v>
      </c>
      <c r="M780" s="25"/>
      <c r="N780" s="25"/>
      <c r="O780" s="26"/>
      <c r="P780" s="27"/>
      <c r="Q780" s="28"/>
      <c r="R780" s="28"/>
      <c r="S780" s="26"/>
    </row>
    <row r="781" customFormat="false" ht="15" hidden="false" customHeight="false" outlineLevel="0" collapsed="false">
      <c r="A781" s="7" t="n">
        <v>777</v>
      </c>
      <c r="B781" s="9" t="s">
        <v>34</v>
      </c>
      <c r="C781" s="22" t="s">
        <v>3366</v>
      </c>
      <c r="D781" s="9" t="s">
        <v>3116</v>
      </c>
      <c r="E781" s="9" t="s">
        <v>47</v>
      </c>
      <c r="F781" s="9" t="s">
        <v>99</v>
      </c>
      <c r="G781" s="22" t="s">
        <v>3371</v>
      </c>
      <c r="H781" s="9" t="s">
        <v>57</v>
      </c>
      <c r="I781" s="7"/>
      <c r="J781" s="23" t="s">
        <v>3372</v>
      </c>
      <c r="K781" s="24" t="s">
        <v>3373</v>
      </c>
      <c r="L781" s="22" t="s">
        <v>3374</v>
      </c>
      <c r="M781" s="25"/>
      <c r="N781" s="25"/>
      <c r="O781" s="26"/>
      <c r="P781" s="27"/>
      <c r="Q781" s="28"/>
      <c r="R781" s="28"/>
      <c r="S781" s="26"/>
    </row>
    <row r="782" customFormat="false" ht="15" hidden="false" customHeight="false" outlineLevel="0" collapsed="false">
      <c r="A782" s="7" t="n">
        <v>778</v>
      </c>
      <c r="B782" s="9" t="s">
        <v>34</v>
      </c>
      <c r="C782" s="22" t="s">
        <v>3366</v>
      </c>
      <c r="D782" s="9" t="s">
        <v>3116</v>
      </c>
      <c r="E782" s="9" t="s">
        <v>48</v>
      </c>
      <c r="F782" s="9" t="s">
        <v>124</v>
      </c>
      <c r="G782" s="22" t="s">
        <v>3375</v>
      </c>
      <c r="H782" s="9" t="s">
        <v>56</v>
      </c>
      <c r="I782" s="7" t="s">
        <v>869</v>
      </c>
      <c r="J782" s="23" t="s">
        <v>3376</v>
      </c>
      <c r="K782" s="24" t="s">
        <v>3377</v>
      </c>
      <c r="L782" s="22" t="s">
        <v>3378</v>
      </c>
      <c r="M782" s="25"/>
      <c r="N782" s="25"/>
      <c r="O782" s="26"/>
      <c r="P782" s="27"/>
      <c r="Q782" s="28"/>
      <c r="R782" s="28"/>
      <c r="S782" s="26"/>
    </row>
    <row r="783" customFormat="false" ht="15" hidden="false" customHeight="false" outlineLevel="0" collapsed="false">
      <c r="A783" s="7" t="n">
        <v>779</v>
      </c>
      <c r="B783" s="9" t="s">
        <v>34</v>
      </c>
      <c r="C783" s="22" t="s">
        <v>3379</v>
      </c>
      <c r="D783" s="9" t="s">
        <v>3380</v>
      </c>
      <c r="E783" s="9" t="s">
        <v>47</v>
      </c>
      <c r="F783" s="9" t="s">
        <v>99</v>
      </c>
      <c r="G783" s="22" t="s">
        <v>3381</v>
      </c>
      <c r="H783" s="9" t="s">
        <v>56</v>
      </c>
      <c r="I783" s="7"/>
      <c r="J783" s="23" t="s">
        <v>3382</v>
      </c>
      <c r="K783" s="24" t="s">
        <v>3383</v>
      </c>
      <c r="L783" s="22" t="s">
        <v>3384</v>
      </c>
      <c r="M783" s="25"/>
      <c r="N783" s="25"/>
      <c r="O783" s="26"/>
      <c r="P783" s="27"/>
      <c r="Q783" s="28"/>
      <c r="R783" s="28"/>
      <c r="S783" s="26"/>
    </row>
    <row r="784" customFormat="false" ht="15" hidden="false" customHeight="false" outlineLevel="0" collapsed="false">
      <c r="A784" s="7" t="n">
        <v>780</v>
      </c>
      <c r="B784" s="9" t="s">
        <v>35</v>
      </c>
      <c r="C784" s="22" t="s">
        <v>3385</v>
      </c>
      <c r="D784" s="9" t="s">
        <v>3386</v>
      </c>
      <c r="E784" s="9" t="s">
        <v>47</v>
      </c>
      <c r="F784" s="9" t="s">
        <v>99</v>
      </c>
      <c r="G784" s="22" t="s">
        <v>3387</v>
      </c>
      <c r="H784" s="9" t="s">
        <v>56</v>
      </c>
      <c r="I784" s="7"/>
      <c r="J784" s="23" t="s">
        <v>3388</v>
      </c>
      <c r="K784" s="24" t="s">
        <v>3389</v>
      </c>
      <c r="L784" s="22" t="s">
        <v>3390</v>
      </c>
      <c r="M784" s="25"/>
      <c r="N784" s="25"/>
      <c r="O784" s="26"/>
      <c r="P784" s="27"/>
      <c r="Q784" s="28"/>
      <c r="R784" s="28"/>
      <c r="S784" s="26"/>
    </row>
    <row r="785" customFormat="false" ht="15" hidden="false" customHeight="false" outlineLevel="0" collapsed="false">
      <c r="A785" s="7" t="n">
        <v>781</v>
      </c>
      <c r="B785" s="9" t="s">
        <v>35</v>
      </c>
      <c r="C785" s="22" t="s">
        <v>300</v>
      </c>
      <c r="D785" s="9" t="s">
        <v>3386</v>
      </c>
      <c r="E785" s="9" t="s">
        <v>49</v>
      </c>
      <c r="F785" s="9" t="s">
        <v>99</v>
      </c>
      <c r="G785" s="22" t="s">
        <v>3391</v>
      </c>
      <c r="H785" s="9" t="s">
        <v>56</v>
      </c>
      <c r="I785" s="7" t="s">
        <v>869</v>
      </c>
      <c r="J785" s="23" t="s">
        <v>3392</v>
      </c>
      <c r="K785" s="24" t="s">
        <v>3393</v>
      </c>
      <c r="L785" s="22" t="s">
        <v>3394</v>
      </c>
      <c r="M785" s="25"/>
      <c r="N785" s="25"/>
      <c r="O785" s="26"/>
      <c r="P785" s="27"/>
      <c r="Q785" s="28"/>
      <c r="R785" s="28"/>
      <c r="S785" s="26"/>
    </row>
    <row r="786" customFormat="false" ht="15" hidden="false" customHeight="false" outlineLevel="0" collapsed="false">
      <c r="A786" s="7" t="n">
        <v>782</v>
      </c>
      <c r="B786" s="9" t="s">
        <v>35</v>
      </c>
      <c r="C786" s="22" t="s">
        <v>300</v>
      </c>
      <c r="D786" s="9" t="s">
        <v>3395</v>
      </c>
      <c r="E786" s="9" t="s">
        <v>49</v>
      </c>
      <c r="F786" s="9" t="s">
        <v>99</v>
      </c>
      <c r="G786" s="22" t="s">
        <v>3396</v>
      </c>
      <c r="H786" s="9" t="s">
        <v>56</v>
      </c>
      <c r="I786" s="7"/>
      <c r="J786" s="23" t="s">
        <v>3397</v>
      </c>
      <c r="K786" s="24" t="s">
        <v>3398</v>
      </c>
      <c r="L786" s="22" t="s">
        <v>3399</v>
      </c>
      <c r="M786" s="25"/>
      <c r="N786" s="25"/>
      <c r="O786" s="26"/>
      <c r="P786" s="27"/>
      <c r="Q786" s="28"/>
      <c r="R786" s="28"/>
      <c r="S786" s="26"/>
    </row>
    <row r="787" customFormat="false" ht="15" hidden="false" customHeight="false" outlineLevel="0" collapsed="false">
      <c r="A787" s="7" t="n">
        <v>783</v>
      </c>
      <c r="B787" s="9" t="s">
        <v>35</v>
      </c>
      <c r="C787" s="22" t="s">
        <v>300</v>
      </c>
      <c r="D787" s="9" t="s">
        <v>3400</v>
      </c>
      <c r="E787" s="9" t="s">
        <v>49</v>
      </c>
      <c r="F787" s="9" t="s">
        <v>99</v>
      </c>
      <c r="G787" s="22" t="s">
        <v>3401</v>
      </c>
      <c r="H787" s="9" t="s">
        <v>56</v>
      </c>
      <c r="I787" s="7" t="s">
        <v>869</v>
      </c>
      <c r="J787" s="23" t="s">
        <v>3402</v>
      </c>
      <c r="K787" s="24" t="s">
        <v>3403</v>
      </c>
      <c r="L787" s="22" t="s">
        <v>3404</v>
      </c>
      <c r="M787" s="25"/>
      <c r="N787" s="25"/>
      <c r="O787" s="26"/>
      <c r="P787" s="27"/>
      <c r="Q787" s="28"/>
      <c r="R787" s="28"/>
      <c r="S787" s="26"/>
    </row>
    <row r="788" customFormat="false" ht="15" hidden="false" customHeight="false" outlineLevel="0" collapsed="false">
      <c r="A788" s="7" t="n">
        <v>784</v>
      </c>
      <c r="B788" s="9" t="s">
        <v>35</v>
      </c>
      <c r="C788" s="22" t="s">
        <v>300</v>
      </c>
      <c r="D788" s="9" t="s">
        <v>3405</v>
      </c>
      <c r="E788" s="9" t="s">
        <v>49</v>
      </c>
      <c r="F788" s="9" t="s">
        <v>124</v>
      </c>
      <c r="G788" s="22" t="s">
        <v>3406</v>
      </c>
      <c r="H788" s="9" t="s">
        <v>56</v>
      </c>
      <c r="I788" s="7"/>
      <c r="J788" s="23" t="s">
        <v>3407</v>
      </c>
      <c r="K788" s="24" t="s">
        <v>3408</v>
      </c>
      <c r="L788" s="22" t="s">
        <v>3409</v>
      </c>
      <c r="M788" s="25"/>
      <c r="N788" s="25"/>
      <c r="O788" s="26"/>
      <c r="P788" s="27"/>
      <c r="Q788" s="28"/>
      <c r="R788" s="28"/>
      <c r="S788" s="26"/>
    </row>
    <row r="789" customFormat="false" ht="15" hidden="false" customHeight="false" outlineLevel="0" collapsed="false">
      <c r="A789" s="7" t="n">
        <v>785</v>
      </c>
      <c r="B789" s="9" t="s">
        <v>35</v>
      </c>
      <c r="C789" s="22" t="s">
        <v>300</v>
      </c>
      <c r="D789" s="9" t="s">
        <v>3405</v>
      </c>
      <c r="E789" s="9" t="s">
        <v>49</v>
      </c>
      <c r="F789" s="9" t="s">
        <v>124</v>
      </c>
      <c r="G789" s="22" t="s">
        <v>3410</v>
      </c>
      <c r="H789" s="9" t="s">
        <v>56</v>
      </c>
      <c r="I789" s="7"/>
      <c r="J789" s="23" t="s">
        <v>3411</v>
      </c>
      <c r="K789" s="24" t="s">
        <v>3412</v>
      </c>
      <c r="L789" s="22" t="s">
        <v>3409</v>
      </c>
      <c r="M789" s="25"/>
      <c r="N789" s="25"/>
      <c r="O789" s="26"/>
      <c r="P789" s="27"/>
      <c r="Q789" s="28"/>
      <c r="R789" s="28"/>
      <c r="S789" s="26"/>
    </row>
    <row r="790" customFormat="false" ht="15" hidden="false" customHeight="false" outlineLevel="0" collapsed="false">
      <c r="A790" s="7" t="n">
        <v>786</v>
      </c>
      <c r="B790" s="9" t="s">
        <v>35</v>
      </c>
      <c r="C790" s="22" t="s">
        <v>300</v>
      </c>
      <c r="D790" s="9" t="s">
        <v>3405</v>
      </c>
      <c r="E790" s="9" t="s">
        <v>49</v>
      </c>
      <c r="F790" s="9" t="s">
        <v>124</v>
      </c>
      <c r="G790" s="22" t="s">
        <v>3413</v>
      </c>
      <c r="H790" s="9" t="s">
        <v>56</v>
      </c>
      <c r="I790" s="7"/>
      <c r="J790" s="23" t="s">
        <v>3414</v>
      </c>
      <c r="K790" s="24" t="s">
        <v>3415</v>
      </c>
      <c r="L790" s="22" t="s">
        <v>3416</v>
      </c>
      <c r="M790" s="25"/>
      <c r="N790" s="25"/>
      <c r="O790" s="26"/>
      <c r="P790" s="27"/>
      <c r="Q790" s="28"/>
      <c r="R790" s="28"/>
      <c r="S790" s="26"/>
    </row>
    <row r="791" customFormat="false" ht="15" hidden="false" customHeight="false" outlineLevel="0" collapsed="false">
      <c r="A791" s="7" t="n">
        <v>787</v>
      </c>
      <c r="B791" s="9" t="s">
        <v>35</v>
      </c>
      <c r="C791" s="22" t="s">
        <v>300</v>
      </c>
      <c r="D791" s="9" t="s">
        <v>3405</v>
      </c>
      <c r="E791" s="9" t="s">
        <v>49</v>
      </c>
      <c r="F791" s="9" t="s">
        <v>124</v>
      </c>
      <c r="G791" s="22" t="s">
        <v>3417</v>
      </c>
      <c r="H791" s="9" t="s">
        <v>56</v>
      </c>
      <c r="I791" s="7" t="s">
        <v>869</v>
      </c>
      <c r="J791" s="23" t="s">
        <v>3418</v>
      </c>
      <c r="K791" s="24" t="s">
        <v>3419</v>
      </c>
      <c r="L791" s="22" t="s">
        <v>3420</v>
      </c>
      <c r="M791" s="25"/>
      <c r="N791" s="25"/>
      <c r="O791" s="26"/>
      <c r="P791" s="27"/>
      <c r="Q791" s="28"/>
      <c r="R791" s="28"/>
      <c r="S791" s="26"/>
    </row>
    <row r="792" customFormat="false" ht="15" hidden="false" customHeight="false" outlineLevel="0" collapsed="false">
      <c r="A792" s="7" t="n">
        <v>788</v>
      </c>
      <c r="B792" s="9" t="s">
        <v>35</v>
      </c>
      <c r="C792" s="22" t="s">
        <v>300</v>
      </c>
      <c r="D792" s="9" t="s">
        <v>3421</v>
      </c>
      <c r="E792" s="9" t="s">
        <v>49</v>
      </c>
      <c r="F792" s="9" t="s">
        <v>99</v>
      </c>
      <c r="G792" s="22" t="s">
        <v>3422</v>
      </c>
      <c r="H792" s="9" t="s">
        <v>56</v>
      </c>
      <c r="I792" s="7"/>
      <c r="J792" s="23" t="s">
        <v>3423</v>
      </c>
      <c r="K792" s="24" t="s">
        <v>3424</v>
      </c>
      <c r="L792" s="22" t="s">
        <v>3425</v>
      </c>
      <c r="M792" s="25"/>
      <c r="N792" s="25"/>
      <c r="O792" s="26"/>
      <c r="P792" s="27"/>
      <c r="Q792" s="28"/>
      <c r="R792" s="28"/>
      <c r="S792" s="26"/>
    </row>
    <row r="793" customFormat="false" ht="15" hidden="false" customHeight="false" outlineLevel="0" collapsed="false">
      <c r="A793" s="7" t="n">
        <v>789</v>
      </c>
      <c r="B793" s="9" t="s">
        <v>35</v>
      </c>
      <c r="C793" s="22" t="s">
        <v>300</v>
      </c>
      <c r="D793" s="9" t="s">
        <v>3426</v>
      </c>
      <c r="E793" s="9" t="s">
        <v>49</v>
      </c>
      <c r="F793" s="9" t="s">
        <v>124</v>
      </c>
      <c r="G793" s="22" t="s">
        <v>3427</v>
      </c>
      <c r="H793" s="9" t="s">
        <v>56</v>
      </c>
      <c r="I793" s="7" t="s">
        <v>869</v>
      </c>
      <c r="J793" s="23" t="s">
        <v>3428</v>
      </c>
      <c r="K793" s="24" t="s">
        <v>3429</v>
      </c>
      <c r="L793" s="22" t="s">
        <v>3430</v>
      </c>
      <c r="M793" s="25"/>
      <c r="N793" s="25"/>
      <c r="O793" s="26"/>
      <c r="P793" s="27"/>
      <c r="Q793" s="28"/>
      <c r="R793" s="28"/>
      <c r="S793" s="26"/>
    </row>
    <row r="794" customFormat="false" ht="15" hidden="false" customHeight="false" outlineLevel="0" collapsed="false">
      <c r="A794" s="7" t="n">
        <v>790</v>
      </c>
      <c r="B794" s="9" t="s">
        <v>35</v>
      </c>
      <c r="C794" s="22" t="s">
        <v>300</v>
      </c>
      <c r="D794" s="9" t="s">
        <v>3431</v>
      </c>
      <c r="E794" s="9" t="s">
        <v>49</v>
      </c>
      <c r="F794" s="9" t="s">
        <v>124</v>
      </c>
      <c r="G794" s="22" t="s">
        <v>3432</v>
      </c>
      <c r="H794" s="9" t="s">
        <v>56</v>
      </c>
      <c r="I794" s="7"/>
      <c r="J794" s="23" t="s">
        <v>3433</v>
      </c>
      <c r="K794" s="24" t="s">
        <v>3434</v>
      </c>
      <c r="L794" s="22" t="s">
        <v>3435</v>
      </c>
      <c r="M794" s="25"/>
      <c r="N794" s="25"/>
      <c r="O794" s="26"/>
      <c r="P794" s="27"/>
      <c r="Q794" s="28"/>
      <c r="R794" s="28"/>
      <c r="S794" s="26"/>
    </row>
    <row r="795" customFormat="false" ht="15" hidden="false" customHeight="false" outlineLevel="0" collapsed="false">
      <c r="A795" s="7" t="n">
        <v>791</v>
      </c>
      <c r="B795" s="9" t="s">
        <v>35</v>
      </c>
      <c r="C795" s="22" t="s">
        <v>300</v>
      </c>
      <c r="D795" s="9" t="s">
        <v>3431</v>
      </c>
      <c r="E795" s="9" t="s">
        <v>49</v>
      </c>
      <c r="F795" s="9" t="s">
        <v>124</v>
      </c>
      <c r="G795" s="22" t="s">
        <v>3436</v>
      </c>
      <c r="H795" s="9" t="s">
        <v>56</v>
      </c>
      <c r="I795" s="7"/>
      <c r="J795" s="23" t="s">
        <v>3437</v>
      </c>
      <c r="K795" s="24" t="s">
        <v>3438</v>
      </c>
      <c r="L795" s="22" t="s">
        <v>3439</v>
      </c>
      <c r="M795" s="25"/>
      <c r="N795" s="25"/>
      <c r="O795" s="26"/>
      <c r="P795" s="27"/>
      <c r="Q795" s="28"/>
      <c r="R795" s="28"/>
      <c r="S795" s="26"/>
    </row>
    <row r="796" customFormat="false" ht="15" hidden="false" customHeight="false" outlineLevel="0" collapsed="false">
      <c r="A796" s="7" t="n">
        <v>792</v>
      </c>
      <c r="B796" s="9" t="s">
        <v>35</v>
      </c>
      <c r="C796" s="22" t="s">
        <v>300</v>
      </c>
      <c r="D796" s="9" t="s">
        <v>3431</v>
      </c>
      <c r="E796" s="9" t="s">
        <v>49</v>
      </c>
      <c r="F796" s="9" t="s">
        <v>124</v>
      </c>
      <c r="G796" s="22" t="s">
        <v>3440</v>
      </c>
      <c r="H796" s="9" t="s">
        <v>56</v>
      </c>
      <c r="I796" s="7"/>
      <c r="J796" s="23" t="s">
        <v>3441</v>
      </c>
      <c r="K796" s="24" t="s">
        <v>3442</v>
      </c>
      <c r="L796" s="22" t="s">
        <v>3443</v>
      </c>
      <c r="M796" s="25"/>
      <c r="N796" s="25"/>
      <c r="O796" s="26"/>
      <c r="P796" s="27"/>
      <c r="Q796" s="28"/>
      <c r="R796" s="28"/>
      <c r="S796" s="26"/>
    </row>
    <row r="797" customFormat="false" ht="15" hidden="false" customHeight="false" outlineLevel="0" collapsed="false">
      <c r="A797" s="7" t="n">
        <v>793</v>
      </c>
      <c r="B797" s="9" t="s">
        <v>35</v>
      </c>
      <c r="C797" s="22" t="s">
        <v>300</v>
      </c>
      <c r="D797" s="9" t="s">
        <v>3431</v>
      </c>
      <c r="E797" s="9" t="s">
        <v>49</v>
      </c>
      <c r="F797" s="9" t="s">
        <v>99</v>
      </c>
      <c r="G797" s="22" t="s">
        <v>3444</v>
      </c>
      <c r="H797" s="9" t="s">
        <v>56</v>
      </c>
      <c r="I797" s="7"/>
      <c r="J797" s="23" t="s">
        <v>3445</v>
      </c>
      <c r="K797" s="24" t="s">
        <v>3446</v>
      </c>
      <c r="L797" s="22" t="s">
        <v>3447</v>
      </c>
      <c r="M797" s="25"/>
      <c r="N797" s="25"/>
      <c r="O797" s="26"/>
      <c r="P797" s="27"/>
      <c r="Q797" s="28"/>
      <c r="R797" s="28"/>
      <c r="S797" s="26"/>
    </row>
    <row r="798" customFormat="false" ht="15" hidden="false" customHeight="false" outlineLevel="0" collapsed="false">
      <c r="A798" s="7" t="n">
        <v>794</v>
      </c>
      <c r="B798" s="9" t="s">
        <v>35</v>
      </c>
      <c r="C798" s="22" t="s">
        <v>300</v>
      </c>
      <c r="D798" s="9" t="s">
        <v>3448</v>
      </c>
      <c r="E798" s="9" t="s">
        <v>49</v>
      </c>
      <c r="F798" s="9" t="s">
        <v>99</v>
      </c>
      <c r="G798" s="22" t="s">
        <v>3449</v>
      </c>
      <c r="H798" s="9" t="s">
        <v>3450</v>
      </c>
      <c r="I798" s="7"/>
      <c r="J798" s="23" t="s">
        <v>3451</v>
      </c>
      <c r="K798" s="24" t="s">
        <v>3452</v>
      </c>
      <c r="L798" s="22" t="s">
        <v>3453</v>
      </c>
      <c r="M798" s="25"/>
      <c r="N798" s="25"/>
      <c r="O798" s="26"/>
      <c r="P798" s="27"/>
      <c r="Q798" s="28"/>
      <c r="R798" s="28"/>
      <c r="S798" s="26"/>
    </row>
    <row r="799" customFormat="false" ht="15" hidden="false" customHeight="false" outlineLevel="0" collapsed="false">
      <c r="A799" s="7" t="n">
        <v>795</v>
      </c>
      <c r="B799" s="9" t="s">
        <v>35</v>
      </c>
      <c r="C799" s="22" t="s">
        <v>300</v>
      </c>
      <c r="D799" s="9" t="s">
        <v>3454</v>
      </c>
      <c r="E799" s="9" t="s">
        <v>49</v>
      </c>
      <c r="F799" s="9" t="s">
        <v>99</v>
      </c>
      <c r="G799" s="22" t="s">
        <v>3455</v>
      </c>
      <c r="H799" s="9" t="s">
        <v>3450</v>
      </c>
      <c r="I799" s="7"/>
      <c r="J799" s="23" t="s">
        <v>3456</v>
      </c>
      <c r="K799" s="24" t="s">
        <v>3457</v>
      </c>
      <c r="L799" s="22" t="s">
        <v>3458</v>
      </c>
      <c r="M799" s="25"/>
      <c r="N799" s="25"/>
      <c r="O799" s="26"/>
      <c r="P799" s="27"/>
      <c r="Q799" s="28"/>
      <c r="R799" s="28"/>
      <c r="S799" s="26"/>
    </row>
    <row r="800" customFormat="false" ht="15" hidden="false" customHeight="false" outlineLevel="0" collapsed="false">
      <c r="A800" s="7" t="n">
        <v>796</v>
      </c>
      <c r="B800" s="9" t="s">
        <v>35</v>
      </c>
      <c r="C800" s="22" t="s">
        <v>300</v>
      </c>
      <c r="D800" s="9" t="s">
        <v>3459</v>
      </c>
      <c r="E800" s="9" t="s">
        <v>49</v>
      </c>
      <c r="F800" s="9" t="s">
        <v>124</v>
      </c>
      <c r="G800" s="22" t="s">
        <v>3460</v>
      </c>
      <c r="H800" s="9" t="s">
        <v>56</v>
      </c>
      <c r="I800" s="7" t="s">
        <v>869</v>
      </c>
      <c r="J800" s="23" t="s">
        <v>3461</v>
      </c>
      <c r="K800" s="24" t="s">
        <v>3462</v>
      </c>
      <c r="L800" s="22" t="s">
        <v>3463</v>
      </c>
      <c r="M800" s="25"/>
      <c r="N800" s="25"/>
      <c r="O800" s="26"/>
      <c r="P800" s="27"/>
      <c r="Q800" s="28"/>
      <c r="R800" s="28"/>
      <c r="S800" s="26"/>
    </row>
    <row r="801" customFormat="false" ht="15" hidden="false" customHeight="false" outlineLevel="0" collapsed="false">
      <c r="A801" s="7" t="n">
        <v>797</v>
      </c>
      <c r="B801" s="9" t="s">
        <v>35</v>
      </c>
      <c r="C801" s="22" t="s">
        <v>3464</v>
      </c>
      <c r="D801" s="9" t="s">
        <v>3400</v>
      </c>
      <c r="E801" s="9" t="s">
        <v>47</v>
      </c>
      <c r="F801" s="9" t="s">
        <v>99</v>
      </c>
      <c r="G801" s="22" t="s">
        <v>3465</v>
      </c>
      <c r="H801" s="9" t="s">
        <v>56</v>
      </c>
      <c r="I801" s="7"/>
      <c r="J801" s="23" t="s">
        <v>3466</v>
      </c>
      <c r="K801" s="24" t="s">
        <v>3467</v>
      </c>
      <c r="L801" s="22" t="s">
        <v>3468</v>
      </c>
      <c r="M801" s="25"/>
      <c r="N801" s="25"/>
      <c r="O801" s="26"/>
      <c r="P801" s="27"/>
      <c r="Q801" s="28"/>
      <c r="R801" s="28"/>
      <c r="S801" s="26"/>
    </row>
    <row r="802" customFormat="false" ht="15" hidden="false" customHeight="false" outlineLevel="0" collapsed="false">
      <c r="A802" s="7" t="n">
        <v>798</v>
      </c>
      <c r="B802" s="9" t="s">
        <v>35</v>
      </c>
      <c r="C802" s="22" t="s">
        <v>3464</v>
      </c>
      <c r="D802" s="9" t="s">
        <v>3400</v>
      </c>
      <c r="E802" s="9" t="s">
        <v>47</v>
      </c>
      <c r="F802" s="9" t="s">
        <v>99</v>
      </c>
      <c r="G802" s="22" t="s">
        <v>3469</v>
      </c>
      <c r="H802" s="9" t="s">
        <v>56</v>
      </c>
      <c r="I802" s="7"/>
      <c r="J802" s="23" t="s">
        <v>3470</v>
      </c>
      <c r="K802" s="24" t="s">
        <v>3471</v>
      </c>
      <c r="L802" s="22" t="s">
        <v>3472</v>
      </c>
      <c r="M802" s="25"/>
      <c r="N802" s="25"/>
      <c r="O802" s="26"/>
      <c r="P802" s="27"/>
      <c r="Q802" s="28"/>
      <c r="R802" s="28"/>
      <c r="S802" s="26"/>
    </row>
    <row r="803" customFormat="false" ht="15" hidden="false" customHeight="false" outlineLevel="0" collapsed="false">
      <c r="A803" s="7" t="n">
        <v>799</v>
      </c>
      <c r="B803" s="9" t="s">
        <v>35</v>
      </c>
      <c r="C803" s="22" t="s">
        <v>3464</v>
      </c>
      <c r="D803" s="9" t="s">
        <v>3400</v>
      </c>
      <c r="E803" s="9" t="s">
        <v>47</v>
      </c>
      <c r="F803" s="9" t="s">
        <v>99</v>
      </c>
      <c r="G803" s="22" t="s">
        <v>3473</v>
      </c>
      <c r="H803" s="9" t="s">
        <v>56</v>
      </c>
      <c r="I803" s="7"/>
      <c r="J803" s="23" t="s">
        <v>3474</v>
      </c>
      <c r="K803" s="24" t="s">
        <v>3475</v>
      </c>
      <c r="L803" s="22" t="s">
        <v>3476</v>
      </c>
      <c r="M803" s="25"/>
      <c r="N803" s="25"/>
      <c r="O803" s="26"/>
      <c r="P803" s="27"/>
      <c r="Q803" s="28"/>
      <c r="R803" s="28"/>
      <c r="S803" s="26"/>
    </row>
    <row r="804" customFormat="false" ht="15" hidden="false" customHeight="false" outlineLevel="0" collapsed="false">
      <c r="A804" s="7" t="n">
        <v>800</v>
      </c>
      <c r="B804" s="9" t="s">
        <v>35</v>
      </c>
      <c r="C804" s="22" t="s">
        <v>3464</v>
      </c>
      <c r="D804" s="9" t="s">
        <v>3400</v>
      </c>
      <c r="E804" s="9" t="s">
        <v>48</v>
      </c>
      <c r="F804" s="9" t="s">
        <v>99</v>
      </c>
      <c r="G804" s="22" t="s">
        <v>3477</v>
      </c>
      <c r="H804" s="9" t="s">
        <v>56</v>
      </c>
      <c r="I804" s="7"/>
      <c r="J804" s="23" t="s">
        <v>3478</v>
      </c>
      <c r="K804" s="24" t="s">
        <v>3479</v>
      </c>
      <c r="L804" s="22" t="s">
        <v>3480</v>
      </c>
      <c r="M804" s="25"/>
      <c r="N804" s="25"/>
      <c r="O804" s="26"/>
      <c r="P804" s="27"/>
      <c r="Q804" s="28"/>
      <c r="R804" s="28"/>
      <c r="S804" s="26"/>
    </row>
    <row r="805" customFormat="false" ht="15" hidden="false" customHeight="false" outlineLevel="0" collapsed="false">
      <c r="A805" s="7" t="n">
        <v>801</v>
      </c>
      <c r="B805" s="9" t="s">
        <v>35</v>
      </c>
      <c r="C805" s="22" t="s">
        <v>3464</v>
      </c>
      <c r="D805" s="9" t="s">
        <v>3400</v>
      </c>
      <c r="E805" s="9" t="s">
        <v>48</v>
      </c>
      <c r="F805" s="9" t="s">
        <v>99</v>
      </c>
      <c r="G805" s="22" t="s">
        <v>3481</v>
      </c>
      <c r="H805" s="9" t="s">
        <v>56</v>
      </c>
      <c r="I805" s="7"/>
      <c r="J805" s="23" t="s">
        <v>3482</v>
      </c>
      <c r="K805" s="24" t="s">
        <v>3483</v>
      </c>
      <c r="L805" s="22" t="s">
        <v>3484</v>
      </c>
      <c r="M805" s="25"/>
      <c r="N805" s="25"/>
      <c r="O805" s="26"/>
      <c r="P805" s="27"/>
      <c r="Q805" s="28"/>
      <c r="R805" s="28"/>
      <c r="S805" s="26"/>
    </row>
    <row r="806" customFormat="false" ht="15" hidden="false" customHeight="false" outlineLevel="0" collapsed="false">
      <c r="A806" s="7" t="n">
        <v>802</v>
      </c>
      <c r="B806" s="9" t="s">
        <v>35</v>
      </c>
      <c r="C806" s="22" t="s">
        <v>3485</v>
      </c>
      <c r="D806" s="9" t="s">
        <v>3405</v>
      </c>
      <c r="E806" s="9" t="s">
        <v>48</v>
      </c>
      <c r="F806" s="9" t="s">
        <v>124</v>
      </c>
      <c r="G806" s="22" t="s">
        <v>3486</v>
      </c>
      <c r="H806" s="9" t="s">
        <v>56</v>
      </c>
      <c r="I806" s="7"/>
      <c r="J806" s="23" t="s">
        <v>3487</v>
      </c>
      <c r="K806" s="24" t="s">
        <v>3488</v>
      </c>
      <c r="L806" s="22" t="s">
        <v>3409</v>
      </c>
      <c r="M806" s="25"/>
      <c r="N806" s="25"/>
      <c r="O806" s="26"/>
      <c r="P806" s="27"/>
      <c r="Q806" s="28"/>
      <c r="R806" s="28"/>
      <c r="S806" s="26"/>
    </row>
    <row r="807" customFormat="false" ht="15" hidden="false" customHeight="false" outlineLevel="0" collapsed="false">
      <c r="A807" s="7" t="n">
        <v>803</v>
      </c>
      <c r="B807" s="9" t="s">
        <v>35</v>
      </c>
      <c r="C807" s="22" t="s">
        <v>3485</v>
      </c>
      <c r="D807" s="9" t="s">
        <v>3405</v>
      </c>
      <c r="E807" s="9" t="s">
        <v>48</v>
      </c>
      <c r="F807" s="9" t="s">
        <v>124</v>
      </c>
      <c r="G807" s="22" t="s">
        <v>3489</v>
      </c>
      <c r="H807" s="9" t="s">
        <v>56</v>
      </c>
      <c r="I807" s="7"/>
      <c r="J807" s="23" t="s">
        <v>3490</v>
      </c>
      <c r="K807" s="24" t="s">
        <v>3491</v>
      </c>
      <c r="L807" s="22" t="s">
        <v>3492</v>
      </c>
      <c r="M807" s="25"/>
      <c r="N807" s="25"/>
      <c r="O807" s="26"/>
      <c r="P807" s="27"/>
      <c r="Q807" s="28"/>
      <c r="R807" s="28"/>
      <c r="S807" s="26"/>
    </row>
    <row r="808" customFormat="false" ht="15" hidden="false" customHeight="false" outlineLevel="0" collapsed="false">
      <c r="A808" s="7" t="n">
        <v>804</v>
      </c>
      <c r="B808" s="9" t="s">
        <v>35</v>
      </c>
      <c r="C808" s="22" t="s">
        <v>3485</v>
      </c>
      <c r="D808" s="9" t="s">
        <v>3405</v>
      </c>
      <c r="E808" s="9" t="s">
        <v>48</v>
      </c>
      <c r="F808" s="9" t="s">
        <v>124</v>
      </c>
      <c r="G808" s="22" t="s">
        <v>3493</v>
      </c>
      <c r="H808" s="9" t="s">
        <v>3450</v>
      </c>
      <c r="I808" s="7" t="s">
        <v>869</v>
      </c>
      <c r="J808" s="23" t="s">
        <v>3494</v>
      </c>
      <c r="K808" s="24" t="s">
        <v>3495</v>
      </c>
      <c r="L808" s="22" t="s">
        <v>3496</v>
      </c>
      <c r="M808" s="25"/>
      <c r="N808" s="25"/>
      <c r="O808" s="26"/>
      <c r="P808" s="27"/>
      <c r="Q808" s="28"/>
      <c r="R808" s="28"/>
      <c r="S808" s="26"/>
    </row>
    <row r="809" customFormat="false" ht="15" hidden="false" customHeight="false" outlineLevel="0" collapsed="false">
      <c r="A809" s="7" t="n">
        <v>805</v>
      </c>
      <c r="B809" s="9" t="s">
        <v>35</v>
      </c>
      <c r="C809" s="22" t="s">
        <v>3485</v>
      </c>
      <c r="D809" s="9" t="s">
        <v>3405</v>
      </c>
      <c r="E809" s="9" t="s">
        <v>48</v>
      </c>
      <c r="F809" s="9" t="s">
        <v>99</v>
      </c>
      <c r="G809" s="22" t="s">
        <v>3497</v>
      </c>
      <c r="H809" s="9" t="s">
        <v>56</v>
      </c>
      <c r="I809" s="7"/>
      <c r="J809" s="23" t="s">
        <v>3498</v>
      </c>
      <c r="K809" s="24" t="s">
        <v>3499</v>
      </c>
      <c r="L809" s="22" t="s">
        <v>3500</v>
      </c>
      <c r="M809" s="25"/>
      <c r="N809" s="25"/>
      <c r="O809" s="26"/>
      <c r="P809" s="27"/>
      <c r="Q809" s="28"/>
      <c r="R809" s="28"/>
      <c r="S809" s="26"/>
    </row>
    <row r="810" customFormat="false" ht="15" hidden="false" customHeight="false" outlineLevel="0" collapsed="false">
      <c r="A810" s="7" t="n">
        <v>806</v>
      </c>
      <c r="B810" s="9" t="s">
        <v>35</v>
      </c>
      <c r="C810" s="22" t="s">
        <v>3485</v>
      </c>
      <c r="D810" s="9" t="s">
        <v>3405</v>
      </c>
      <c r="E810" s="9" t="s">
        <v>48</v>
      </c>
      <c r="F810" s="9" t="s">
        <v>124</v>
      </c>
      <c r="G810" s="22" t="s">
        <v>3501</v>
      </c>
      <c r="H810" s="9" t="s">
        <v>56</v>
      </c>
      <c r="I810" s="7"/>
      <c r="J810" s="23" t="s">
        <v>3502</v>
      </c>
      <c r="K810" s="24" t="s">
        <v>3503</v>
      </c>
      <c r="L810" s="22" t="s">
        <v>3409</v>
      </c>
      <c r="M810" s="25"/>
      <c r="N810" s="25"/>
      <c r="O810" s="26"/>
      <c r="P810" s="27"/>
      <c r="Q810" s="28"/>
      <c r="R810" s="28"/>
      <c r="S810" s="26"/>
    </row>
    <row r="811" customFormat="false" ht="15" hidden="false" customHeight="false" outlineLevel="0" collapsed="false">
      <c r="A811" s="7" t="n">
        <v>807</v>
      </c>
      <c r="B811" s="9" t="s">
        <v>35</v>
      </c>
      <c r="C811" s="22" t="s">
        <v>3485</v>
      </c>
      <c r="D811" s="9" t="s">
        <v>3405</v>
      </c>
      <c r="E811" s="9" t="s">
        <v>48</v>
      </c>
      <c r="F811" s="9" t="s">
        <v>124</v>
      </c>
      <c r="G811" s="22" t="s">
        <v>3504</v>
      </c>
      <c r="H811" s="9" t="s">
        <v>56</v>
      </c>
      <c r="I811" s="7"/>
      <c r="J811" s="23" t="s">
        <v>3505</v>
      </c>
      <c r="K811" s="24" t="s">
        <v>3506</v>
      </c>
      <c r="L811" s="22" t="s">
        <v>3416</v>
      </c>
      <c r="M811" s="25"/>
      <c r="N811" s="25"/>
      <c r="O811" s="26"/>
      <c r="P811" s="27"/>
      <c r="Q811" s="28"/>
      <c r="R811" s="28"/>
      <c r="S811" s="26"/>
    </row>
    <row r="812" customFormat="false" ht="15" hidden="false" customHeight="false" outlineLevel="0" collapsed="false">
      <c r="A812" s="7" t="n">
        <v>808</v>
      </c>
      <c r="B812" s="9" t="s">
        <v>35</v>
      </c>
      <c r="C812" s="22" t="s">
        <v>3485</v>
      </c>
      <c r="D812" s="9" t="s">
        <v>3405</v>
      </c>
      <c r="E812" s="9" t="s">
        <v>48</v>
      </c>
      <c r="F812" s="9" t="s">
        <v>124</v>
      </c>
      <c r="G812" s="22" t="s">
        <v>3507</v>
      </c>
      <c r="H812" s="9" t="s">
        <v>56</v>
      </c>
      <c r="I812" s="7"/>
      <c r="J812" s="23" t="s">
        <v>3508</v>
      </c>
      <c r="K812" s="24" t="s">
        <v>3509</v>
      </c>
      <c r="L812" s="22" t="s">
        <v>3420</v>
      </c>
      <c r="M812" s="25"/>
      <c r="N812" s="25"/>
      <c r="O812" s="26"/>
      <c r="P812" s="27"/>
      <c r="Q812" s="28"/>
      <c r="R812" s="28"/>
      <c r="S812" s="26"/>
    </row>
    <row r="813" customFormat="false" ht="15" hidden="false" customHeight="false" outlineLevel="0" collapsed="false">
      <c r="A813" s="7" t="n">
        <v>809</v>
      </c>
      <c r="B813" s="9" t="s">
        <v>35</v>
      </c>
      <c r="C813" s="22" t="s">
        <v>3510</v>
      </c>
      <c r="D813" s="9" t="s">
        <v>3421</v>
      </c>
      <c r="E813" s="9" t="s">
        <v>47</v>
      </c>
      <c r="F813" s="9" t="s">
        <v>99</v>
      </c>
      <c r="G813" s="22" t="s">
        <v>3511</v>
      </c>
      <c r="H813" s="9" t="s">
        <v>3450</v>
      </c>
      <c r="I813" s="7"/>
      <c r="J813" s="23" t="s">
        <v>3512</v>
      </c>
      <c r="K813" s="24" t="s">
        <v>3513</v>
      </c>
      <c r="L813" s="22" t="s">
        <v>3514</v>
      </c>
      <c r="M813" s="25"/>
      <c r="N813" s="25"/>
      <c r="O813" s="26"/>
      <c r="P813" s="27"/>
      <c r="Q813" s="28"/>
      <c r="R813" s="28"/>
      <c r="S813" s="26"/>
    </row>
    <row r="814" customFormat="false" ht="15" hidden="false" customHeight="false" outlineLevel="0" collapsed="false">
      <c r="A814" s="7" t="n">
        <v>810</v>
      </c>
      <c r="B814" s="9" t="s">
        <v>35</v>
      </c>
      <c r="C814" s="22" t="s">
        <v>3510</v>
      </c>
      <c r="D814" s="9" t="s">
        <v>3421</v>
      </c>
      <c r="E814" s="9" t="s">
        <v>47</v>
      </c>
      <c r="F814" s="9" t="s">
        <v>99</v>
      </c>
      <c r="G814" s="22" t="s">
        <v>3515</v>
      </c>
      <c r="H814" s="9" t="s">
        <v>3450</v>
      </c>
      <c r="I814" s="7" t="s">
        <v>869</v>
      </c>
      <c r="J814" s="23" t="s">
        <v>3516</v>
      </c>
      <c r="K814" s="24" t="s">
        <v>3517</v>
      </c>
      <c r="L814" s="22" t="s">
        <v>3518</v>
      </c>
      <c r="M814" s="25"/>
      <c r="N814" s="25"/>
      <c r="O814" s="26"/>
      <c r="P814" s="27"/>
      <c r="Q814" s="28"/>
      <c r="R814" s="28"/>
      <c r="S814" s="26"/>
    </row>
    <row r="815" customFormat="false" ht="15" hidden="false" customHeight="false" outlineLevel="0" collapsed="false">
      <c r="A815" s="7" t="n">
        <v>811</v>
      </c>
      <c r="B815" s="9" t="s">
        <v>35</v>
      </c>
      <c r="C815" s="22" t="s">
        <v>3510</v>
      </c>
      <c r="D815" s="9" t="s">
        <v>3421</v>
      </c>
      <c r="E815" s="9" t="s">
        <v>48</v>
      </c>
      <c r="F815" s="9" t="s">
        <v>99</v>
      </c>
      <c r="G815" s="22" t="s">
        <v>3519</v>
      </c>
      <c r="H815" s="9" t="s">
        <v>56</v>
      </c>
      <c r="I815" s="7" t="s">
        <v>869</v>
      </c>
      <c r="J815" s="23" t="s">
        <v>3520</v>
      </c>
      <c r="K815" s="24" t="s">
        <v>3521</v>
      </c>
      <c r="L815" s="22" t="s">
        <v>3522</v>
      </c>
      <c r="M815" s="25"/>
      <c r="N815" s="25"/>
      <c r="O815" s="26"/>
      <c r="P815" s="27"/>
      <c r="Q815" s="28"/>
      <c r="R815" s="28"/>
      <c r="S815" s="26"/>
    </row>
    <row r="816" customFormat="false" ht="15" hidden="false" customHeight="false" outlineLevel="0" collapsed="false">
      <c r="A816" s="7" t="n">
        <v>812</v>
      </c>
      <c r="B816" s="9" t="s">
        <v>35</v>
      </c>
      <c r="C816" s="22" t="s">
        <v>3510</v>
      </c>
      <c r="D816" s="9" t="s">
        <v>3421</v>
      </c>
      <c r="E816" s="9" t="s">
        <v>48</v>
      </c>
      <c r="F816" s="9" t="s">
        <v>99</v>
      </c>
      <c r="G816" s="22" t="s">
        <v>3523</v>
      </c>
      <c r="H816" s="9" t="s">
        <v>56</v>
      </c>
      <c r="I816" s="7"/>
      <c r="J816" s="23" t="s">
        <v>3524</v>
      </c>
      <c r="K816" s="24" t="s">
        <v>3525</v>
      </c>
      <c r="L816" s="22" t="s">
        <v>3526</v>
      </c>
      <c r="M816" s="25"/>
      <c r="N816" s="25"/>
      <c r="O816" s="26"/>
      <c r="P816" s="27"/>
      <c r="Q816" s="28"/>
      <c r="R816" s="28"/>
      <c r="S816" s="26"/>
    </row>
    <row r="817" customFormat="false" ht="15" hidden="false" customHeight="false" outlineLevel="0" collapsed="false">
      <c r="A817" s="7" t="n">
        <v>813</v>
      </c>
      <c r="B817" s="9" t="s">
        <v>35</v>
      </c>
      <c r="C817" s="22" t="s">
        <v>3527</v>
      </c>
      <c r="D817" s="9" t="s">
        <v>3426</v>
      </c>
      <c r="E817" s="9" t="s">
        <v>47</v>
      </c>
      <c r="F817" s="9" t="s">
        <v>99</v>
      </c>
      <c r="G817" s="22" t="s">
        <v>3528</v>
      </c>
      <c r="H817" s="9" t="s">
        <v>56</v>
      </c>
      <c r="I817" s="7"/>
      <c r="J817" s="23" t="s">
        <v>3529</v>
      </c>
      <c r="K817" s="24" t="s">
        <v>3530</v>
      </c>
      <c r="L817" s="22" t="s">
        <v>3531</v>
      </c>
      <c r="M817" s="25"/>
      <c r="N817" s="25"/>
      <c r="O817" s="26"/>
      <c r="P817" s="27"/>
      <c r="Q817" s="28"/>
      <c r="R817" s="28"/>
      <c r="S817" s="26"/>
    </row>
    <row r="818" customFormat="false" ht="15" hidden="false" customHeight="false" outlineLevel="0" collapsed="false">
      <c r="A818" s="7" t="n">
        <v>814</v>
      </c>
      <c r="B818" s="9" t="s">
        <v>35</v>
      </c>
      <c r="C818" s="22" t="s">
        <v>3527</v>
      </c>
      <c r="D818" s="9" t="s">
        <v>3426</v>
      </c>
      <c r="E818" s="9" t="s">
        <v>47</v>
      </c>
      <c r="F818" s="9" t="s">
        <v>99</v>
      </c>
      <c r="G818" s="22" t="s">
        <v>3532</v>
      </c>
      <c r="H818" s="9" t="s">
        <v>56</v>
      </c>
      <c r="I818" s="7"/>
      <c r="J818" s="23" t="s">
        <v>3533</v>
      </c>
      <c r="K818" s="24" t="s">
        <v>3534</v>
      </c>
      <c r="L818" s="22" t="s">
        <v>3535</v>
      </c>
      <c r="M818" s="25"/>
      <c r="N818" s="25"/>
      <c r="O818" s="26"/>
      <c r="P818" s="27"/>
      <c r="Q818" s="28"/>
      <c r="R818" s="28"/>
      <c r="S818" s="26"/>
    </row>
    <row r="819" customFormat="false" ht="15" hidden="false" customHeight="false" outlineLevel="0" collapsed="false">
      <c r="A819" s="7" t="n">
        <v>815</v>
      </c>
      <c r="B819" s="9" t="s">
        <v>35</v>
      </c>
      <c r="C819" s="22" t="s">
        <v>3527</v>
      </c>
      <c r="D819" s="9" t="s">
        <v>3426</v>
      </c>
      <c r="E819" s="9" t="s">
        <v>47</v>
      </c>
      <c r="F819" s="9" t="s">
        <v>99</v>
      </c>
      <c r="G819" s="22" t="s">
        <v>3536</v>
      </c>
      <c r="H819" s="9" t="s">
        <v>3450</v>
      </c>
      <c r="I819" s="7"/>
      <c r="J819" s="23" t="s">
        <v>3537</v>
      </c>
      <c r="K819" s="24" t="s">
        <v>3538</v>
      </c>
      <c r="L819" s="22" t="s">
        <v>3539</v>
      </c>
      <c r="M819" s="25"/>
      <c r="N819" s="25"/>
      <c r="O819" s="26"/>
      <c r="P819" s="27"/>
      <c r="Q819" s="28"/>
      <c r="R819" s="28"/>
      <c r="S819" s="26"/>
    </row>
    <row r="820" customFormat="false" ht="15" hidden="false" customHeight="false" outlineLevel="0" collapsed="false">
      <c r="A820" s="7" t="n">
        <v>816</v>
      </c>
      <c r="B820" s="9" t="s">
        <v>35</v>
      </c>
      <c r="C820" s="22" t="s">
        <v>3527</v>
      </c>
      <c r="D820" s="9" t="s">
        <v>3426</v>
      </c>
      <c r="E820" s="9" t="s">
        <v>48</v>
      </c>
      <c r="F820" s="9" t="s">
        <v>124</v>
      </c>
      <c r="G820" s="22" t="s">
        <v>3540</v>
      </c>
      <c r="H820" s="9" t="s">
        <v>3450</v>
      </c>
      <c r="I820" s="7"/>
      <c r="J820" s="23" t="s">
        <v>3541</v>
      </c>
      <c r="K820" s="24" t="s">
        <v>3542</v>
      </c>
      <c r="L820" s="22" t="s">
        <v>3543</v>
      </c>
      <c r="M820" s="25"/>
      <c r="N820" s="25"/>
      <c r="O820" s="26"/>
      <c r="P820" s="27"/>
      <c r="Q820" s="28"/>
      <c r="R820" s="28"/>
      <c r="S820" s="26"/>
    </row>
    <row r="821" customFormat="false" ht="15" hidden="false" customHeight="false" outlineLevel="0" collapsed="false">
      <c r="A821" s="7" t="n">
        <v>817</v>
      </c>
      <c r="B821" s="9" t="s">
        <v>35</v>
      </c>
      <c r="C821" s="22" t="s">
        <v>3544</v>
      </c>
      <c r="D821" s="9" t="s">
        <v>3431</v>
      </c>
      <c r="E821" s="9" t="s">
        <v>47</v>
      </c>
      <c r="F821" s="9" t="s">
        <v>99</v>
      </c>
      <c r="G821" s="22" t="s">
        <v>3545</v>
      </c>
      <c r="H821" s="9" t="s">
        <v>56</v>
      </c>
      <c r="I821" s="7" t="s">
        <v>869</v>
      </c>
      <c r="J821" s="23" t="s">
        <v>3546</v>
      </c>
      <c r="K821" s="24" t="s">
        <v>3547</v>
      </c>
      <c r="L821" s="22" t="s">
        <v>3548</v>
      </c>
      <c r="M821" s="25"/>
      <c r="N821" s="25"/>
      <c r="O821" s="26"/>
      <c r="P821" s="27"/>
      <c r="Q821" s="28"/>
      <c r="R821" s="28"/>
      <c r="S821" s="26"/>
    </row>
    <row r="822" customFormat="false" ht="15" hidden="false" customHeight="false" outlineLevel="0" collapsed="false">
      <c r="A822" s="7" t="n">
        <v>818</v>
      </c>
      <c r="B822" s="9" t="s">
        <v>35</v>
      </c>
      <c r="C822" s="22" t="s">
        <v>3544</v>
      </c>
      <c r="D822" s="9" t="s">
        <v>3431</v>
      </c>
      <c r="E822" s="9" t="s">
        <v>47</v>
      </c>
      <c r="F822" s="9" t="s">
        <v>99</v>
      </c>
      <c r="G822" s="22" t="s">
        <v>3549</v>
      </c>
      <c r="H822" s="9" t="s">
        <v>56</v>
      </c>
      <c r="I822" s="7"/>
      <c r="J822" s="23" t="s">
        <v>3550</v>
      </c>
      <c r="K822" s="24" t="s">
        <v>3551</v>
      </c>
      <c r="L822" s="22" t="s">
        <v>3552</v>
      </c>
      <c r="M822" s="25"/>
      <c r="N822" s="25"/>
      <c r="O822" s="26"/>
      <c r="P822" s="27"/>
      <c r="Q822" s="28"/>
      <c r="R822" s="28"/>
      <c r="S822" s="26"/>
    </row>
    <row r="823" customFormat="false" ht="15" hidden="false" customHeight="false" outlineLevel="0" collapsed="false">
      <c r="A823" s="7" t="n">
        <v>819</v>
      </c>
      <c r="B823" s="9" t="s">
        <v>35</v>
      </c>
      <c r="C823" s="22" t="s">
        <v>3553</v>
      </c>
      <c r="D823" s="9" t="s">
        <v>3554</v>
      </c>
      <c r="E823" s="9" t="s">
        <v>48</v>
      </c>
      <c r="F823" s="9" t="s">
        <v>99</v>
      </c>
      <c r="G823" s="22" t="s">
        <v>3555</v>
      </c>
      <c r="H823" s="9" t="s">
        <v>56</v>
      </c>
      <c r="I823" s="7"/>
      <c r="J823" s="23" t="s">
        <v>3556</v>
      </c>
      <c r="K823" s="24" t="s">
        <v>3557</v>
      </c>
      <c r="L823" s="22" t="s">
        <v>3558</v>
      </c>
      <c r="M823" s="25"/>
      <c r="N823" s="25"/>
      <c r="O823" s="26"/>
      <c r="P823" s="27"/>
      <c r="Q823" s="28"/>
      <c r="R823" s="28"/>
      <c r="S823" s="26"/>
    </row>
    <row r="824" customFormat="false" ht="15" hidden="false" customHeight="false" outlineLevel="0" collapsed="false">
      <c r="A824" s="7" t="n">
        <v>820</v>
      </c>
      <c r="B824" s="9" t="s">
        <v>35</v>
      </c>
      <c r="C824" s="22" t="s">
        <v>3559</v>
      </c>
      <c r="D824" s="9" t="s">
        <v>3448</v>
      </c>
      <c r="E824" s="9" t="s">
        <v>47</v>
      </c>
      <c r="F824" s="9" t="s">
        <v>99</v>
      </c>
      <c r="G824" s="22" t="s">
        <v>3560</v>
      </c>
      <c r="H824" s="9" t="s">
        <v>56</v>
      </c>
      <c r="I824" s="7"/>
      <c r="J824" s="23" t="s">
        <v>3561</v>
      </c>
      <c r="K824" s="24" t="s">
        <v>3562</v>
      </c>
      <c r="L824" s="22" t="s">
        <v>3563</v>
      </c>
      <c r="M824" s="25"/>
      <c r="N824" s="25"/>
      <c r="O824" s="26"/>
      <c r="P824" s="27"/>
      <c r="Q824" s="28"/>
      <c r="R824" s="28"/>
      <c r="S824" s="26"/>
    </row>
    <row r="825" customFormat="false" ht="15" hidden="false" customHeight="false" outlineLevel="0" collapsed="false">
      <c r="A825" s="7" t="n">
        <v>821</v>
      </c>
      <c r="B825" s="9" t="s">
        <v>35</v>
      </c>
      <c r="C825" s="22" t="s">
        <v>3559</v>
      </c>
      <c r="D825" s="9" t="s">
        <v>3448</v>
      </c>
      <c r="E825" s="9" t="s">
        <v>47</v>
      </c>
      <c r="F825" s="9" t="s">
        <v>99</v>
      </c>
      <c r="G825" s="22" t="s">
        <v>3564</v>
      </c>
      <c r="H825" s="9" t="s">
        <v>56</v>
      </c>
      <c r="I825" s="7" t="s">
        <v>869</v>
      </c>
      <c r="J825" s="23" t="s">
        <v>3565</v>
      </c>
      <c r="K825" s="24" t="s">
        <v>3566</v>
      </c>
      <c r="L825" s="22" t="s">
        <v>3567</v>
      </c>
      <c r="M825" s="25"/>
      <c r="N825" s="25"/>
      <c r="O825" s="26"/>
      <c r="P825" s="27"/>
      <c r="Q825" s="28"/>
      <c r="R825" s="28"/>
      <c r="S825" s="26"/>
    </row>
    <row r="826" customFormat="false" ht="15" hidden="false" customHeight="false" outlineLevel="0" collapsed="false">
      <c r="A826" s="7" t="n">
        <v>822</v>
      </c>
      <c r="B826" s="9" t="s">
        <v>35</v>
      </c>
      <c r="C826" s="22" t="s">
        <v>3559</v>
      </c>
      <c r="D826" s="9" t="s">
        <v>3448</v>
      </c>
      <c r="E826" s="9" t="s">
        <v>48</v>
      </c>
      <c r="F826" s="9" t="s">
        <v>99</v>
      </c>
      <c r="G826" s="22" t="s">
        <v>3568</v>
      </c>
      <c r="H826" s="9" t="s">
        <v>3450</v>
      </c>
      <c r="I826" s="7"/>
      <c r="J826" s="23" t="s">
        <v>3569</v>
      </c>
      <c r="K826" s="24" t="s">
        <v>3570</v>
      </c>
      <c r="L826" s="22" t="s">
        <v>3571</v>
      </c>
      <c r="M826" s="25"/>
      <c r="N826" s="25"/>
      <c r="O826" s="26"/>
      <c r="P826" s="27"/>
      <c r="Q826" s="28"/>
      <c r="R826" s="28"/>
      <c r="S826" s="26"/>
    </row>
    <row r="827" customFormat="false" ht="15" hidden="false" customHeight="false" outlineLevel="0" collapsed="false">
      <c r="A827" s="7" t="n">
        <v>823</v>
      </c>
      <c r="B827" s="9" t="s">
        <v>35</v>
      </c>
      <c r="C827" s="22" t="s">
        <v>3559</v>
      </c>
      <c r="D827" s="9" t="s">
        <v>3448</v>
      </c>
      <c r="E827" s="9" t="s">
        <v>48</v>
      </c>
      <c r="F827" s="9" t="s">
        <v>124</v>
      </c>
      <c r="G827" s="22" t="s">
        <v>3572</v>
      </c>
      <c r="H827" s="9" t="s">
        <v>56</v>
      </c>
      <c r="I827" s="7"/>
      <c r="J827" s="23" t="s">
        <v>3573</v>
      </c>
      <c r="K827" s="24" t="s">
        <v>3574</v>
      </c>
      <c r="L827" s="22" t="s">
        <v>3575</v>
      </c>
      <c r="M827" s="25"/>
      <c r="N827" s="25"/>
      <c r="O827" s="26"/>
      <c r="P827" s="27"/>
      <c r="Q827" s="28"/>
      <c r="R827" s="28"/>
      <c r="S827" s="26"/>
    </row>
    <row r="828" customFormat="false" ht="15" hidden="false" customHeight="false" outlineLevel="0" collapsed="false">
      <c r="A828" s="7" t="n">
        <v>824</v>
      </c>
      <c r="B828" s="9" t="s">
        <v>35</v>
      </c>
      <c r="C828" s="22" t="s">
        <v>3559</v>
      </c>
      <c r="D828" s="9" t="s">
        <v>3448</v>
      </c>
      <c r="E828" s="9" t="s">
        <v>48</v>
      </c>
      <c r="F828" s="9" t="s">
        <v>99</v>
      </c>
      <c r="G828" s="22" t="s">
        <v>3576</v>
      </c>
      <c r="H828" s="9" t="s">
        <v>3450</v>
      </c>
      <c r="I828" s="7"/>
      <c r="J828" s="23" t="s">
        <v>3577</v>
      </c>
      <c r="K828" s="24" t="s">
        <v>3578</v>
      </c>
      <c r="L828" s="22" t="s">
        <v>3579</v>
      </c>
      <c r="M828" s="25"/>
      <c r="N828" s="25"/>
      <c r="O828" s="26"/>
      <c r="P828" s="27"/>
      <c r="Q828" s="28"/>
      <c r="R828" s="28"/>
      <c r="S828" s="26"/>
    </row>
    <row r="829" customFormat="false" ht="15" hidden="false" customHeight="false" outlineLevel="0" collapsed="false">
      <c r="A829" s="7" t="n">
        <v>825</v>
      </c>
      <c r="B829" s="9" t="s">
        <v>35</v>
      </c>
      <c r="C829" s="22" t="s">
        <v>3580</v>
      </c>
      <c r="D829" s="9" t="s">
        <v>3581</v>
      </c>
      <c r="E829" s="9" t="s">
        <v>47</v>
      </c>
      <c r="F829" s="9" t="s">
        <v>99</v>
      </c>
      <c r="G829" s="22" t="s">
        <v>3582</v>
      </c>
      <c r="H829" s="9" t="s">
        <v>56</v>
      </c>
      <c r="I829" s="7"/>
      <c r="J829" s="23" t="s">
        <v>3583</v>
      </c>
      <c r="K829" s="24" t="s">
        <v>3584</v>
      </c>
      <c r="L829" s="22" t="s">
        <v>3585</v>
      </c>
      <c r="M829" s="25"/>
      <c r="N829" s="25"/>
      <c r="O829" s="26"/>
      <c r="P829" s="27"/>
      <c r="Q829" s="28"/>
      <c r="R829" s="28"/>
      <c r="S829" s="26"/>
    </row>
    <row r="830" customFormat="false" ht="15" hidden="false" customHeight="false" outlineLevel="0" collapsed="false">
      <c r="A830" s="7" t="n">
        <v>826</v>
      </c>
      <c r="B830" s="9" t="s">
        <v>35</v>
      </c>
      <c r="C830" s="22" t="s">
        <v>3586</v>
      </c>
      <c r="D830" s="9" t="s">
        <v>3454</v>
      </c>
      <c r="E830" s="9" t="s">
        <v>47</v>
      </c>
      <c r="F830" s="9" t="s">
        <v>99</v>
      </c>
      <c r="G830" s="22" t="s">
        <v>3587</v>
      </c>
      <c r="H830" s="9" t="s">
        <v>56</v>
      </c>
      <c r="I830" s="7" t="s">
        <v>869</v>
      </c>
      <c r="J830" s="23" t="s">
        <v>3588</v>
      </c>
      <c r="K830" s="24" t="s">
        <v>3589</v>
      </c>
      <c r="L830" s="22" t="s">
        <v>3590</v>
      </c>
      <c r="M830" s="25"/>
      <c r="N830" s="25"/>
      <c r="O830" s="26"/>
      <c r="P830" s="27"/>
      <c r="Q830" s="28"/>
      <c r="R830" s="28"/>
      <c r="S830" s="26"/>
    </row>
    <row r="831" customFormat="false" ht="15" hidden="false" customHeight="false" outlineLevel="0" collapsed="false">
      <c r="A831" s="7" t="n">
        <v>827</v>
      </c>
      <c r="B831" s="9" t="s">
        <v>35</v>
      </c>
      <c r="C831" s="22" t="s">
        <v>3586</v>
      </c>
      <c r="D831" s="9" t="s">
        <v>3454</v>
      </c>
      <c r="E831" s="9" t="s">
        <v>47</v>
      </c>
      <c r="F831" s="9" t="s">
        <v>99</v>
      </c>
      <c r="G831" s="22" t="s">
        <v>3591</v>
      </c>
      <c r="H831" s="9" t="s">
        <v>56</v>
      </c>
      <c r="I831" s="7"/>
      <c r="J831" s="23" t="s">
        <v>3592</v>
      </c>
      <c r="K831" s="24" t="s">
        <v>3593</v>
      </c>
      <c r="L831" s="22" t="s">
        <v>3594</v>
      </c>
      <c r="M831" s="25"/>
      <c r="N831" s="25"/>
      <c r="O831" s="26"/>
      <c r="P831" s="27"/>
      <c r="Q831" s="28"/>
      <c r="R831" s="28"/>
      <c r="S831" s="26"/>
    </row>
    <row r="832" customFormat="false" ht="15" hidden="false" customHeight="false" outlineLevel="0" collapsed="false">
      <c r="A832" s="7" t="n">
        <v>828</v>
      </c>
      <c r="B832" s="9" t="s">
        <v>35</v>
      </c>
      <c r="C832" s="22" t="s">
        <v>3595</v>
      </c>
      <c r="D832" s="9" t="s">
        <v>3596</v>
      </c>
      <c r="E832" s="9" t="s">
        <v>47</v>
      </c>
      <c r="F832" s="9" t="s">
        <v>99</v>
      </c>
      <c r="G832" s="22" t="s">
        <v>3597</v>
      </c>
      <c r="H832" s="9" t="s">
        <v>56</v>
      </c>
      <c r="I832" s="7" t="s">
        <v>869</v>
      </c>
      <c r="J832" s="23" t="s">
        <v>3598</v>
      </c>
      <c r="K832" s="24" t="s">
        <v>3599</v>
      </c>
      <c r="L832" s="22" t="s">
        <v>3600</v>
      </c>
      <c r="M832" s="25"/>
      <c r="N832" s="25"/>
      <c r="O832" s="26"/>
      <c r="P832" s="27"/>
      <c r="Q832" s="28"/>
      <c r="R832" s="28"/>
      <c r="S832" s="26"/>
    </row>
    <row r="833" customFormat="false" ht="15" hidden="false" customHeight="false" outlineLevel="0" collapsed="false">
      <c r="A833" s="7" t="n">
        <v>829</v>
      </c>
      <c r="B833" s="9" t="s">
        <v>35</v>
      </c>
      <c r="C833" s="22" t="s">
        <v>3595</v>
      </c>
      <c r="D833" s="9" t="s">
        <v>3596</v>
      </c>
      <c r="E833" s="9" t="s">
        <v>48</v>
      </c>
      <c r="F833" s="9" t="s">
        <v>99</v>
      </c>
      <c r="G833" s="22" t="s">
        <v>3601</v>
      </c>
      <c r="H833" s="9" t="s">
        <v>3450</v>
      </c>
      <c r="I833" s="7"/>
      <c r="J833" s="23" t="s">
        <v>3602</v>
      </c>
      <c r="K833" s="24" t="s">
        <v>3603</v>
      </c>
      <c r="L833" s="22" t="s">
        <v>3604</v>
      </c>
      <c r="M833" s="25"/>
      <c r="N833" s="25"/>
      <c r="O833" s="26"/>
      <c r="P833" s="27"/>
      <c r="Q833" s="28"/>
      <c r="R833" s="28"/>
      <c r="S833" s="26"/>
    </row>
    <row r="834" customFormat="false" ht="15" hidden="false" customHeight="false" outlineLevel="0" collapsed="false">
      <c r="A834" s="7" t="n">
        <v>830</v>
      </c>
      <c r="B834" s="9" t="s">
        <v>35</v>
      </c>
      <c r="C834" s="22" t="s">
        <v>3605</v>
      </c>
      <c r="D834" s="9" t="s">
        <v>3606</v>
      </c>
      <c r="E834" s="9" t="s">
        <v>47</v>
      </c>
      <c r="F834" s="9" t="s">
        <v>99</v>
      </c>
      <c r="G834" s="22" t="s">
        <v>3607</v>
      </c>
      <c r="H834" s="9" t="s">
        <v>56</v>
      </c>
      <c r="I834" s="7"/>
      <c r="J834" s="23" t="s">
        <v>3608</v>
      </c>
      <c r="K834" s="24" t="s">
        <v>3609</v>
      </c>
      <c r="L834" s="22" t="s">
        <v>3610</v>
      </c>
      <c r="M834" s="25"/>
      <c r="N834" s="25"/>
      <c r="O834" s="26"/>
      <c r="P834" s="27"/>
      <c r="Q834" s="28"/>
      <c r="R834" s="28"/>
      <c r="S834" s="26"/>
    </row>
    <row r="835" customFormat="false" ht="15" hidden="false" customHeight="false" outlineLevel="0" collapsed="false">
      <c r="A835" s="7" t="n">
        <v>831</v>
      </c>
      <c r="B835" s="9" t="s">
        <v>35</v>
      </c>
      <c r="C835" s="22" t="s">
        <v>3611</v>
      </c>
      <c r="D835" s="9" t="s">
        <v>3612</v>
      </c>
      <c r="E835" s="9" t="s">
        <v>47</v>
      </c>
      <c r="F835" s="9" t="s">
        <v>99</v>
      </c>
      <c r="G835" s="22" t="s">
        <v>3613</v>
      </c>
      <c r="H835" s="9" t="s">
        <v>56</v>
      </c>
      <c r="I835" s="7" t="s">
        <v>869</v>
      </c>
      <c r="J835" s="23" t="s">
        <v>3614</v>
      </c>
      <c r="K835" s="24" t="s">
        <v>3615</v>
      </c>
      <c r="L835" s="22" t="s">
        <v>3616</v>
      </c>
      <c r="M835" s="25"/>
      <c r="N835" s="25"/>
      <c r="O835" s="26"/>
      <c r="P835" s="27"/>
      <c r="Q835" s="28"/>
      <c r="R835" s="28"/>
      <c r="S835" s="26"/>
    </row>
    <row r="836" customFormat="false" ht="15" hidden="false" customHeight="false" outlineLevel="0" collapsed="false">
      <c r="A836" s="7" t="n">
        <v>832</v>
      </c>
      <c r="B836" s="9" t="s">
        <v>35</v>
      </c>
      <c r="C836" s="22" t="s">
        <v>3611</v>
      </c>
      <c r="D836" s="9" t="s">
        <v>3612</v>
      </c>
      <c r="E836" s="9" t="s">
        <v>47</v>
      </c>
      <c r="F836" s="9" t="s">
        <v>99</v>
      </c>
      <c r="G836" s="22" t="s">
        <v>3617</v>
      </c>
      <c r="H836" s="9" t="s">
        <v>3450</v>
      </c>
      <c r="I836" s="7"/>
      <c r="J836" s="23" t="s">
        <v>3618</v>
      </c>
      <c r="K836" s="24" t="s">
        <v>3619</v>
      </c>
      <c r="L836" s="22" t="s">
        <v>3620</v>
      </c>
      <c r="M836" s="25"/>
      <c r="N836" s="25"/>
      <c r="O836" s="26"/>
      <c r="P836" s="27"/>
      <c r="Q836" s="28"/>
      <c r="R836" s="28"/>
      <c r="S836" s="26"/>
    </row>
    <row r="837" customFormat="false" ht="15" hidden="false" customHeight="false" outlineLevel="0" collapsed="false">
      <c r="A837" s="7" t="n">
        <v>833</v>
      </c>
      <c r="B837" s="9" t="s">
        <v>35</v>
      </c>
      <c r="C837" s="22" t="s">
        <v>3611</v>
      </c>
      <c r="D837" s="9" t="s">
        <v>3612</v>
      </c>
      <c r="E837" s="9" t="s">
        <v>47</v>
      </c>
      <c r="F837" s="9" t="s">
        <v>99</v>
      </c>
      <c r="G837" s="22" t="s">
        <v>3621</v>
      </c>
      <c r="H837" s="9" t="s">
        <v>56</v>
      </c>
      <c r="I837" s="7" t="s">
        <v>869</v>
      </c>
      <c r="J837" s="23" t="s">
        <v>3622</v>
      </c>
      <c r="K837" s="24" t="s">
        <v>3623</v>
      </c>
      <c r="L837" s="22" t="s">
        <v>3624</v>
      </c>
      <c r="M837" s="25"/>
      <c r="N837" s="25"/>
      <c r="O837" s="26"/>
      <c r="P837" s="27"/>
      <c r="Q837" s="28"/>
      <c r="R837" s="28"/>
      <c r="S837" s="26"/>
    </row>
    <row r="838" customFormat="false" ht="15" hidden="false" customHeight="false" outlineLevel="0" collapsed="false">
      <c r="A838" s="7" t="n">
        <v>834</v>
      </c>
      <c r="B838" s="9" t="s">
        <v>35</v>
      </c>
      <c r="C838" s="22" t="s">
        <v>3611</v>
      </c>
      <c r="D838" s="9" t="s">
        <v>3612</v>
      </c>
      <c r="E838" s="9" t="s">
        <v>47</v>
      </c>
      <c r="F838" s="9" t="s">
        <v>99</v>
      </c>
      <c r="G838" s="22" t="s">
        <v>3625</v>
      </c>
      <c r="H838" s="9" t="s">
        <v>56</v>
      </c>
      <c r="I838" s="7" t="s">
        <v>869</v>
      </c>
      <c r="J838" s="23" t="s">
        <v>3626</v>
      </c>
      <c r="K838" s="24" t="s">
        <v>3627</v>
      </c>
      <c r="L838" s="22" t="s">
        <v>3628</v>
      </c>
      <c r="M838" s="25"/>
      <c r="N838" s="25"/>
      <c r="O838" s="26"/>
      <c r="P838" s="27"/>
      <c r="Q838" s="28"/>
      <c r="R838" s="28"/>
      <c r="S838" s="26"/>
    </row>
    <row r="839" customFormat="false" ht="15" hidden="false" customHeight="false" outlineLevel="0" collapsed="false">
      <c r="A839" s="7" t="n">
        <v>835</v>
      </c>
      <c r="B839" s="9" t="s">
        <v>35</v>
      </c>
      <c r="C839" s="22" t="s">
        <v>3629</v>
      </c>
      <c r="D839" s="9" t="s">
        <v>3630</v>
      </c>
      <c r="E839" s="9" t="s">
        <v>47</v>
      </c>
      <c r="F839" s="9" t="s">
        <v>99</v>
      </c>
      <c r="G839" s="22" t="s">
        <v>3631</v>
      </c>
      <c r="H839" s="9" t="s">
        <v>56</v>
      </c>
      <c r="I839" s="7" t="s">
        <v>869</v>
      </c>
      <c r="J839" s="23" t="s">
        <v>3632</v>
      </c>
      <c r="K839" s="24" t="s">
        <v>3633</v>
      </c>
      <c r="L839" s="22" t="s">
        <v>3634</v>
      </c>
      <c r="M839" s="25"/>
      <c r="N839" s="25"/>
      <c r="O839" s="26"/>
      <c r="P839" s="27"/>
      <c r="Q839" s="28"/>
      <c r="R839" s="28"/>
      <c r="S839" s="26"/>
    </row>
    <row r="840" customFormat="false" ht="15" hidden="false" customHeight="false" outlineLevel="0" collapsed="false">
      <c r="A840" s="7" t="n">
        <v>836</v>
      </c>
      <c r="B840" s="9" t="s">
        <v>35</v>
      </c>
      <c r="C840" s="22" t="s">
        <v>3635</v>
      </c>
      <c r="D840" s="9" t="s">
        <v>3459</v>
      </c>
      <c r="E840" s="9" t="s">
        <v>47</v>
      </c>
      <c r="F840" s="9" t="s">
        <v>99</v>
      </c>
      <c r="G840" s="22" t="s">
        <v>3636</v>
      </c>
      <c r="H840" s="9" t="s">
        <v>56</v>
      </c>
      <c r="I840" s="7"/>
      <c r="J840" s="23" t="s">
        <v>3637</v>
      </c>
      <c r="K840" s="24" t="s">
        <v>3638</v>
      </c>
      <c r="L840" s="22" t="s">
        <v>3639</v>
      </c>
      <c r="M840" s="25"/>
      <c r="N840" s="25"/>
      <c r="O840" s="26"/>
      <c r="P840" s="27"/>
      <c r="Q840" s="28"/>
      <c r="R840" s="28"/>
      <c r="S840" s="26"/>
    </row>
    <row r="841" customFormat="false" ht="15" hidden="false" customHeight="false" outlineLevel="0" collapsed="false">
      <c r="A841" s="7" t="n">
        <v>837</v>
      </c>
      <c r="B841" s="9" t="s">
        <v>35</v>
      </c>
      <c r="C841" s="22" t="s">
        <v>3635</v>
      </c>
      <c r="D841" s="9" t="s">
        <v>3459</v>
      </c>
      <c r="E841" s="9" t="s">
        <v>47</v>
      </c>
      <c r="F841" s="9" t="s">
        <v>99</v>
      </c>
      <c r="G841" s="22" t="s">
        <v>3640</v>
      </c>
      <c r="H841" s="9" t="s">
        <v>56</v>
      </c>
      <c r="I841" s="7"/>
      <c r="J841" s="23" t="s">
        <v>3641</v>
      </c>
      <c r="K841" s="24" t="s">
        <v>3642</v>
      </c>
      <c r="L841" s="22" t="s">
        <v>3643</v>
      </c>
      <c r="M841" s="25"/>
      <c r="N841" s="25"/>
      <c r="O841" s="26"/>
      <c r="P841" s="27"/>
      <c r="Q841" s="28"/>
      <c r="R841" s="28"/>
      <c r="S841" s="26"/>
    </row>
    <row r="842" customFormat="false" ht="15" hidden="false" customHeight="false" outlineLevel="0" collapsed="false">
      <c r="A842" s="7" t="n">
        <v>838</v>
      </c>
      <c r="B842" s="9" t="s">
        <v>35</v>
      </c>
      <c r="C842" s="22" t="s">
        <v>3635</v>
      </c>
      <c r="D842" s="9" t="s">
        <v>3459</v>
      </c>
      <c r="E842" s="9" t="s">
        <v>47</v>
      </c>
      <c r="F842" s="9" t="s">
        <v>99</v>
      </c>
      <c r="G842" s="22" t="s">
        <v>3644</v>
      </c>
      <c r="H842" s="9" t="s">
        <v>56</v>
      </c>
      <c r="I842" s="7" t="s">
        <v>869</v>
      </c>
      <c r="J842" s="23" t="s">
        <v>3645</v>
      </c>
      <c r="K842" s="24" t="s">
        <v>3646</v>
      </c>
      <c r="L842" s="22" t="s">
        <v>3647</v>
      </c>
      <c r="M842" s="25"/>
      <c r="N842" s="25"/>
      <c r="O842" s="26"/>
      <c r="P842" s="27"/>
      <c r="Q842" s="28"/>
      <c r="R842" s="28"/>
      <c r="S842" s="26"/>
    </row>
    <row r="843" customFormat="false" ht="15" hidden="false" customHeight="false" outlineLevel="0" collapsed="false">
      <c r="A843" s="7" t="n">
        <v>839</v>
      </c>
      <c r="B843" s="9" t="s">
        <v>35</v>
      </c>
      <c r="C843" s="22" t="s">
        <v>3635</v>
      </c>
      <c r="D843" s="9" t="s">
        <v>3459</v>
      </c>
      <c r="E843" s="9" t="s">
        <v>47</v>
      </c>
      <c r="F843" s="9" t="s">
        <v>99</v>
      </c>
      <c r="G843" s="22" t="s">
        <v>3648</v>
      </c>
      <c r="H843" s="9" t="s">
        <v>56</v>
      </c>
      <c r="I843" s="7" t="s">
        <v>869</v>
      </c>
      <c r="J843" s="23" t="s">
        <v>3649</v>
      </c>
      <c r="K843" s="24" t="s">
        <v>3650</v>
      </c>
      <c r="L843" s="22" t="s">
        <v>3651</v>
      </c>
      <c r="M843" s="25"/>
      <c r="N843" s="25"/>
      <c r="O843" s="26"/>
      <c r="P843" s="27"/>
      <c r="Q843" s="28"/>
      <c r="R843" s="28"/>
      <c r="S843" s="26"/>
    </row>
    <row r="844" customFormat="false" ht="15" hidden="false" customHeight="false" outlineLevel="0" collapsed="false">
      <c r="A844" s="7" t="n">
        <v>840</v>
      </c>
      <c r="B844" s="9" t="s">
        <v>35</v>
      </c>
      <c r="C844" s="22" t="s">
        <v>3635</v>
      </c>
      <c r="D844" s="9" t="s">
        <v>3459</v>
      </c>
      <c r="E844" s="9" t="s">
        <v>47</v>
      </c>
      <c r="F844" s="9" t="s">
        <v>99</v>
      </c>
      <c r="G844" s="22" t="s">
        <v>3652</v>
      </c>
      <c r="H844" s="9" t="s">
        <v>56</v>
      </c>
      <c r="I844" s="7" t="s">
        <v>869</v>
      </c>
      <c r="J844" s="23" t="s">
        <v>3653</v>
      </c>
      <c r="K844" s="24" t="s">
        <v>3654</v>
      </c>
      <c r="L844" s="22" t="s">
        <v>3655</v>
      </c>
      <c r="M844" s="25"/>
      <c r="N844" s="25"/>
      <c r="O844" s="26"/>
      <c r="P844" s="27"/>
      <c r="Q844" s="28"/>
      <c r="R844" s="28"/>
      <c r="S844" s="26"/>
    </row>
    <row r="845" customFormat="false" ht="15" hidden="false" customHeight="false" outlineLevel="0" collapsed="false">
      <c r="A845" s="7" t="n">
        <v>841</v>
      </c>
      <c r="B845" s="9" t="s">
        <v>35</v>
      </c>
      <c r="C845" s="22" t="s">
        <v>3635</v>
      </c>
      <c r="D845" s="9" t="s">
        <v>3459</v>
      </c>
      <c r="E845" s="9" t="s">
        <v>48</v>
      </c>
      <c r="F845" s="9" t="s">
        <v>124</v>
      </c>
      <c r="G845" s="22" t="s">
        <v>3656</v>
      </c>
      <c r="H845" s="9" t="s">
        <v>3450</v>
      </c>
      <c r="I845" s="7"/>
      <c r="J845" s="23" t="s">
        <v>3657</v>
      </c>
      <c r="K845" s="24" t="s">
        <v>3658</v>
      </c>
      <c r="L845" s="22" t="s">
        <v>3463</v>
      </c>
      <c r="M845" s="25"/>
      <c r="N845" s="25"/>
      <c r="O845" s="26"/>
      <c r="P845" s="27"/>
      <c r="Q845" s="28"/>
      <c r="R845" s="28"/>
      <c r="S845" s="26"/>
    </row>
    <row r="846" customFormat="false" ht="15" hidden="false" customHeight="false" outlineLevel="0" collapsed="false">
      <c r="A846" s="7" t="n">
        <v>842</v>
      </c>
      <c r="B846" s="9" t="s">
        <v>37</v>
      </c>
      <c r="C846" s="22" t="s">
        <v>3659</v>
      </c>
      <c r="D846" s="9" t="s">
        <v>3660</v>
      </c>
      <c r="E846" s="9" t="s">
        <v>47</v>
      </c>
      <c r="F846" s="9" t="s">
        <v>99</v>
      </c>
      <c r="G846" s="22" t="s">
        <v>3661</v>
      </c>
      <c r="H846" s="9" t="s">
        <v>56</v>
      </c>
      <c r="I846" s="7" t="s">
        <v>869</v>
      </c>
      <c r="J846" s="23" t="s">
        <v>3662</v>
      </c>
      <c r="K846" s="24" t="s">
        <v>3663</v>
      </c>
      <c r="L846" s="22" t="s">
        <v>3664</v>
      </c>
      <c r="M846" s="25"/>
      <c r="N846" s="25"/>
      <c r="O846" s="26"/>
      <c r="P846" s="27"/>
      <c r="Q846" s="28"/>
      <c r="R846" s="28"/>
      <c r="S846" s="26"/>
    </row>
    <row r="847" customFormat="false" ht="15" hidden="false" customHeight="false" outlineLevel="0" collapsed="false">
      <c r="A847" s="7" t="n">
        <v>843</v>
      </c>
      <c r="B847" s="9" t="s">
        <v>37</v>
      </c>
      <c r="C847" s="22" t="s">
        <v>3659</v>
      </c>
      <c r="D847" s="9" t="s">
        <v>3660</v>
      </c>
      <c r="E847" s="9" t="s">
        <v>47</v>
      </c>
      <c r="F847" s="9" t="s">
        <v>99</v>
      </c>
      <c r="G847" s="22" t="s">
        <v>3665</v>
      </c>
      <c r="H847" s="9" t="s">
        <v>56</v>
      </c>
      <c r="I847" s="7" t="s">
        <v>869</v>
      </c>
      <c r="J847" s="23" t="s">
        <v>3666</v>
      </c>
      <c r="K847" s="24" t="s">
        <v>3667</v>
      </c>
      <c r="L847" s="22" t="s">
        <v>3668</v>
      </c>
      <c r="M847" s="25"/>
      <c r="N847" s="25"/>
      <c r="O847" s="26"/>
      <c r="P847" s="27"/>
      <c r="Q847" s="28"/>
      <c r="R847" s="28"/>
      <c r="S847" s="26"/>
    </row>
    <row r="848" customFormat="false" ht="15" hidden="false" customHeight="false" outlineLevel="0" collapsed="false">
      <c r="A848" s="7" t="n">
        <v>844</v>
      </c>
      <c r="B848" s="9" t="s">
        <v>37</v>
      </c>
      <c r="C848" s="22" t="s">
        <v>3659</v>
      </c>
      <c r="D848" s="9" t="s">
        <v>3660</v>
      </c>
      <c r="E848" s="9" t="s">
        <v>48</v>
      </c>
      <c r="F848" s="9" t="s">
        <v>124</v>
      </c>
      <c r="G848" s="22" t="s">
        <v>3669</v>
      </c>
      <c r="H848" s="9" t="s">
        <v>56</v>
      </c>
      <c r="I848" s="7" t="s">
        <v>869</v>
      </c>
      <c r="J848" s="23" t="s">
        <v>3670</v>
      </c>
      <c r="K848" s="24" t="s">
        <v>3671</v>
      </c>
      <c r="L848" s="22" t="s">
        <v>3672</v>
      </c>
      <c r="M848" s="25"/>
      <c r="N848" s="25"/>
      <c r="O848" s="26"/>
      <c r="P848" s="27"/>
      <c r="Q848" s="28"/>
      <c r="R848" s="28"/>
      <c r="S848" s="26"/>
    </row>
    <row r="849" customFormat="false" ht="15" hidden="false" customHeight="false" outlineLevel="0" collapsed="false">
      <c r="A849" s="7" t="n">
        <v>845</v>
      </c>
      <c r="B849" s="9" t="s">
        <v>37</v>
      </c>
      <c r="C849" s="22" t="s">
        <v>3659</v>
      </c>
      <c r="D849" s="9" t="s">
        <v>3660</v>
      </c>
      <c r="E849" s="9" t="s">
        <v>48</v>
      </c>
      <c r="F849" s="9" t="s">
        <v>99</v>
      </c>
      <c r="G849" s="22" t="s">
        <v>3673</v>
      </c>
      <c r="H849" s="9" t="s">
        <v>57</v>
      </c>
      <c r="I849" s="7"/>
      <c r="J849" s="23" t="s">
        <v>3674</v>
      </c>
      <c r="K849" s="24" t="s">
        <v>3675</v>
      </c>
      <c r="L849" s="22" t="s">
        <v>3676</v>
      </c>
      <c r="M849" s="25"/>
      <c r="N849" s="25"/>
      <c r="O849" s="26"/>
      <c r="P849" s="27"/>
      <c r="Q849" s="28"/>
      <c r="R849" s="28"/>
      <c r="S849" s="26"/>
    </row>
    <row r="850" customFormat="false" ht="15" hidden="false" customHeight="false" outlineLevel="0" collapsed="false">
      <c r="A850" s="7" t="n">
        <v>846</v>
      </c>
      <c r="B850" s="9" t="s">
        <v>37</v>
      </c>
      <c r="C850" s="22" t="s">
        <v>3677</v>
      </c>
      <c r="D850" s="9" t="s">
        <v>3678</v>
      </c>
      <c r="E850" s="9" t="s">
        <v>47</v>
      </c>
      <c r="F850" s="9" t="s">
        <v>99</v>
      </c>
      <c r="G850" s="22" t="s">
        <v>3679</v>
      </c>
      <c r="H850" s="9" t="s">
        <v>57</v>
      </c>
      <c r="I850" s="7"/>
      <c r="J850" s="23" t="s">
        <v>3680</v>
      </c>
      <c r="K850" s="24" t="s">
        <v>3681</v>
      </c>
      <c r="L850" s="22" t="s">
        <v>3682</v>
      </c>
      <c r="M850" s="25"/>
      <c r="N850" s="25"/>
      <c r="O850" s="26"/>
      <c r="P850" s="27"/>
      <c r="Q850" s="28"/>
      <c r="R850" s="28"/>
      <c r="S850" s="26"/>
    </row>
    <row r="851" customFormat="false" ht="15" hidden="false" customHeight="false" outlineLevel="0" collapsed="false">
      <c r="A851" s="7" t="n">
        <v>847</v>
      </c>
      <c r="B851" s="9" t="s">
        <v>37</v>
      </c>
      <c r="C851" s="22" t="s">
        <v>3677</v>
      </c>
      <c r="D851" s="9" t="s">
        <v>3678</v>
      </c>
      <c r="E851" s="9" t="s">
        <v>47</v>
      </c>
      <c r="F851" s="9" t="s">
        <v>99</v>
      </c>
      <c r="G851" s="22" t="s">
        <v>3683</v>
      </c>
      <c r="H851" s="9" t="s">
        <v>56</v>
      </c>
      <c r="I851" s="7" t="s">
        <v>869</v>
      </c>
      <c r="J851" s="23" t="s">
        <v>3684</v>
      </c>
      <c r="K851" s="24" t="s">
        <v>3685</v>
      </c>
      <c r="L851" s="22" t="s">
        <v>3686</v>
      </c>
      <c r="M851" s="25"/>
      <c r="N851" s="25"/>
      <c r="O851" s="26"/>
      <c r="P851" s="27"/>
      <c r="Q851" s="28"/>
      <c r="R851" s="28"/>
      <c r="S851" s="26"/>
    </row>
    <row r="852" customFormat="false" ht="15" hidden="false" customHeight="false" outlineLevel="0" collapsed="false">
      <c r="A852" s="7" t="n">
        <v>848</v>
      </c>
      <c r="B852" s="9" t="s">
        <v>37</v>
      </c>
      <c r="C852" s="22" t="s">
        <v>3677</v>
      </c>
      <c r="D852" s="9" t="s">
        <v>3678</v>
      </c>
      <c r="E852" s="9" t="s">
        <v>47</v>
      </c>
      <c r="F852" s="9" t="s">
        <v>99</v>
      </c>
      <c r="G852" s="22" t="s">
        <v>3687</v>
      </c>
      <c r="H852" s="9" t="s">
        <v>57</v>
      </c>
      <c r="I852" s="7"/>
      <c r="J852" s="23" t="s">
        <v>3688</v>
      </c>
      <c r="K852" s="24" t="s">
        <v>3689</v>
      </c>
      <c r="L852" s="22" t="s">
        <v>3690</v>
      </c>
      <c r="M852" s="25"/>
      <c r="N852" s="25"/>
      <c r="O852" s="26"/>
      <c r="P852" s="27"/>
      <c r="Q852" s="28"/>
      <c r="R852" s="28"/>
      <c r="S852" s="26"/>
    </row>
    <row r="853" customFormat="false" ht="15" hidden="false" customHeight="false" outlineLevel="0" collapsed="false">
      <c r="A853" s="7" t="n">
        <v>849</v>
      </c>
      <c r="B853" s="9" t="s">
        <v>37</v>
      </c>
      <c r="C853" s="22" t="s">
        <v>3677</v>
      </c>
      <c r="D853" s="9" t="s">
        <v>3678</v>
      </c>
      <c r="E853" s="9" t="s">
        <v>48</v>
      </c>
      <c r="F853" s="9" t="s">
        <v>124</v>
      </c>
      <c r="G853" s="22" t="s">
        <v>3691</v>
      </c>
      <c r="H853" s="9" t="s">
        <v>56</v>
      </c>
      <c r="I853" s="7" t="s">
        <v>869</v>
      </c>
      <c r="J853" s="23" t="s">
        <v>3692</v>
      </c>
      <c r="K853" s="24" t="s">
        <v>3693</v>
      </c>
      <c r="L853" s="22" t="s">
        <v>3694</v>
      </c>
      <c r="M853" s="25"/>
      <c r="N853" s="25"/>
      <c r="O853" s="26"/>
      <c r="P853" s="27"/>
      <c r="Q853" s="28"/>
      <c r="R853" s="28"/>
      <c r="S853" s="26"/>
    </row>
    <row r="854" customFormat="false" ht="15" hidden="false" customHeight="false" outlineLevel="0" collapsed="false">
      <c r="A854" s="7" t="n">
        <v>850</v>
      </c>
      <c r="B854" s="9" t="s">
        <v>37</v>
      </c>
      <c r="C854" s="22" t="s">
        <v>300</v>
      </c>
      <c r="D854" s="9" t="s">
        <v>3660</v>
      </c>
      <c r="E854" s="9" t="s">
        <v>49</v>
      </c>
      <c r="F854" s="9" t="s">
        <v>99</v>
      </c>
      <c r="G854" s="22" t="s">
        <v>3695</v>
      </c>
      <c r="H854" s="9" t="s">
        <v>56</v>
      </c>
      <c r="I854" s="7"/>
      <c r="J854" s="23" t="s">
        <v>3696</v>
      </c>
      <c r="K854" s="24" t="s">
        <v>3697</v>
      </c>
      <c r="L854" s="22" t="s">
        <v>3698</v>
      </c>
      <c r="M854" s="25"/>
      <c r="N854" s="25"/>
      <c r="O854" s="26"/>
      <c r="P854" s="27"/>
      <c r="Q854" s="28"/>
      <c r="R854" s="28"/>
      <c r="S854" s="26"/>
    </row>
    <row r="855" customFormat="false" ht="15" hidden="false" customHeight="false" outlineLevel="0" collapsed="false">
      <c r="A855" s="7" t="n">
        <v>851</v>
      </c>
      <c r="B855" s="9" t="s">
        <v>37</v>
      </c>
      <c r="C855" s="22" t="s">
        <v>300</v>
      </c>
      <c r="D855" s="9" t="s">
        <v>3660</v>
      </c>
      <c r="E855" s="9" t="s">
        <v>326</v>
      </c>
      <c r="F855" s="9" t="s">
        <v>99</v>
      </c>
      <c r="G855" s="22" t="s">
        <v>3699</v>
      </c>
      <c r="H855" s="9" t="s">
        <v>56</v>
      </c>
      <c r="I855" s="7"/>
      <c r="J855" s="23" t="s">
        <v>3700</v>
      </c>
      <c r="K855" s="24" t="s">
        <v>3701</v>
      </c>
      <c r="L855" s="22" t="s">
        <v>3702</v>
      </c>
      <c r="M855" s="25"/>
      <c r="N855" s="25"/>
      <c r="O855" s="26"/>
      <c r="P855" s="27"/>
      <c r="Q855" s="28"/>
      <c r="R855" s="28"/>
      <c r="S855" s="26"/>
    </row>
    <row r="856" customFormat="false" ht="15" hidden="false" customHeight="false" outlineLevel="0" collapsed="false">
      <c r="A856" s="7" t="n">
        <v>852</v>
      </c>
      <c r="B856" s="9" t="s">
        <v>37</v>
      </c>
      <c r="C856" s="22" t="s">
        <v>300</v>
      </c>
      <c r="D856" s="9" t="s">
        <v>3678</v>
      </c>
      <c r="E856" s="9" t="s">
        <v>49</v>
      </c>
      <c r="F856" s="9" t="s">
        <v>124</v>
      </c>
      <c r="G856" s="22" t="s">
        <v>3703</v>
      </c>
      <c r="H856" s="9" t="s">
        <v>56</v>
      </c>
      <c r="I856" s="7"/>
      <c r="J856" s="23" t="s">
        <v>3704</v>
      </c>
      <c r="K856" s="24" t="s">
        <v>3705</v>
      </c>
      <c r="L856" s="22" t="s">
        <v>3706</v>
      </c>
      <c r="M856" s="25"/>
      <c r="N856" s="25"/>
      <c r="O856" s="26"/>
      <c r="P856" s="27"/>
      <c r="Q856" s="28"/>
      <c r="R856" s="28"/>
      <c r="S856" s="26"/>
    </row>
    <row r="857" customFormat="false" ht="15" hidden="false" customHeight="false" outlineLevel="0" collapsed="false">
      <c r="A857" s="7" t="n">
        <v>853</v>
      </c>
      <c r="B857" s="9" t="s">
        <v>37</v>
      </c>
      <c r="C857" s="22" t="s">
        <v>300</v>
      </c>
      <c r="D857" s="9" t="s">
        <v>3678</v>
      </c>
      <c r="E857" s="9" t="s">
        <v>49</v>
      </c>
      <c r="F857" s="9" t="s">
        <v>124</v>
      </c>
      <c r="G857" s="22" t="s">
        <v>3707</v>
      </c>
      <c r="H857" s="9" t="s">
        <v>56</v>
      </c>
      <c r="I857" s="7"/>
      <c r="J857" s="23" t="s">
        <v>3708</v>
      </c>
      <c r="K857" s="24" t="s">
        <v>3709</v>
      </c>
      <c r="L857" s="22" t="s">
        <v>3710</v>
      </c>
      <c r="M857" s="25"/>
      <c r="N857" s="25"/>
      <c r="O857" s="26"/>
      <c r="P857" s="27"/>
      <c r="Q857" s="28"/>
      <c r="R857" s="28"/>
      <c r="S857" s="26"/>
    </row>
    <row r="858" customFormat="false" ht="15" hidden="false" customHeight="false" outlineLevel="0" collapsed="false">
      <c r="A858" s="7" t="n">
        <v>854</v>
      </c>
      <c r="B858" s="9" t="s">
        <v>37</v>
      </c>
      <c r="C858" s="22" t="s">
        <v>300</v>
      </c>
      <c r="D858" s="9" t="s">
        <v>3711</v>
      </c>
      <c r="E858" s="9" t="s">
        <v>49</v>
      </c>
      <c r="F858" s="9" t="s">
        <v>99</v>
      </c>
      <c r="G858" s="22" t="s">
        <v>3712</v>
      </c>
      <c r="H858" s="9" t="s">
        <v>56</v>
      </c>
      <c r="I858" s="7" t="s">
        <v>869</v>
      </c>
      <c r="J858" s="23" t="s">
        <v>3713</v>
      </c>
      <c r="K858" s="24" t="s">
        <v>3714</v>
      </c>
      <c r="L858" s="22" t="s">
        <v>3715</v>
      </c>
      <c r="M858" s="25"/>
      <c r="N858" s="25"/>
      <c r="O858" s="26"/>
      <c r="P858" s="27"/>
      <c r="Q858" s="28"/>
      <c r="R858" s="28"/>
      <c r="S858" s="26"/>
    </row>
    <row r="859" customFormat="false" ht="15" hidden="false" customHeight="false" outlineLevel="0" collapsed="false">
      <c r="A859" s="7" t="n">
        <v>855</v>
      </c>
      <c r="B859" s="9" t="s">
        <v>37</v>
      </c>
      <c r="C859" s="22" t="s">
        <v>300</v>
      </c>
      <c r="D859" s="9" t="s">
        <v>3711</v>
      </c>
      <c r="E859" s="9" t="s">
        <v>49</v>
      </c>
      <c r="F859" s="9" t="s">
        <v>99</v>
      </c>
      <c r="G859" s="22" t="s">
        <v>3716</v>
      </c>
      <c r="H859" s="9" t="s">
        <v>56</v>
      </c>
      <c r="I859" s="7"/>
      <c r="J859" s="23" t="s">
        <v>3717</v>
      </c>
      <c r="K859" s="24" t="s">
        <v>3718</v>
      </c>
      <c r="L859" s="22" t="s">
        <v>3719</v>
      </c>
      <c r="M859" s="25"/>
      <c r="N859" s="25"/>
      <c r="O859" s="26"/>
      <c r="P859" s="27"/>
      <c r="Q859" s="28"/>
      <c r="R859" s="28"/>
      <c r="S859" s="26"/>
    </row>
    <row r="860" customFormat="false" ht="15" hidden="false" customHeight="false" outlineLevel="0" collapsed="false">
      <c r="A860" s="7" t="n">
        <v>856</v>
      </c>
      <c r="B860" s="9" t="s">
        <v>37</v>
      </c>
      <c r="C860" s="22" t="s">
        <v>300</v>
      </c>
      <c r="D860" s="9" t="s">
        <v>3711</v>
      </c>
      <c r="E860" s="9" t="s">
        <v>49</v>
      </c>
      <c r="F860" s="9" t="s">
        <v>99</v>
      </c>
      <c r="G860" s="22" t="s">
        <v>3720</v>
      </c>
      <c r="H860" s="9" t="s">
        <v>56</v>
      </c>
      <c r="I860" s="7" t="s">
        <v>869</v>
      </c>
      <c r="J860" s="23" t="s">
        <v>3721</v>
      </c>
      <c r="K860" s="24" t="s">
        <v>3722</v>
      </c>
      <c r="L860" s="22" t="s">
        <v>3723</v>
      </c>
      <c r="M860" s="25"/>
      <c r="N860" s="25"/>
      <c r="O860" s="26"/>
      <c r="P860" s="27"/>
      <c r="Q860" s="28"/>
      <c r="R860" s="28"/>
      <c r="S860" s="26"/>
    </row>
    <row r="861" customFormat="false" ht="15" hidden="false" customHeight="false" outlineLevel="0" collapsed="false">
      <c r="A861" s="7" t="n">
        <v>857</v>
      </c>
      <c r="B861" s="9" t="s">
        <v>37</v>
      </c>
      <c r="C861" s="22" t="s">
        <v>300</v>
      </c>
      <c r="D861" s="9" t="s">
        <v>3711</v>
      </c>
      <c r="E861" s="9" t="s">
        <v>49</v>
      </c>
      <c r="F861" s="9" t="s">
        <v>99</v>
      </c>
      <c r="G861" s="22" t="s">
        <v>3724</v>
      </c>
      <c r="H861" s="9" t="s">
        <v>57</v>
      </c>
      <c r="I861" s="7"/>
      <c r="J861" s="23" t="s">
        <v>3725</v>
      </c>
      <c r="K861" s="24" t="s">
        <v>3726</v>
      </c>
      <c r="L861" s="22" t="s">
        <v>3727</v>
      </c>
      <c r="M861" s="25"/>
      <c r="N861" s="25"/>
      <c r="O861" s="26"/>
      <c r="P861" s="27"/>
      <c r="Q861" s="28"/>
      <c r="R861" s="28"/>
      <c r="S861" s="26"/>
    </row>
    <row r="862" customFormat="false" ht="15" hidden="false" customHeight="false" outlineLevel="0" collapsed="false">
      <c r="A862" s="7" t="n">
        <v>858</v>
      </c>
      <c r="B862" s="9" t="s">
        <v>37</v>
      </c>
      <c r="C862" s="22" t="s">
        <v>300</v>
      </c>
      <c r="D862" s="9" t="s">
        <v>3711</v>
      </c>
      <c r="E862" s="9" t="s">
        <v>49</v>
      </c>
      <c r="F862" s="9" t="s">
        <v>99</v>
      </c>
      <c r="G862" s="22" t="s">
        <v>3728</v>
      </c>
      <c r="H862" s="9" t="s">
        <v>56</v>
      </c>
      <c r="I862" s="7" t="s">
        <v>869</v>
      </c>
      <c r="J862" s="23" t="s">
        <v>3729</v>
      </c>
      <c r="K862" s="24" t="s">
        <v>3730</v>
      </c>
      <c r="L862" s="22" t="s">
        <v>3731</v>
      </c>
      <c r="M862" s="25"/>
      <c r="N862" s="25"/>
      <c r="O862" s="26"/>
      <c r="P862" s="27"/>
      <c r="Q862" s="28"/>
      <c r="R862" s="28"/>
      <c r="S862" s="26"/>
    </row>
    <row r="863" customFormat="false" ht="15" hidden="false" customHeight="false" outlineLevel="0" collapsed="false">
      <c r="A863" s="7" t="n">
        <v>859</v>
      </c>
      <c r="B863" s="9" t="s">
        <v>37</v>
      </c>
      <c r="C863" s="22" t="s">
        <v>300</v>
      </c>
      <c r="D863" s="9" t="s">
        <v>3711</v>
      </c>
      <c r="E863" s="9" t="s">
        <v>49</v>
      </c>
      <c r="F863" s="9" t="s">
        <v>124</v>
      </c>
      <c r="G863" s="22" t="s">
        <v>3732</v>
      </c>
      <c r="H863" s="9" t="s">
        <v>57</v>
      </c>
      <c r="I863" s="7" t="s">
        <v>869</v>
      </c>
      <c r="J863" s="23" t="s">
        <v>3733</v>
      </c>
      <c r="K863" s="24" t="s">
        <v>3734</v>
      </c>
      <c r="L863" s="22" t="s">
        <v>3735</v>
      </c>
      <c r="M863" s="25"/>
      <c r="N863" s="25"/>
      <c r="O863" s="26"/>
      <c r="P863" s="27"/>
      <c r="Q863" s="28"/>
      <c r="R863" s="28"/>
      <c r="S863" s="26"/>
    </row>
    <row r="864" customFormat="false" ht="15" hidden="false" customHeight="false" outlineLevel="0" collapsed="false">
      <c r="A864" s="7" t="n">
        <v>860</v>
      </c>
      <c r="B864" s="9" t="s">
        <v>37</v>
      </c>
      <c r="C864" s="22" t="s">
        <v>300</v>
      </c>
      <c r="D864" s="9" t="s">
        <v>3711</v>
      </c>
      <c r="E864" s="9" t="s">
        <v>49</v>
      </c>
      <c r="F864" s="9" t="s">
        <v>99</v>
      </c>
      <c r="G864" s="22" t="s">
        <v>3736</v>
      </c>
      <c r="H864" s="9" t="s">
        <v>56</v>
      </c>
      <c r="I864" s="7"/>
      <c r="J864" s="23" t="s">
        <v>3737</v>
      </c>
      <c r="K864" s="24" t="s">
        <v>3738</v>
      </c>
      <c r="L864" s="22" t="s">
        <v>3739</v>
      </c>
      <c r="M864" s="25"/>
      <c r="N864" s="25"/>
      <c r="O864" s="26"/>
      <c r="P864" s="27"/>
      <c r="Q864" s="28"/>
      <c r="R864" s="28"/>
      <c r="S864" s="26"/>
    </row>
    <row r="865" customFormat="false" ht="15" hidden="false" customHeight="false" outlineLevel="0" collapsed="false">
      <c r="A865" s="7" t="n">
        <v>861</v>
      </c>
      <c r="B865" s="9" t="s">
        <v>37</v>
      </c>
      <c r="C865" s="22" t="s">
        <v>300</v>
      </c>
      <c r="D865" s="9" t="s">
        <v>3711</v>
      </c>
      <c r="E865" s="9" t="s">
        <v>326</v>
      </c>
      <c r="F865" s="9" t="s">
        <v>124</v>
      </c>
      <c r="G865" s="22" t="s">
        <v>3740</v>
      </c>
      <c r="H865" s="9" t="s">
        <v>56</v>
      </c>
      <c r="I865" s="7" t="s">
        <v>869</v>
      </c>
      <c r="J865" s="23" t="s">
        <v>3741</v>
      </c>
      <c r="K865" s="24" t="s">
        <v>3742</v>
      </c>
      <c r="L865" s="22" t="s">
        <v>3743</v>
      </c>
      <c r="M865" s="25"/>
      <c r="N865" s="25"/>
      <c r="O865" s="26"/>
      <c r="P865" s="27"/>
      <c r="Q865" s="28"/>
      <c r="R865" s="28"/>
      <c r="S865" s="26"/>
    </row>
    <row r="866" customFormat="false" ht="15" hidden="false" customHeight="false" outlineLevel="0" collapsed="false">
      <c r="A866" s="7" t="n">
        <v>862</v>
      </c>
      <c r="B866" s="9" t="s">
        <v>37</v>
      </c>
      <c r="C866" s="22" t="s">
        <v>300</v>
      </c>
      <c r="D866" s="9" t="s">
        <v>3744</v>
      </c>
      <c r="E866" s="9" t="s">
        <v>49</v>
      </c>
      <c r="F866" s="9" t="s">
        <v>124</v>
      </c>
      <c r="G866" s="22" t="s">
        <v>3745</v>
      </c>
      <c r="H866" s="9" t="s">
        <v>56</v>
      </c>
      <c r="I866" s="7"/>
      <c r="J866" s="23" t="s">
        <v>3746</v>
      </c>
      <c r="K866" s="24" t="s">
        <v>3747</v>
      </c>
      <c r="L866" s="22" t="s">
        <v>3748</v>
      </c>
      <c r="M866" s="25"/>
      <c r="N866" s="25"/>
      <c r="O866" s="26"/>
      <c r="P866" s="27"/>
      <c r="Q866" s="28"/>
      <c r="R866" s="28"/>
      <c r="S866" s="26"/>
    </row>
    <row r="867" customFormat="false" ht="15" hidden="false" customHeight="false" outlineLevel="0" collapsed="false">
      <c r="A867" s="7" t="n">
        <v>863</v>
      </c>
      <c r="B867" s="9" t="s">
        <v>37</v>
      </c>
      <c r="C867" s="22" t="s">
        <v>300</v>
      </c>
      <c r="D867" s="9" t="s">
        <v>3749</v>
      </c>
      <c r="E867" s="9" t="s">
        <v>49</v>
      </c>
      <c r="F867" s="9" t="s">
        <v>124</v>
      </c>
      <c r="G867" s="22" t="s">
        <v>3750</v>
      </c>
      <c r="H867" s="9" t="s">
        <v>56</v>
      </c>
      <c r="I867" s="7"/>
      <c r="J867" s="23" t="s">
        <v>3751</v>
      </c>
      <c r="K867" s="24" t="s">
        <v>3752</v>
      </c>
      <c r="L867" s="22" t="s">
        <v>3753</v>
      </c>
      <c r="M867" s="25"/>
      <c r="N867" s="25"/>
      <c r="O867" s="26"/>
      <c r="P867" s="27"/>
      <c r="Q867" s="28"/>
      <c r="R867" s="28"/>
      <c r="S867" s="26"/>
    </row>
    <row r="868" customFormat="false" ht="15" hidden="false" customHeight="false" outlineLevel="0" collapsed="false">
      <c r="A868" s="7" t="n">
        <v>864</v>
      </c>
      <c r="B868" s="9" t="s">
        <v>37</v>
      </c>
      <c r="C868" s="22" t="s">
        <v>300</v>
      </c>
      <c r="D868" s="9" t="s">
        <v>3749</v>
      </c>
      <c r="E868" s="9" t="s">
        <v>49</v>
      </c>
      <c r="F868" s="9" t="s">
        <v>99</v>
      </c>
      <c r="G868" s="22" t="s">
        <v>3754</v>
      </c>
      <c r="H868" s="9" t="s">
        <v>56</v>
      </c>
      <c r="I868" s="7"/>
      <c r="J868" s="23" t="s">
        <v>3755</v>
      </c>
      <c r="K868" s="24" t="s">
        <v>3756</v>
      </c>
      <c r="L868" s="22" t="s">
        <v>3757</v>
      </c>
      <c r="M868" s="25"/>
      <c r="N868" s="25"/>
      <c r="O868" s="26"/>
      <c r="P868" s="27"/>
      <c r="Q868" s="28"/>
      <c r="R868" s="28"/>
      <c r="S868" s="26"/>
    </row>
    <row r="869" customFormat="false" ht="15" hidden="false" customHeight="false" outlineLevel="0" collapsed="false">
      <c r="A869" s="7" t="n">
        <v>865</v>
      </c>
      <c r="B869" s="9" t="s">
        <v>37</v>
      </c>
      <c r="C869" s="22" t="s">
        <v>300</v>
      </c>
      <c r="D869" s="9" t="s">
        <v>3749</v>
      </c>
      <c r="E869" s="9" t="s">
        <v>49</v>
      </c>
      <c r="F869" s="9" t="s">
        <v>124</v>
      </c>
      <c r="G869" s="22" t="s">
        <v>3758</v>
      </c>
      <c r="H869" s="9" t="s">
        <v>56</v>
      </c>
      <c r="I869" s="7"/>
      <c r="J869" s="23" t="s">
        <v>3759</v>
      </c>
      <c r="K869" s="24" t="s">
        <v>3760</v>
      </c>
      <c r="L869" s="22" t="s">
        <v>3761</v>
      </c>
      <c r="M869" s="25"/>
      <c r="N869" s="25"/>
      <c r="O869" s="26"/>
      <c r="P869" s="27"/>
      <c r="Q869" s="28"/>
      <c r="R869" s="28"/>
      <c r="S869" s="26"/>
    </row>
    <row r="870" customFormat="false" ht="15" hidden="false" customHeight="false" outlineLevel="0" collapsed="false">
      <c r="A870" s="7" t="n">
        <v>866</v>
      </c>
      <c r="B870" s="9" t="s">
        <v>37</v>
      </c>
      <c r="C870" s="22" t="s">
        <v>300</v>
      </c>
      <c r="D870" s="9" t="s">
        <v>3762</v>
      </c>
      <c r="E870" s="9" t="s">
        <v>49</v>
      </c>
      <c r="F870" s="9" t="s">
        <v>124</v>
      </c>
      <c r="G870" s="22" t="s">
        <v>3763</v>
      </c>
      <c r="H870" s="9" t="s">
        <v>56</v>
      </c>
      <c r="I870" s="7" t="s">
        <v>869</v>
      </c>
      <c r="J870" s="23" t="s">
        <v>3764</v>
      </c>
      <c r="K870" s="24" t="s">
        <v>3765</v>
      </c>
      <c r="L870" s="22" t="s">
        <v>3766</v>
      </c>
      <c r="M870" s="25"/>
      <c r="N870" s="25"/>
      <c r="O870" s="26"/>
      <c r="P870" s="27"/>
      <c r="Q870" s="28"/>
      <c r="R870" s="28"/>
      <c r="S870" s="26"/>
    </row>
    <row r="871" customFormat="false" ht="15" hidden="false" customHeight="false" outlineLevel="0" collapsed="false">
      <c r="A871" s="7" t="n">
        <v>867</v>
      </c>
      <c r="B871" s="9" t="s">
        <v>37</v>
      </c>
      <c r="C871" s="22" t="s">
        <v>300</v>
      </c>
      <c r="D871" s="9" t="s">
        <v>3767</v>
      </c>
      <c r="E871" s="9" t="s">
        <v>49</v>
      </c>
      <c r="F871" s="9" t="s">
        <v>99</v>
      </c>
      <c r="G871" s="22" t="s">
        <v>3768</v>
      </c>
      <c r="H871" s="9" t="s">
        <v>56</v>
      </c>
      <c r="I871" s="7"/>
      <c r="J871" s="23" t="s">
        <v>3769</v>
      </c>
      <c r="K871" s="24" t="s">
        <v>3770</v>
      </c>
      <c r="L871" s="22" t="s">
        <v>3771</v>
      </c>
      <c r="M871" s="25"/>
      <c r="N871" s="25"/>
      <c r="O871" s="26"/>
      <c r="P871" s="27"/>
      <c r="Q871" s="28"/>
      <c r="R871" s="28"/>
      <c r="S871" s="26"/>
    </row>
    <row r="872" customFormat="false" ht="15" hidden="false" customHeight="false" outlineLevel="0" collapsed="false">
      <c r="A872" s="7" t="n">
        <v>868</v>
      </c>
      <c r="B872" s="9" t="s">
        <v>37</v>
      </c>
      <c r="C872" s="22" t="s">
        <v>300</v>
      </c>
      <c r="D872" s="9" t="s">
        <v>3772</v>
      </c>
      <c r="E872" s="9" t="s">
        <v>49</v>
      </c>
      <c r="F872" s="9" t="s">
        <v>99</v>
      </c>
      <c r="G872" s="22" t="s">
        <v>3773</v>
      </c>
      <c r="H872" s="9" t="s">
        <v>56</v>
      </c>
      <c r="I872" s="7"/>
      <c r="J872" s="23" t="s">
        <v>3774</v>
      </c>
      <c r="K872" s="24" t="s">
        <v>3775</v>
      </c>
      <c r="L872" s="22" t="s">
        <v>3776</v>
      </c>
      <c r="M872" s="25"/>
      <c r="N872" s="25"/>
      <c r="O872" s="26"/>
      <c r="P872" s="27"/>
      <c r="Q872" s="28"/>
      <c r="R872" s="28"/>
      <c r="S872" s="26"/>
    </row>
    <row r="873" customFormat="false" ht="15" hidden="false" customHeight="false" outlineLevel="0" collapsed="false">
      <c r="A873" s="7" t="n">
        <v>869</v>
      </c>
      <c r="B873" s="9" t="s">
        <v>37</v>
      </c>
      <c r="C873" s="22" t="s">
        <v>300</v>
      </c>
      <c r="D873" s="9" t="s">
        <v>3772</v>
      </c>
      <c r="E873" s="9" t="s">
        <v>49</v>
      </c>
      <c r="F873" s="9" t="s">
        <v>99</v>
      </c>
      <c r="G873" s="22" t="s">
        <v>3777</v>
      </c>
      <c r="H873" s="9" t="s">
        <v>56</v>
      </c>
      <c r="I873" s="7"/>
      <c r="J873" s="23" t="s">
        <v>3778</v>
      </c>
      <c r="K873" s="24" t="s">
        <v>3779</v>
      </c>
      <c r="L873" s="22" t="s">
        <v>3780</v>
      </c>
      <c r="M873" s="25"/>
      <c r="N873" s="25"/>
      <c r="O873" s="26"/>
      <c r="P873" s="27"/>
      <c r="Q873" s="28"/>
      <c r="R873" s="28"/>
      <c r="S873" s="26"/>
    </row>
    <row r="874" customFormat="false" ht="15" hidden="false" customHeight="false" outlineLevel="0" collapsed="false">
      <c r="A874" s="7" t="n">
        <v>870</v>
      </c>
      <c r="B874" s="9" t="s">
        <v>37</v>
      </c>
      <c r="C874" s="22" t="s">
        <v>300</v>
      </c>
      <c r="D874" s="9" t="s">
        <v>3781</v>
      </c>
      <c r="E874" s="9" t="s">
        <v>49</v>
      </c>
      <c r="F874" s="9" t="s">
        <v>124</v>
      </c>
      <c r="G874" s="22" t="s">
        <v>931</v>
      </c>
      <c r="H874" s="9" t="s">
        <v>57</v>
      </c>
      <c r="I874" s="7"/>
      <c r="J874" s="23" t="s">
        <v>3782</v>
      </c>
      <c r="K874" s="24" t="s">
        <v>3783</v>
      </c>
      <c r="L874" s="22" t="s">
        <v>3784</v>
      </c>
      <c r="M874" s="25"/>
      <c r="N874" s="25"/>
      <c r="O874" s="26"/>
      <c r="P874" s="27"/>
      <c r="Q874" s="28"/>
      <c r="R874" s="28"/>
      <c r="S874" s="26"/>
    </row>
    <row r="875" customFormat="false" ht="15" hidden="false" customHeight="false" outlineLevel="0" collapsed="false">
      <c r="A875" s="7" t="n">
        <v>871</v>
      </c>
      <c r="B875" s="9" t="s">
        <v>37</v>
      </c>
      <c r="C875" s="22" t="s">
        <v>300</v>
      </c>
      <c r="D875" s="9" t="s">
        <v>3781</v>
      </c>
      <c r="E875" s="9" t="s">
        <v>49</v>
      </c>
      <c r="F875" s="9" t="s">
        <v>124</v>
      </c>
      <c r="G875" s="22" t="s">
        <v>322</v>
      </c>
      <c r="H875" s="9" t="s">
        <v>57</v>
      </c>
      <c r="I875" s="7"/>
      <c r="J875" s="23" t="s">
        <v>3785</v>
      </c>
      <c r="K875" s="24" t="s">
        <v>3786</v>
      </c>
      <c r="L875" s="22" t="s">
        <v>3787</v>
      </c>
      <c r="M875" s="25"/>
      <c r="N875" s="25"/>
      <c r="O875" s="26"/>
      <c r="P875" s="27"/>
      <c r="Q875" s="28"/>
      <c r="R875" s="28"/>
      <c r="S875" s="26"/>
    </row>
    <row r="876" customFormat="false" ht="15" hidden="false" customHeight="false" outlineLevel="0" collapsed="false">
      <c r="A876" s="7" t="n">
        <v>872</v>
      </c>
      <c r="B876" s="9" t="s">
        <v>37</v>
      </c>
      <c r="C876" s="22" t="s">
        <v>300</v>
      </c>
      <c r="D876" s="9" t="s">
        <v>3781</v>
      </c>
      <c r="E876" s="9" t="s">
        <v>49</v>
      </c>
      <c r="F876" s="9" t="s">
        <v>124</v>
      </c>
      <c r="G876" s="22" t="s">
        <v>3788</v>
      </c>
      <c r="H876" s="9" t="s">
        <v>56</v>
      </c>
      <c r="I876" s="7" t="s">
        <v>869</v>
      </c>
      <c r="J876" s="23" t="s">
        <v>3789</v>
      </c>
      <c r="K876" s="24" t="s">
        <v>3790</v>
      </c>
      <c r="L876" s="22" t="s">
        <v>3791</v>
      </c>
      <c r="M876" s="25"/>
      <c r="N876" s="25"/>
      <c r="O876" s="26"/>
      <c r="P876" s="27"/>
      <c r="Q876" s="28"/>
      <c r="R876" s="28"/>
      <c r="S876" s="26"/>
    </row>
    <row r="877" customFormat="false" ht="15" hidden="false" customHeight="false" outlineLevel="0" collapsed="false">
      <c r="A877" s="7" t="n">
        <v>873</v>
      </c>
      <c r="B877" s="9" t="s">
        <v>37</v>
      </c>
      <c r="C877" s="22" t="s">
        <v>300</v>
      </c>
      <c r="D877" s="9" t="s">
        <v>3781</v>
      </c>
      <c r="E877" s="9" t="s">
        <v>49</v>
      </c>
      <c r="F877" s="9" t="s">
        <v>99</v>
      </c>
      <c r="G877" s="22" t="s">
        <v>3792</v>
      </c>
      <c r="H877" s="9" t="s">
        <v>56</v>
      </c>
      <c r="I877" s="7"/>
      <c r="J877" s="23" t="s">
        <v>3793</v>
      </c>
      <c r="K877" s="24" t="s">
        <v>3794</v>
      </c>
      <c r="L877" s="22" t="s">
        <v>3795</v>
      </c>
      <c r="M877" s="25"/>
      <c r="N877" s="25"/>
      <c r="O877" s="26"/>
      <c r="P877" s="27"/>
      <c r="Q877" s="28"/>
      <c r="R877" s="28"/>
      <c r="S877" s="26"/>
    </row>
    <row r="878" customFormat="false" ht="15" hidden="false" customHeight="false" outlineLevel="0" collapsed="false">
      <c r="A878" s="7" t="n">
        <v>874</v>
      </c>
      <c r="B878" s="9" t="s">
        <v>37</v>
      </c>
      <c r="C878" s="22" t="s">
        <v>300</v>
      </c>
      <c r="D878" s="9" t="s">
        <v>3781</v>
      </c>
      <c r="E878" s="9" t="s">
        <v>49</v>
      </c>
      <c r="F878" s="9" t="s">
        <v>124</v>
      </c>
      <c r="G878" s="22" t="s">
        <v>3796</v>
      </c>
      <c r="H878" s="9" t="s">
        <v>56</v>
      </c>
      <c r="I878" s="7"/>
      <c r="J878" s="23" t="s">
        <v>3797</v>
      </c>
      <c r="K878" s="24" t="s">
        <v>3798</v>
      </c>
      <c r="L878" s="22" t="s">
        <v>3799</v>
      </c>
      <c r="M878" s="25"/>
      <c r="N878" s="25"/>
      <c r="O878" s="26"/>
      <c r="P878" s="27"/>
      <c r="Q878" s="28"/>
      <c r="R878" s="28"/>
      <c r="S878" s="26"/>
    </row>
    <row r="879" customFormat="false" ht="15" hidden="false" customHeight="false" outlineLevel="0" collapsed="false">
      <c r="A879" s="7" t="n">
        <v>875</v>
      </c>
      <c r="B879" s="9" t="s">
        <v>37</v>
      </c>
      <c r="C879" s="22" t="s">
        <v>3800</v>
      </c>
      <c r="D879" s="9" t="s">
        <v>3711</v>
      </c>
      <c r="E879" s="9" t="s">
        <v>47</v>
      </c>
      <c r="F879" s="9" t="s">
        <v>99</v>
      </c>
      <c r="G879" s="22" t="s">
        <v>3801</v>
      </c>
      <c r="H879" s="9" t="s">
        <v>57</v>
      </c>
      <c r="I879" s="7"/>
      <c r="J879" s="23" t="s">
        <v>3802</v>
      </c>
      <c r="K879" s="24" t="s">
        <v>3803</v>
      </c>
      <c r="L879" s="22" t="s">
        <v>3804</v>
      </c>
      <c r="M879" s="25"/>
      <c r="N879" s="25"/>
      <c r="O879" s="26"/>
      <c r="P879" s="27"/>
      <c r="Q879" s="28"/>
      <c r="R879" s="28"/>
      <c r="S879" s="26"/>
    </row>
    <row r="880" customFormat="false" ht="15" hidden="false" customHeight="false" outlineLevel="0" collapsed="false">
      <c r="A880" s="7" t="n">
        <v>876</v>
      </c>
      <c r="B880" s="9" t="s">
        <v>37</v>
      </c>
      <c r="C880" s="22" t="s">
        <v>3800</v>
      </c>
      <c r="D880" s="9" t="s">
        <v>3711</v>
      </c>
      <c r="E880" s="9" t="s">
        <v>47</v>
      </c>
      <c r="F880" s="9" t="s">
        <v>99</v>
      </c>
      <c r="G880" s="22" t="s">
        <v>3805</v>
      </c>
      <c r="H880" s="9" t="s">
        <v>56</v>
      </c>
      <c r="I880" s="7"/>
      <c r="J880" s="23" t="s">
        <v>3806</v>
      </c>
      <c r="K880" s="24" t="s">
        <v>3807</v>
      </c>
      <c r="L880" s="22" t="s">
        <v>3808</v>
      </c>
      <c r="M880" s="25"/>
      <c r="N880" s="25"/>
      <c r="O880" s="26"/>
      <c r="P880" s="27"/>
      <c r="Q880" s="28"/>
      <c r="R880" s="28"/>
      <c r="S880" s="26"/>
    </row>
    <row r="881" customFormat="false" ht="15" hidden="false" customHeight="false" outlineLevel="0" collapsed="false">
      <c r="A881" s="7" t="n">
        <v>877</v>
      </c>
      <c r="B881" s="9" t="s">
        <v>37</v>
      </c>
      <c r="C881" s="22" t="s">
        <v>3800</v>
      </c>
      <c r="D881" s="9" t="s">
        <v>3711</v>
      </c>
      <c r="E881" s="9" t="s">
        <v>47</v>
      </c>
      <c r="F881" s="9" t="s">
        <v>99</v>
      </c>
      <c r="G881" s="22" t="s">
        <v>3809</v>
      </c>
      <c r="H881" s="9" t="s">
        <v>57</v>
      </c>
      <c r="I881" s="7"/>
      <c r="J881" s="23" t="s">
        <v>3810</v>
      </c>
      <c r="K881" s="24" t="s">
        <v>3811</v>
      </c>
      <c r="L881" s="22" t="s">
        <v>3812</v>
      </c>
      <c r="M881" s="25"/>
      <c r="N881" s="25"/>
      <c r="O881" s="26"/>
      <c r="P881" s="27"/>
      <c r="Q881" s="28"/>
      <c r="R881" s="28"/>
      <c r="S881" s="26"/>
    </row>
    <row r="882" customFormat="false" ht="15" hidden="false" customHeight="false" outlineLevel="0" collapsed="false">
      <c r="A882" s="7" t="n">
        <v>878</v>
      </c>
      <c r="B882" s="9" t="s">
        <v>37</v>
      </c>
      <c r="C882" s="22" t="s">
        <v>3800</v>
      </c>
      <c r="D882" s="9" t="s">
        <v>3711</v>
      </c>
      <c r="E882" s="9" t="s">
        <v>47</v>
      </c>
      <c r="F882" s="9" t="s">
        <v>99</v>
      </c>
      <c r="G882" s="22" t="s">
        <v>3813</v>
      </c>
      <c r="H882" s="9" t="s">
        <v>56</v>
      </c>
      <c r="I882" s="7" t="s">
        <v>869</v>
      </c>
      <c r="J882" s="23" t="s">
        <v>3814</v>
      </c>
      <c r="K882" s="24" t="s">
        <v>3815</v>
      </c>
      <c r="L882" s="22" t="s">
        <v>3816</v>
      </c>
      <c r="M882" s="25"/>
      <c r="N882" s="25"/>
      <c r="O882" s="26"/>
      <c r="P882" s="27"/>
      <c r="Q882" s="28"/>
      <c r="R882" s="28"/>
      <c r="S882" s="26"/>
    </row>
    <row r="883" customFormat="false" ht="15" hidden="false" customHeight="false" outlineLevel="0" collapsed="false">
      <c r="A883" s="7" t="n">
        <v>879</v>
      </c>
      <c r="B883" s="9" t="s">
        <v>37</v>
      </c>
      <c r="C883" s="22" t="s">
        <v>3800</v>
      </c>
      <c r="D883" s="9" t="s">
        <v>3711</v>
      </c>
      <c r="E883" s="9" t="s">
        <v>47</v>
      </c>
      <c r="F883" s="9" t="s">
        <v>99</v>
      </c>
      <c r="G883" s="22" t="s">
        <v>3817</v>
      </c>
      <c r="H883" s="9" t="s">
        <v>56</v>
      </c>
      <c r="I883" s="7"/>
      <c r="J883" s="23" t="s">
        <v>3818</v>
      </c>
      <c r="K883" s="24" t="s">
        <v>3819</v>
      </c>
      <c r="L883" s="22" t="s">
        <v>3820</v>
      </c>
      <c r="M883" s="25"/>
      <c r="N883" s="25"/>
      <c r="O883" s="26"/>
      <c r="P883" s="27"/>
      <c r="Q883" s="28"/>
      <c r="R883" s="28"/>
      <c r="S883" s="26"/>
    </row>
    <row r="884" customFormat="false" ht="15" hidden="false" customHeight="false" outlineLevel="0" collapsed="false">
      <c r="A884" s="7" t="n">
        <v>880</v>
      </c>
      <c r="B884" s="9" t="s">
        <v>37</v>
      </c>
      <c r="C884" s="22" t="s">
        <v>3800</v>
      </c>
      <c r="D884" s="9" t="s">
        <v>3711</v>
      </c>
      <c r="E884" s="9" t="s">
        <v>47</v>
      </c>
      <c r="F884" s="9" t="s">
        <v>99</v>
      </c>
      <c r="G884" s="22" t="s">
        <v>3821</v>
      </c>
      <c r="H884" s="9" t="s">
        <v>57</v>
      </c>
      <c r="I884" s="7"/>
      <c r="J884" s="23" t="s">
        <v>3822</v>
      </c>
      <c r="K884" s="24" t="s">
        <v>3823</v>
      </c>
      <c r="L884" s="22" t="s">
        <v>3824</v>
      </c>
      <c r="M884" s="25"/>
      <c r="N884" s="25"/>
      <c r="O884" s="26"/>
      <c r="P884" s="27"/>
      <c r="Q884" s="28"/>
      <c r="R884" s="28"/>
      <c r="S884" s="26"/>
    </row>
    <row r="885" customFormat="false" ht="15" hidden="false" customHeight="false" outlineLevel="0" collapsed="false">
      <c r="A885" s="7" t="n">
        <v>881</v>
      </c>
      <c r="B885" s="9" t="s">
        <v>37</v>
      </c>
      <c r="C885" s="22" t="s">
        <v>3800</v>
      </c>
      <c r="D885" s="9" t="s">
        <v>3711</v>
      </c>
      <c r="E885" s="9" t="s">
        <v>47</v>
      </c>
      <c r="F885" s="9" t="s">
        <v>99</v>
      </c>
      <c r="G885" s="22" t="s">
        <v>3825</v>
      </c>
      <c r="H885" s="9" t="s">
        <v>56</v>
      </c>
      <c r="I885" s="7" t="s">
        <v>869</v>
      </c>
      <c r="J885" s="23" t="s">
        <v>3826</v>
      </c>
      <c r="K885" s="24" t="s">
        <v>3827</v>
      </c>
      <c r="L885" s="22" t="s">
        <v>3828</v>
      </c>
      <c r="M885" s="25"/>
      <c r="N885" s="25"/>
      <c r="O885" s="26"/>
      <c r="P885" s="27"/>
      <c r="Q885" s="28"/>
      <c r="R885" s="28"/>
      <c r="S885" s="26"/>
    </row>
    <row r="886" customFormat="false" ht="15" hidden="false" customHeight="false" outlineLevel="0" collapsed="false">
      <c r="A886" s="7" t="n">
        <v>882</v>
      </c>
      <c r="B886" s="9" t="s">
        <v>37</v>
      </c>
      <c r="C886" s="22" t="s">
        <v>3800</v>
      </c>
      <c r="D886" s="9" t="s">
        <v>3711</v>
      </c>
      <c r="E886" s="9" t="s">
        <v>47</v>
      </c>
      <c r="F886" s="9" t="s">
        <v>99</v>
      </c>
      <c r="G886" s="22" t="s">
        <v>3829</v>
      </c>
      <c r="H886" s="9" t="s">
        <v>56</v>
      </c>
      <c r="I886" s="7"/>
      <c r="J886" s="23" t="s">
        <v>3830</v>
      </c>
      <c r="K886" s="24" t="s">
        <v>3831</v>
      </c>
      <c r="L886" s="22" t="s">
        <v>3832</v>
      </c>
      <c r="M886" s="25"/>
      <c r="N886" s="25"/>
      <c r="O886" s="26"/>
      <c r="P886" s="27"/>
      <c r="Q886" s="28"/>
      <c r="R886" s="28"/>
      <c r="S886" s="26"/>
    </row>
    <row r="887" customFormat="false" ht="15" hidden="false" customHeight="false" outlineLevel="0" collapsed="false">
      <c r="A887" s="7" t="n">
        <v>883</v>
      </c>
      <c r="B887" s="9" t="s">
        <v>37</v>
      </c>
      <c r="C887" s="22" t="s">
        <v>3800</v>
      </c>
      <c r="D887" s="9" t="s">
        <v>3711</v>
      </c>
      <c r="E887" s="9" t="s">
        <v>47</v>
      </c>
      <c r="F887" s="9" t="s">
        <v>99</v>
      </c>
      <c r="G887" s="22" t="s">
        <v>3833</v>
      </c>
      <c r="H887" s="9" t="s">
        <v>56</v>
      </c>
      <c r="I887" s="7" t="s">
        <v>869</v>
      </c>
      <c r="J887" s="23" t="s">
        <v>3834</v>
      </c>
      <c r="K887" s="24" t="s">
        <v>3835</v>
      </c>
      <c r="L887" s="22" t="s">
        <v>3836</v>
      </c>
      <c r="M887" s="25"/>
      <c r="N887" s="25"/>
      <c r="O887" s="26"/>
      <c r="P887" s="27"/>
      <c r="Q887" s="28"/>
      <c r="R887" s="28"/>
      <c r="S887" s="26"/>
    </row>
    <row r="888" customFormat="false" ht="15" hidden="false" customHeight="false" outlineLevel="0" collapsed="false">
      <c r="A888" s="7" t="n">
        <v>884</v>
      </c>
      <c r="B888" s="9" t="s">
        <v>37</v>
      </c>
      <c r="C888" s="22" t="s">
        <v>3800</v>
      </c>
      <c r="D888" s="9" t="s">
        <v>3711</v>
      </c>
      <c r="E888" s="9" t="s">
        <v>48</v>
      </c>
      <c r="F888" s="9" t="s">
        <v>99</v>
      </c>
      <c r="G888" s="22" t="s">
        <v>3837</v>
      </c>
      <c r="H888" s="9" t="s">
        <v>56</v>
      </c>
      <c r="I888" s="7"/>
      <c r="J888" s="23" t="s">
        <v>3838</v>
      </c>
      <c r="K888" s="24" t="s">
        <v>3839</v>
      </c>
      <c r="L888" s="22" t="s">
        <v>3840</v>
      </c>
      <c r="M888" s="25"/>
      <c r="N888" s="25"/>
      <c r="O888" s="26"/>
      <c r="P888" s="27"/>
      <c r="Q888" s="28"/>
      <c r="R888" s="28"/>
      <c r="S888" s="26"/>
    </row>
    <row r="889" customFormat="false" ht="15" hidden="false" customHeight="false" outlineLevel="0" collapsed="false">
      <c r="A889" s="7" t="n">
        <v>885</v>
      </c>
      <c r="B889" s="9" t="s">
        <v>37</v>
      </c>
      <c r="C889" s="22" t="s">
        <v>3800</v>
      </c>
      <c r="D889" s="9" t="s">
        <v>3711</v>
      </c>
      <c r="E889" s="9" t="s">
        <v>48</v>
      </c>
      <c r="F889" s="9" t="s">
        <v>99</v>
      </c>
      <c r="G889" s="22" t="s">
        <v>3841</v>
      </c>
      <c r="H889" s="9" t="s">
        <v>56</v>
      </c>
      <c r="I889" s="7"/>
      <c r="J889" s="23" t="s">
        <v>3842</v>
      </c>
      <c r="K889" s="24" t="s">
        <v>3843</v>
      </c>
      <c r="L889" s="22" t="s">
        <v>3844</v>
      </c>
      <c r="M889" s="25"/>
      <c r="N889" s="25"/>
      <c r="O889" s="26"/>
      <c r="P889" s="27"/>
      <c r="Q889" s="28"/>
      <c r="R889" s="28"/>
      <c r="S889" s="26"/>
    </row>
    <row r="890" customFormat="false" ht="15" hidden="false" customHeight="false" outlineLevel="0" collapsed="false">
      <c r="A890" s="7" t="n">
        <v>886</v>
      </c>
      <c r="B890" s="9" t="s">
        <v>37</v>
      </c>
      <c r="C890" s="22" t="s">
        <v>3800</v>
      </c>
      <c r="D890" s="9" t="s">
        <v>3711</v>
      </c>
      <c r="E890" s="9" t="s">
        <v>48</v>
      </c>
      <c r="F890" s="9" t="s">
        <v>99</v>
      </c>
      <c r="G890" s="22" t="s">
        <v>3845</v>
      </c>
      <c r="H890" s="9" t="s">
        <v>56</v>
      </c>
      <c r="I890" s="7"/>
      <c r="J890" s="23" t="s">
        <v>3846</v>
      </c>
      <c r="K890" s="24" t="s">
        <v>3847</v>
      </c>
      <c r="L890" s="22" t="s">
        <v>3848</v>
      </c>
      <c r="M890" s="25"/>
      <c r="N890" s="25"/>
      <c r="O890" s="26"/>
      <c r="P890" s="27"/>
      <c r="Q890" s="28"/>
      <c r="R890" s="28"/>
      <c r="S890" s="26"/>
    </row>
    <row r="891" customFormat="false" ht="15" hidden="false" customHeight="false" outlineLevel="0" collapsed="false">
      <c r="A891" s="7" t="n">
        <v>887</v>
      </c>
      <c r="B891" s="9" t="s">
        <v>37</v>
      </c>
      <c r="C891" s="22" t="s">
        <v>3849</v>
      </c>
      <c r="D891" s="9" t="s">
        <v>3850</v>
      </c>
      <c r="E891" s="9" t="s">
        <v>47</v>
      </c>
      <c r="F891" s="9" t="s">
        <v>99</v>
      </c>
      <c r="G891" s="22" t="s">
        <v>3851</v>
      </c>
      <c r="H891" s="9" t="s">
        <v>56</v>
      </c>
      <c r="I891" s="7"/>
      <c r="J891" s="23" t="s">
        <v>3852</v>
      </c>
      <c r="K891" s="24" t="s">
        <v>3853</v>
      </c>
      <c r="L891" s="22" t="s">
        <v>3854</v>
      </c>
      <c r="M891" s="25"/>
      <c r="N891" s="25"/>
      <c r="O891" s="26"/>
      <c r="P891" s="27"/>
      <c r="Q891" s="28"/>
      <c r="R891" s="28"/>
      <c r="S891" s="26"/>
    </row>
    <row r="892" customFormat="false" ht="15" hidden="false" customHeight="false" outlineLevel="0" collapsed="false">
      <c r="A892" s="7" t="n">
        <v>888</v>
      </c>
      <c r="B892" s="9" t="s">
        <v>37</v>
      </c>
      <c r="C892" s="22" t="s">
        <v>3849</v>
      </c>
      <c r="D892" s="9" t="s">
        <v>3850</v>
      </c>
      <c r="E892" s="9" t="s">
        <v>47</v>
      </c>
      <c r="F892" s="9" t="s">
        <v>99</v>
      </c>
      <c r="G892" s="22" t="s">
        <v>3855</v>
      </c>
      <c r="H892" s="9" t="s">
        <v>56</v>
      </c>
      <c r="I892" s="7"/>
      <c r="J892" s="23" t="s">
        <v>3856</v>
      </c>
      <c r="K892" s="24" t="s">
        <v>3857</v>
      </c>
      <c r="L892" s="22" t="s">
        <v>3858</v>
      </c>
      <c r="M892" s="25"/>
      <c r="N892" s="25"/>
      <c r="O892" s="26"/>
      <c r="P892" s="27"/>
      <c r="Q892" s="28"/>
      <c r="R892" s="28"/>
      <c r="S892" s="26"/>
    </row>
    <row r="893" customFormat="false" ht="15" hidden="false" customHeight="false" outlineLevel="0" collapsed="false">
      <c r="A893" s="7" t="n">
        <v>889</v>
      </c>
      <c r="B893" s="9" t="s">
        <v>37</v>
      </c>
      <c r="C893" s="22" t="s">
        <v>3849</v>
      </c>
      <c r="D893" s="9" t="s">
        <v>3850</v>
      </c>
      <c r="E893" s="9" t="s">
        <v>47</v>
      </c>
      <c r="F893" s="9" t="s">
        <v>99</v>
      </c>
      <c r="G893" s="22" t="s">
        <v>3859</v>
      </c>
      <c r="H893" s="9" t="s">
        <v>57</v>
      </c>
      <c r="I893" s="7"/>
      <c r="J893" s="23" t="s">
        <v>3860</v>
      </c>
      <c r="K893" s="24" t="s">
        <v>3861</v>
      </c>
      <c r="L893" s="22" t="s">
        <v>3862</v>
      </c>
      <c r="M893" s="25"/>
      <c r="N893" s="25"/>
      <c r="O893" s="26"/>
      <c r="P893" s="27"/>
      <c r="Q893" s="28"/>
      <c r="R893" s="28"/>
      <c r="S893" s="26"/>
    </row>
    <row r="894" customFormat="false" ht="15" hidden="false" customHeight="false" outlineLevel="0" collapsed="false">
      <c r="A894" s="7" t="n">
        <v>890</v>
      </c>
      <c r="B894" s="9" t="s">
        <v>37</v>
      </c>
      <c r="C894" s="22" t="s">
        <v>3863</v>
      </c>
      <c r="D894" s="9" t="s">
        <v>3864</v>
      </c>
      <c r="E894" s="9" t="s">
        <v>47</v>
      </c>
      <c r="F894" s="9" t="s">
        <v>99</v>
      </c>
      <c r="G894" s="22" t="s">
        <v>3865</v>
      </c>
      <c r="H894" s="9" t="s">
        <v>56</v>
      </c>
      <c r="I894" s="7"/>
      <c r="J894" s="23" t="s">
        <v>3866</v>
      </c>
      <c r="K894" s="24" t="s">
        <v>3867</v>
      </c>
      <c r="L894" s="22" t="s">
        <v>3868</v>
      </c>
      <c r="M894" s="25"/>
      <c r="N894" s="25"/>
      <c r="O894" s="26"/>
      <c r="P894" s="27"/>
      <c r="Q894" s="28"/>
      <c r="R894" s="28"/>
      <c r="S894" s="26"/>
    </row>
    <row r="895" customFormat="false" ht="15" hidden="false" customHeight="false" outlineLevel="0" collapsed="false">
      <c r="A895" s="7" t="n">
        <v>891</v>
      </c>
      <c r="B895" s="9" t="s">
        <v>37</v>
      </c>
      <c r="C895" s="22" t="s">
        <v>3863</v>
      </c>
      <c r="D895" s="9" t="s">
        <v>3864</v>
      </c>
      <c r="E895" s="9" t="s">
        <v>47</v>
      </c>
      <c r="F895" s="9" t="s">
        <v>99</v>
      </c>
      <c r="G895" s="22" t="s">
        <v>3869</v>
      </c>
      <c r="H895" s="9" t="s">
        <v>57</v>
      </c>
      <c r="I895" s="7"/>
      <c r="J895" s="23" t="s">
        <v>3870</v>
      </c>
      <c r="K895" s="24" t="s">
        <v>3871</v>
      </c>
      <c r="L895" s="22" t="s">
        <v>3872</v>
      </c>
      <c r="M895" s="25"/>
      <c r="N895" s="25"/>
      <c r="O895" s="26"/>
      <c r="P895" s="27"/>
      <c r="Q895" s="28"/>
      <c r="R895" s="28"/>
      <c r="S895" s="26"/>
    </row>
    <row r="896" customFormat="false" ht="15" hidden="false" customHeight="false" outlineLevel="0" collapsed="false">
      <c r="A896" s="7" t="n">
        <v>892</v>
      </c>
      <c r="B896" s="9" t="s">
        <v>37</v>
      </c>
      <c r="C896" s="22" t="s">
        <v>3873</v>
      </c>
      <c r="D896" s="9" t="s">
        <v>3874</v>
      </c>
      <c r="E896" s="9" t="s">
        <v>47</v>
      </c>
      <c r="F896" s="9" t="s">
        <v>99</v>
      </c>
      <c r="G896" s="22" t="s">
        <v>3875</v>
      </c>
      <c r="H896" s="9" t="s">
        <v>56</v>
      </c>
      <c r="I896" s="7"/>
      <c r="J896" s="23" t="s">
        <v>3876</v>
      </c>
      <c r="K896" s="24" t="s">
        <v>3877</v>
      </c>
      <c r="L896" s="22" t="s">
        <v>3878</v>
      </c>
      <c r="M896" s="25"/>
      <c r="N896" s="25"/>
      <c r="O896" s="26"/>
      <c r="P896" s="27"/>
      <c r="Q896" s="28"/>
      <c r="R896" s="28"/>
      <c r="S896" s="26"/>
    </row>
    <row r="897" customFormat="false" ht="15" hidden="false" customHeight="false" outlineLevel="0" collapsed="false">
      <c r="A897" s="7" t="n">
        <v>893</v>
      </c>
      <c r="B897" s="9" t="s">
        <v>37</v>
      </c>
      <c r="C897" s="22" t="s">
        <v>3879</v>
      </c>
      <c r="D897" s="9" t="s">
        <v>3744</v>
      </c>
      <c r="E897" s="9" t="s">
        <v>48</v>
      </c>
      <c r="F897" s="9" t="s">
        <v>124</v>
      </c>
      <c r="G897" s="22" t="s">
        <v>3880</v>
      </c>
      <c r="H897" s="9" t="s">
        <v>57</v>
      </c>
      <c r="I897" s="7"/>
      <c r="J897" s="23" t="s">
        <v>3881</v>
      </c>
      <c r="K897" s="24" t="s">
        <v>3882</v>
      </c>
      <c r="L897" s="22" t="s">
        <v>3883</v>
      </c>
      <c r="M897" s="25"/>
      <c r="N897" s="25"/>
      <c r="O897" s="26"/>
      <c r="P897" s="27"/>
      <c r="Q897" s="28"/>
      <c r="R897" s="28"/>
      <c r="S897" s="26"/>
    </row>
    <row r="898" customFormat="false" ht="15" hidden="false" customHeight="false" outlineLevel="0" collapsed="false">
      <c r="A898" s="7" t="n">
        <v>894</v>
      </c>
      <c r="B898" s="9" t="s">
        <v>37</v>
      </c>
      <c r="C898" s="22" t="s">
        <v>3884</v>
      </c>
      <c r="D898" s="9" t="s">
        <v>3885</v>
      </c>
      <c r="E898" s="9" t="s">
        <v>47</v>
      </c>
      <c r="F898" s="9" t="s">
        <v>99</v>
      </c>
      <c r="G898" s="22" t="s">
        <v>3886</v>
      </c>
      <c r="H898" s="9" t="s">
        <v>57</v>
      </c>
      <c r="I898" s="7"/>
      <c r="J898" s="23" t="s">
        <v>3887</v>
      </c>
      <c r="K898" s="24" t="s">
        <v>3888</v>
      </c>
      <c r="L898" s="22" t="s">
        <v>3889</v>
      </c>
      <c r="M898" s="25"/>
      <c r="N898" s="25"/>
      <c r="O898" s="26"/>
      <c r="P898" s="27"/>
      <c r="Q898" s="28"/>
      <c r="R898" s="28"/>
      <c r="S898" s="26"/>
    </row>
    <row r="899" customFormat="false" ht="15" hidden="false" customHeight="false" outlineLevel="0" collapsed="false">
      <c r="A899" s="7" t="n">
        <v>895</v>
      </c>
      <c r="B899" s="9" t="s">
        <v>37</v>
      </c>
      <c r="C899" s="22" t="s">
        <v>3884</v>
      </c>
      <c r="D899" s="9" t="s">
        <v>3885</v>
      </c>
      <c r="E899" s="9" t="s">
        <v>47</v>
      </c>
      <c r="F899" s="9" t="s">
        <v>99</v>
      </c>
      <c r="G899" s="22" t="s">
        <v>3890</v>
      </c>
      <c r="H899" s="9" t="s">
        <v>56</v>
      </c>
      <c r="I899" s="7"/>
      <c r="J899" s="23" t="s">
        <v>3891</v>
      </c>
      <c r="K899" s="24" t="s">
        <v>3892</v>
      </c>
      <c r="L899" s="22" t="s">
        <v>3893</v>
      </c>
      <c r="M899" s="25"/>
      <c r="N899" s="25"/>
      <c r="O899" s="26"/>
      <c r="P899" s="27"/>
      <c r="Q899" s="28"/>
      <c r="R899" s="28"/>
      <c r="S899" s="26"/>
    </row>
    <row r="900" customFormat="false" ht="15" hidden="false" customHeight="false" outlineLevel="0" collapsed="false">
      <c r="A900" s="7" t="n">
        <v>896</v>
      </c>
      <c r="B900" s="9" t="s">
        <v>37</v>
      </c>
      <c r="C900" s="22" t="s">
        <v>3884</v>
      </c>
      <c r="D900" s="9" t="s">
        <v>3885</v>
      </c>
      <c r="E900" s="9" t="s">
        <v>48</v>
      </c>
      <c r="F900" s="9" t="s">
        <v>124</v>
      </c>
      <c r="G900" s="22" t="s">
        <v>3894</v>
      </c>
      <c r="H900" s="9" t="s">
        <v>57</v>
      </c>
      <c r="I900" s="7" t="s">
        <v>869</v>
      </c>
      <c r="J900" s="23" t="s">
        <v>3895</v>
      </c>
      <c r="K900" s="24" t="s">
        <v>3896</v>
      </c>
      <c r="L900" s="22" t="s">
        <v>3897</v>
      </c>
      <c r="M900" s="25"/>
      <c r="N900" s="25"/>
      <c r="O900" s="26"/>
      <c r="P900" s="27"/>
      <c r="Q900" s="28"/>
      <c r="R900" s="28"/>
      <c r="S900" s="26"/>
    </row>
    <row r="901" customFormat="false" ht="15" hidden="false" customHeight="false" outlineLevel="0" collapsed="false">
      <c r="A901" s="7" t="n">
        <v>897</v>
      </c>
      <c r="B901" s="9" t="s">
        <v>37</v>
      </c>
      <c r="C901" s="22" t="s">
        <v>3898</v>
      </c>
      <c r="D901" s="9" t="s">
        <v>3749</v>
      </c>
      <c r="E901" s="9" t="s">
        <v>47</v>
      </c>
      <c r="F901" s="9" t="s">
        <v>99</v>
      </c>
      <c r="G901" s="22" t="s">
        <v>3899</v>
      </c>
      <c r="H901" s="9" t="s">
        <v>56</v>
      </c>
      <c r="I901" s="7"/>
      <c r="J901" s="23" t="s">
        <v>3900</v>
      </c>
      <c r="K901" s="24" t="s">
        <v>3901</v>
      </c>
      <c r="L901" s="22" t="s">
        <v>3902</v>
      </c>
      <c r="M901" s="25"/>
      <c r="N901" s="25"/>
      <c r="O901" s="26"/>
      <c r="P901" s="27"/>
      <c r="Q901" s="28"/>
      <c r="R901" s="28"/>
      <c r="S901" s="26"/>
    </row>
    <row r="902" customFormat="false" ht="15" hidden="false" customHeight="false" outlineLevel="0" collapsed="false">
      <c r="A902" s="7" t="n">
        <v>898</v>
      </c>
      <c r="B902" s="9" t="s">
        <v>37</v>
      </c>
      <c r="C902" s="22" t="s">
        <v>3898</v>
      </c>
      <c r="D902" s="9" t="s">
        <v>3749</v>
      </c>
      <c r="E902" s="9" t="s">
        <v>47</v>
      </c>
      <c r="F902" s="9" t="s">
        <v>99</v>
      </c>
      <c r="G902" s="22" t="s">
        <v>3903</v>
      </c>
      <c r="H902" s="9" t="s">
        <v>57</v>
      </c>
      <c r="I902" s="7"/>
      <c r="J902" s="23" t="s">
        <v>3904</v>
      </c>
      <c r="K902" s="24" t="s">
        <v>3905</v>
      </c>
      <c r="L902" s="22" t="s">
        <v>3906</v>
      </c>
      <c r="M902" s="25"/>
      <c r="N902" s="25"/>
      <c r="O902" s="26"/>
      <c r="P902" s="27"/>
      <c r="Q902" s="28"/>
      <c r="R902" s="28"/>
      <c r="S902" s="26"/>
    </row>
    <row r="903" customFormat="false" ht="15" hidden="false" customHeight="false" outlineLevel="0" collapsed="false">
      <c r="A903" s="7" t="n">
        <v>899</v>
      </c>
      <c r="B903" s="9" t="s">
        <v>37</v>
      </c>
      <c r="C903" s="22" t="s">
        <v>3898</v>
      </c>
      <c r="D903" s="9" t="s">
        <v>3749</v>
      </c>
      <c r="E903" s="9" t="s">
        <v>47</v>
      </c>
      <c r="F903" s="9" t="s">
        <v>99</v>
      </c>
      <c r="G903" s="22" t="s">
        <v>3907</v>
      </c>
      <c r="H903" s="9" t="s">
        <v>56</v>
      </c>
      <c r="I903" s="7"/>
      <c r="J903" s="23" t="s">
        <v>3908</v>
      </c>
      <c r="K903" s="24" t="s">
        <v>3909</v>
      </c>
      <c r="L903" s="22" t="s">
        <v>3910</v>
      </c>
      <c r="M903" s="25"/>
      <c r="N903" s="25"/>
      <c r="O903" s="26"/>
      <c r="P903" s="27"/>
      <c r="Q903" s="28"/>
      <c r="R903" s="28"/>
      <c r="S903" s="26"/>
    </row>
    <row r="904" customFormat="false" ht="15" hidden="false" customHeight="false" outlineLevel="0" collapsed="false">
      <c r="A904" s="7" t="n">
        <v>900</v>
      </c>
      <c r="B904" s="9" t="s">
        <v>37</v>
      </c>
      <c r="C904" s="22" t="s">
        <v>3898</v>
      </c>
      <c r="D904" s="9" t="s">
        <v>3749</v>
      </c>
      <c r="E904" s="9" t="s">
        <v>47</v>
      </c>
      <c r="F904" s="9" t="s">
        <v>99</v>
      </c>
      <c r="G904" s="22" t="s">
        <v>3911</v>
      </c>
      <c r="H904" s="9" t="s">
        <v>56</v>
      </c>
      <c r="I904" s="7"/>
      <c r="J904" s="23" t="s">
        <v>3912</v>
      </c>
      <c r="K904" s="24" t="s">
        <v>3913</v>
      </c>
      <c r="L904" s="22" t="s">
        <v>3914</v>
      </c>
      <c r="M904" s="25"/>
      <c r="N904" s="25"/>
      <c r="O904" s="26"/>
      <c r="P904" s="27"/>
      <c r="Q904" s="28"/>
      <c r="R904" s="28"/>
      <c r="S904" s="26"/>
    </row>
    <row r="905" customFormat="false" ht="15" hidden="false" customHeight="false" outlineLevel="0" collapsed="false">
      <c r="A905" s="7" t="n">
        <v>901</v>
      </c>
      <c r="B905" s="9" t="s">
        <v>37</v>
      </c>
      <c r="C905" s="22" t="s">
        <v>3898</v>
      </c>
      <c r="D905" s="9" t="s">
        <v>3749</v>
      </c>
      <c r="E905" s="9" t="s">
        <v>47</v>
      </c>
      <c r="F905" s="9" t="s">
        <v>99</v>
      </c>
      <c r="G905" s="22" t="s">
        <v>3915</v>
      </c>
      <c r="H905" s="9" t="s">
        <v>56</v>
      </c>
      <c r="I905" s="7"/>
      <c r="J905" s="23" t="s">
        <v>3916</v>
      </c>
      <c r="K905" s="24" t="s">
        <v>3917</v>
      </c>
      <c r="L905" s="22" t="s">
        <v>3918</v>
      </c>
      <c r="M905" s="25"/>
      <c r="N905" s="25"/>
      <c r="O905" s="26"/>
      <c r="P905" s="27"/>
      <c r="Q905" s="28"/>
      <c r="R905" s="28"/>
      <c r="S905" s="26"/>
    </row>
    <row r="906" customFormat="false" ht="15" hidden="false" customHeight="false" outlineLevel="0" collapsed="false">
      <c r="A906" s="7" t="n">
        <v>902</v>
      </c>
      <c r="B906" s="9" t="s">
        <v>37</v>
      </c>
      <c r="C906" s="22" t="s">
        <v>3898</v>
      </c>
      <c r="D906" s="9" t="s">
        <v>3749</v>
      </c>
      <c r="E906" s="9" t="s">
        <v>48</v>
      </c>
      <c r="F906" s="9" t="s">
        <v>99</v>
      </c>
      <c r="G906" s="22" t="s">
        <v>3919</v>
      </c>
      <c r="H906" s="9" t="s">
        <v>57</v>
      </c>
      <c r="I906" s="7"/>
      <c r="J906" s="23" t="s">
        <v>3920</v>
      </c>
      <c r="K906" s="24" t="s">
        <v>3921</v>
      </c>
      <c r="L906" s="22" t="s">
        <v>3922</v>
      </c>
      <c r="M906" s="25"/>
      <c r="N906" s="25"/>
      <c r="O906" s="26"/>
      <c r="P906" s="27"/>
      <c r="Q906" s="28"/>
      <c r="R906" s="28"/>
      <c r="S906" s="26"/>
    </row>
    <row r="907" customFormat="false" ht="15" hidden="false" customHeight="false" outlineLevel="0" collapsed="false">
      <c r="A907" s="7" t="n">
        <v>903</v>
      </c>
      <c r="B907" s="9" t="s">
        <v>37</v>
      </c>
      <c r="C907" s="22" t="s">
        <v>3923</v>
      </c>
      <c r="D907" s="9" t="s">
        <v>3924</v>
      </c>
      <c r="E907" s="9" t="s">
        <v>47</v>
      </c>
      <c r="F907" s="9" t="s">
        <v>99</v>
      </c>
      <c r="G907" s="22" t="s">
        <v>3925</v>
      </c>
      <c r="H907" s="9" t="s">
        <v>57</v>
      </c>
      <c r="I907" s="7"/>
      <c r="J907" s="23" t="s">
        <v>3926</v>
      </c>
      <c r="K907" s="24" t="s">
        <v>3927</v>
      </c>
      <c r="L907" s="22" t="s">
        <v>3928</v>
      </c>
      <c r="M907" s="25"/>
      <c r="N907" s="25"/>
      <c r="O907" s="26"/>
      <c r="P907" s="27"/>
      <c r="Q907" s="28"/>
      <c r="R907" s="28"/>
      <c r="S907" s="26"/>
    </row>
    <row r="908" customFormat="false" ht="15" hidden="false" customHeight="false" outlineLevel="0" collapsed="false">
      <c r="A908" s="7" t="n">
        <v>904</v>
      </c>
      <c r="B908" s="9" t="s">
        <v>37</v>
      </c>
      <c r="C908" s="22" t="s">
        <v>3929</v>
      </c>
      <c r="D908" s="9" t="s">
        <v>3762</v>
      </c>
      <c r="E908" s="9" t="s">
        <v>47</v>
      </c>
      <c r="F908" s="9" t="s">
        <v>99</v>
      </c>
      <c r="G908" s="22" t="s">
        <v>3930</v>
      </c>
      <c r="H908" s="9" t="s">
        <v>56</v>
      </c>
      <c r="I908" s="7"/>
      <c r="J908" s="23" t="s">
        <v>3931</v>
      </c>
      <c r="K908" s="24" t="s">
        <v>3932</v>
      </c>
      <c r="L908" s="22" t="s">
        <v>3933</v>
      </c>
      <c r="M908" s="25"/>
      <c r="N908" s="25"/>
      <c r="O908" s="26"/>
      <c r="P908" s="27"/>
      <c r="Q908" s="28"/>
      <c r="R908" s="28"/>
      <c r="S908" s="26"/>
    </row>
    <row r="909" customFormat="false" ht="15" hidden="false" customHeight="false" outlineLevel="0" collapsed="false">
      <c r="A909" s="7" t="n">
        <v>905</v>
      </c>
      <c r="B909" s="9" t="s">
        <v>37</v>
      </c>
      <c r="C909" s="22" t="s">
        <v>3929</v>
      </c>
      <c r="D909" s="9" t="s">
        <v>3762</v>
      </c>
      <c r="E909" s="9" t="s">
        <v>47</v>
      </c>
      <c r="F909" s="9" t="s">
        <v>99</v>
      </c>
      <c r="G909" s="22" t="s">
        <v>3934</v>
      </c>
      <c r="H909" s="9" t="s">
        <v>56</v>
      </c>
      <c r="I909" s="7" t="s">
        <v>869</v>
      </c>
      <c r="J909" s="23" t="s">
        <v>3935</v>
      </c>
      <c r="K909" s="24" t="s">
        <v>3936</v>
      </c>
      <c r="L909" s="22" t="s">
        <v>3937</v>
      </c>
      <c r="M909" s="25"/>
      <c r="N909" s="25"/>
      <c r="O909" s="26"/>
      <c r="P909" s="27"/>
      <c r="Q909" s="28"/>
      <c r="R909" s="28"/>
      <c r="S909" s="26"/>
    </row>
    <row r="910" customFormat="false" ht="15" hidden="false" customHeight="false" outlineLevel="0" collapsed="false">
      <c r="A910" s="7" t="n">
        <v>906</v>
      </c>
      <c r="B910" s="9" t="s">
        <v>37</v>
      </c>
      <c r="C910" s="22" t="s">
        <v>3929</v>
      </c>
      <c r="D910" s="9" t="s">
        <v>3762</v>
      </c>
      <c r="E910" s="9" t="s">
        <v>47</v>
      </c>
      <c r="F910" s="9" t="s">
        <v>99</v>
      </c>
      <c r="G910" s="22" t="s">
        <v>3938</v>
      </c>
      <c r="H910" s="9" t="s">
        <v>57</v>
      </c>
      <c r="I910" s="7"/>
      <c r="J910" s="23" t="s">
        <v>3939</v>
      </c>
      <c r="K910" s="24" t="s">
        <v>3940</v>
      </c>
      <c r="L910" s="22" t="s">
        <v>3941</v>
      </c>
      <c r="M910" s="25"/>
      <c r="N910" s="25"/>
      <c r="O910" s="26"/>
      <c r="P910" s="27"/>
      <c r="Q910" s="28"/>
      <c r="R910" s="28"/>
      <c r="S910" s="26"/>
    </row>
    <row r="911" customFormat="false" ht="15" hidden="false" customHeight="false" outlineLevel="0" collapsed="false">
      <c r="A911" s="7" t="n">
        <v>907</v>
      </c>
      <c r="B911" s="9" t="s">
        <v>37</v>
      </c>
      <c r="C911" s="22" t="s">
        <v>3942</v>
      </c>
      <c r="D911" s="9" t="s">
        <v>3943</v>
      </c>
      <c r="E911" s="9" t="s">
        <v>47</v>
      </c>
      <c r="F911" s="9" t="s">
        <v>99</v>
      </c>
      <c r="G911" s="22" t="s">
        <v>3944</v>
      </c>
      <c r="H911" s="9" t="s">
        <v>57</v>
      </c>
      <c r="I911" s="7"/>
      <c r="J911" s="23" t="s">
        <v>3945</v>
      </c>
      <c r="K911" s="24" t="s">
        <v>3946</v>
      </c>
      <c r="L911" s="22" t="s">
        <v>3947</v>
      </c>
      <c r="M911" s="25"/>
      <c r="N911" s="25"/>
      <c r="O911" s="26"/>
      <c r="P911" s="27"/>
      <c r="Q911" s="28"/>
      <c r="R911" s="28"/>
      <c r="S911" s="26"/>
    </row>
    <row r="912" customFormat="false" ht="15" hidden="false" customHeight="false" outlineLevel="0" collapsed="false">
      <c r="A912" s="7" t="n">
        <v>908</v>
      </c>
      <c r="B912" s="9" t="s">
        <v>37</v>
      </c>
      <c r="C912" s="22" t="s">
        <v>3942</v>
      </c>
      <c r="D912" s="9" t="s">
        <v>3943</v>
      </c>
      <c r="E912" s="9" t="s">
        <v>48</v>
      </c>
      <c r="F912" s="9" t="s">
        <v>124</v>
      </c>
      <c r="G912" s="22" t="s">
        <v>3948</v>
      </c>
      <c r="H912" s="9" t="s">
        <v>56</v>
      </c>
      <c r="I912" s="7"/>
      <c r="J912" s="23" t="s">
        <v>3949</v>
      </c>
      <c r="K912" s="24" t="s">
        <v>3950</v>
      </c>
      <c r="L912" s="22" t="s">
        <v>3951</v>
      </c>
      <c r="M912" s="25"/>
      <c r="N912" s="25"/>
      <c r="O912" s="26"/>
      <c r="P912" s="27"/>
      <c r="Q912" s="28"/>
      <c r="R912" s="28"/>
      <c r="S912" s="26"/>
    </row>
    <row r="913" customFormat="false" ht="15" hidden="false" customHeight="false" outlineLevel="0" collapsed="false">
      <c r="A913" s="7" t="n">
        <v>909</v>
      </c>
      <c r="B913" s="9" t="s">
        <v>37</v>
      </c>
      <c r="C913" s="22" t="s">
        <v>3952</v>
      </c>
      <c r="D913" s="9" t="s">
        <v>3953</v>
      </c>
      <c r="E913" s="9" t="s">
        <v>47</v>
      </c>
      <c r="F913" s="9" t="s">
        <v>99</v>
      </c>
      <c r="G913" s="22" t="s">
        <v>3954</v>
      </c>
      <c r="H913" s="9" t="s">
        <v>57</v>
      </c>
      <c r="I913" s="7"/>
      <c r="J913" s="23" t="s">
        <v>3955</v>
      </c>
      <c r="K913" s="24" t="s">
        <v>3956</v>
      </c>
      <c r="L913" s="22" t="s">
        <v>3957</v>
      </c>
      <c r="M913" s="25"/>
      <c r="N913" s="25"/>
      <c r="O913" s="26"/>
      <c r="P913" s="27"/>
      <c r="Q913" s="28"/>
      <c r="R913" s="28"/>
      <c r="S913" s="26"/>
    </row>
    <row r="914" customFormat="false" ht="15" hidden="false" customHeight="false" outlineLevel="0" collapsed="false">
      <c r="A914" s="7" t="n">
        <v>910</v>
      </c>
      <c r="B914" s="9" t="s">
        <v>37</v>
      </c>
      <c r="C914" s="22" t="s">
        <v>3958</v>
      </c>
      <c r="D914" s="9" t="s">
        <v>3959</v>
      </c>
      <c r="E914" s="9" t="s">
        <v>47</v>
      </c>
      <c r="F914" s="9" t="s">
        <v>99</v>
      </c>
      <c r="G914" s="22" t="s">
        <v>3960</v>
      </c>
      <c r="H914" s="9" t="s">
        <v>57</v>
      </c>
      <c r="I914" s="7"/>
      <c r="J914" s="23" t="s">
        <v>3961</v>
      </c>
      <c r="K914" s="24" t="s">
        <v>3962</v>
      </c>
      <c r="L914" s="22" t="s">
        <v>3963</v>
      </c>
      <c r="M914" s="25"/>
      <c r="N914" s="25"/>
      <c r="O914" s="26"/>
      <c r="P914" s="27"/>
      <c r="Q914" s="28"/>
      <c r="R914" s="28"/>
      <c r="S914" s="26"/>
    </row>
    <row r="915" customFormat="false" ht="15" hidden="false" customHeight="false" outlineLevel="0" collapsed="false">
      <c r="A915" s="7" t="n">
        <v>911</v>
      </c>
      <c r="B915" s="9" t="s">
        <v>37</v>
      </c>
      <c r="C915" s="22" t="s">
        <v>3964</v>
      </c>
      <c r="D915" s="9" t="s">
        <v>3965</v>
      </c>
      <c r="E915" s="9" t="s">
        <v>47</v>
      </c>
      <c r="F915" s="9" t="s">
        <v>99</v>
      </c>
      <c r="G915" s="22" t="s">
        <v>3966</v>
      </c>
      <c r="H915" s="9" t="s">
        <v>56</v>
      </c>
      <c r="I915" s="7"/>
      <c r="J915" s="23" t="s">
        <v>3967</v>
      </c>
      <c r="K915" s="24" t="s">
        <v>3968</v>
      </c>
      <c r="L915" s="22" t="s">
        <v>3969</v>
      </c>
      <c r="M915" s="25"/>
      <c r="N915" s="25"/>
      <c r="O915" s="26"/>
      <c r="P915" s="27"/>
      <c r="Q915" s="28"/>
      <c r="R915" s="28"/>
      <c r="S915" s="26"/>
    </row>
    <row r="916" customFormat="false" ht="15" hidden="false" customHeight="false" outlineLevel="0" collapsed="false">
      <c r="A916" s="7" t="n">
        <v>912</v>
      </c>
      <c r="B916" s="9" t="s">
        <v>37</v>
      </c>
      <c r="C916" s="22" t="s">
        <v>3970</v>
      </c>
      <c r="D916" s="9" t="s">
        <v>3772</v>
      </c>
      <c r="E916" s="9" t="s">
        <v>47</v>
      </c>
      <c r="F916" s="9" t="s">
        <v>99</v>
      </c>
      <c r="G916" s="22" t="s">
        <v>3971</v>
      </c>
      <c r="H916" s="9" t="s">
        <v>56</v>
      </c>
      <c r="I916" s="7"/>
      <c r="J916" s="23" t="s">
        <v>3972</v>
      </c>
      <c r="K916" s="24" t="s">
        <v>3973</v>
      </c>
      <c r="L916" s="22" t="s">
        <v>3974</v>
      </c>
      <c r="M916" s="25"/>
      <c r="N916" s="25"/>
      <c r="O916" s="26"/>
      <c r="P916" s="27"/>
      <c r="Q916" s="28"/>
      <c r="R916" s="28"/>
      <c r="S916" s="26"/>
    </row>
    <row r="917" customFormat="false" ht="15" hidden="false" customHeight="false" outlineLevel="0" collapsed="false">
      <c r="A917" s="7" t="n">
        <v>913</v>
      </c>
      <c r="B917" s="9" t="s">
        <v>37</v>
      </c>
      <c r="C917" s="22" t="s">
        <v>3970</v>
      </c>
      <c r="D917" s="9" t="s">
        <v>3772</v>
      </c>
      <c r="E917" s="9" t="s">
        <v>47</v>
      </c>
      <c r="F917" s="9" t="s">
        <v>99</v>
      </c>
      <c r="G917" s="22" t="s">
        <v>3975</v>
      </c>
      <c r="H917" s="9" t="s">
        <v>56</v>
      </c>
      <c r="I917" s="7"/>
      <c r="J917" s="23" t="s">
        <v>3976</v>
      </c>
      <c r="K917" s="24" t="s">
        <v>3977</v>
      </c>
      <c r="L917" s="22" t="s">
        <v>3978</v>
      </c>
      <c r="M917" s="25"/>
      <c r="N917" s="25"/>
      <c r="O917" s="26"/>
      <c r="P917" s="27"/>
      <c r="Q917" s="28"/>
      <c r="R917" s="28"/>
      <c r="S917" s="26"/>
    </row>
    <row r="918" customFormat="false" ht="15" hidden="false" customHeight="false" outlineLevel="0" collapsed="false">
      <c r="A918" s="7" t="n">
        <v>914</v>
      </c>
      <c r="B918" s="9" t="s">
        <v>37</v>
      </c>
      <c r="C918" s="22" t="s">
        <v>3970</v>
      </c>
      <c r="D918" s="9" t="s">
        <v>3772</v>
      </c>
      <c r="E918" s="9" t="s">
        <v>47</v>
      </c>
      <c r="F918" s="9" t="s">
        <v>99</v>
      </c>
      <c r="G918" s="22" t="s">
        <v>3979</v>
      </c>
      <c r="H918" s="9" t="s">
        <v>56</v>
      </c>
      <c r="I918" s="7" t="s">
        <v>869</v>
      </c>
      <c r="J918" s="23" t="s">
        <v>3980</v>
      </c>
      <c r="K918" s="24" t="s">
        <v>3981</v>
      </c>
      <c r="L918" s="22" t="s">
        <v>3982</v>
      </c>
      <c r="M918" s="25"/>
      <c r="N918" s="25"/>
      <c r="O918" s="26"/>
      <c r="P918" s="27"/>
      <c r="Q918" s="28"/>
      <c r="R918" s="28"/>
      <c r="S918" s="26"/>
    </row>
    <row r="919" customFormat="false" ht="15" hidden="false" customHeight="false" outlineLevel="0" collapsed="false">
      <c r="A919" s="7" t="n">
        <v>915</v>
      </c>
      <c r="B919" s="9" t="s">
        <v>37</v>
      </c>
      <c r="C919" s="22" t="s">
        <v>3970</v>
      </c>
      <c r="D919" s="9" t="s">
        <v>3772</v>
      </c>
      <c r="E919" s="9" t="s">
        <v>48</v>
      </c>
      <c r="F919" s="9" t="s">
        <v>99</v>
      </c>
      <c r="G919" s="22" t="s">
        <v>3983</v>
      </c>
      <c r="H919" s="9" t="s">
        <v>56</v>
      </c>
      <c r="I919" s="7"/>
      <c r="J919" s="23" t="s">
        <v>3984</v>
      </c>
      <c r="K919" s="24" t="s">
        <v>3985</v>
      </c>
      <c r="L919" s="22" t="s">
        <v>3986</v>
      </c>
      <c r="M919" s="25"/>
      <c r="N919" s="25"/>
      <c r="O919" s="26"/>
      <c r="P919" s="27"/>
      <c r="Q919" s="28"/>
      <c r="R919" s="28"/>
      <c r="S919" s="26"/>
    </row>
    <row r="920" customFormat="false" ht="15" hidden="false" customHeight="false" outlineLevel="0" collapsed="false">
      <c r="A920" s="7" t="n">
        <v>916</v>
      </c>
      <c r="B920" s="9" t="s">
        <v>37</v>
      </c>
      <c r="C920" s="22" t="s">
        <v>3970</v>
      </c>
      <c r="D920" s="9" t="s">
        <v>3772</v>
      </c>
      <c r="E920" s="9" t="s">
        <v>48</v>
      </c>
      <c r="F920" s="9" t="s">
        <v>99</v>
      </c>
      <c r="G920" s="22" t="s">
        <v>3987</v>
      </c>
      <c r="H920" s="9" t="s">
        <v>57</v>
      </c>
      <c r="I920" s="7"/>
      <c r="J920" s="23" t="s">
        <v>3988</v>
      </c>
      <c r="K920" s="24" t="s">
        <v>3989</v>
      </c>
      <c r="L920" s="22" t="s">
        <v>3990</v>
      </c>
      <c r="M920" s="25"/>
      <c r="N920" s="25"/>
      <c r="O920" s="26"/>
      <c r="P920" s="27"/>
      <c r="Q920" s="28"/>
      <c r="R920" s="28"/>
      <c r="S920" s="26"/>
    </row>
    <row r="921" customFormat="false" ht="15" hidden="false" customHeight="false" outlineLevel="0" collapsed="false">
      <c r="A921" s="7" t="n">
        <v>917</v>
      </c>
      <c r="B921" s="9" t="s">
        <v>37</v>
      </c>
      <c r="C921" s="22" t="s">
        <v>3991</v>
      </c>
      <c r="D921" s="9" t="s">
        <v>3781</v>
      </c>
      <c r="E921" s="9" t="s">
        <v>47</v>
      </c>
      <c r="F921" s="9" t="s">
        <v>99</v>
      </c>
      <c r="G921" s="22" t="s">
        <v>3992</v>
      </c>
      <c r="H921" s="9" t="s">
        <v>56</v>
      </c>
      <c r="I921" s="7" t="s">
        <v>869</v>
      </c>
      <c r="J921" s="23" t="s">
        <v>3993</v>
      </c>
      <c r="K921" s="24" t="s">
        <v>3994</v>
      </c>
      <c r="L921" s="22" t="s">
        <v>3995</v>
      </c>
      <c r="M921" s="25"/>
      <c r="N921" s="25"/>
      <c r="O921" s="26"/>
      <c r="P921" s="27"/>
      <c r="Q921" s="28"/>
      <c r="R921" s="28"/>
      <c r="S921" s="26"/>
    </row>
    <row r="922" customFormat="false" ht="15" hidden="false" customHeight="false" outlineLevel="0" collapsed="false">
      <c r="A922" s="7" t="n">
        <v>918</v>
      </c>
      <c r="B922" s="9" t="s">
        <v>37</v>
      </c>
      <c r="C922" s="22" t="s">
        <v>3991</v>
      </c>
      <c r="D922" s="9" t="s">
        <v>3781</v>
      </c>
      <c r="E922" s="9" t="s">
        <v>47</v>
      </c>
      <c r="F922" s="9" t="s">
        <v>99</v>
      </c>
      <c r="G922" s="22" t="s">
        <v>3996</v>
      </c>
      <c r="H922" s="9" t="s">
        <v>57</v>
      </c>
      <c r="I922" s="7"/>
      <c r="J922" s="23" t="s">
        <v>3997</v>
      </c>
      <c r="K922" s="24" t="s">
        <v>3998</v>
      </c>
      <c r="L922" s="22" t="s">
        <v>3999</v>
      </c>
      <c r="M922" s="25"/>
      <c r="N922" s="25"/>
      <c r="O922" s="26"/>
      <c r="P922" s="27"/>
      <c r="Q922" s="28"/>
      <c r="R922" s="28"/>
      <c r="S922" s="26"/>
    </row>
    <row r="923" customFormat="false" ht="15" hidden="false" customHeight="false" outlineLevel="0" collapsed="false">
      <c r="A923" s="7" t="n">
        <v>919</v>
      </c>
      <c r="B923" s="9" t="s">
        <v>37</v>
      </c>
      <c r="C923" s="22" t="s">
        <v>3991</v>
      </c>
      <c r="D923" s="9" t="s">
        <v>3781</v>
      </c>
      <c r="E923" s="9" t="s">
        <v>47</v>
      </c>
      <c r="F923" s="9" t="s">
        <v>99</v>
      </c>
      <c r="G923" s="22" t="s">
        <v>4000</v>
      </c>
      <c r="H923" s="9" t="s">
        <v>57</v>
      </c>
      <c r="I923" s="7"/>
      <c r="J923" s="23" t="s">
        <v>4001</v>
      </c>
      <c r="K923" s="24" t="s">
        <v>4002</v>
      </c>
      <c r="L923" s="22" t="s">
        <v>4003</v>
      </c>
      <c r="M923" s="25"/>
      <c r="N923" s="25"/>
      <c r="O923" s="26"/>
      <c r="P923" s="27"/>
      <c r="Q923" s="28"/>
      <c r="R923" s="28"/>
      <c r="S923" s="26"/>
    </row>
    <row r="924" customFormat="false" ht="15" hidden="false" customHeight="false" outlineLevel="0" collapsed="false">
      <c r="A924" s="7" t="n">
        <v>920</v>
      </c>
      <c r="B924" s="9" t="s">
        <v>37</v>
      </c>
      <c r="C924" s="22" t="s">
        <v>3991</v>
      </c>
      <c r="D924" s="9" t="s">
        <v>3781</v>
      </c>
      <c r="E924" s="9" t="s">
        <v>47</v>
      </c>
      <c r="F924" s="9" t="s">
        <v>124</v>
      </c>
      <c r="G924" s="22" t="s">
        <v>4004</v>
      </c>
      <c r="H924" s="9" t="s">
        <v>56</v>
      </c>
      <c r="I924" s="7" t="s">
        <v>869</v>
      </c>
      <c r="J924" s="23" t="s">
        <v>4005</v>
      </c>
      <c r="K924" s="24" t="s">
        <v>4006</v>
      </c>
      <c r="L924" s="22" t="s">
        <v>4007</v>
      </c>
      <c r="M924" s="25"/>
      <c r="N924" s="25"/>
      <c r="O924" s="26"/>
      <c r="P924" s="27"/>
      <c r="Q924" s="28"/>
      <c r="R924" s="28"/>
      <c r="S924" s="26"/>
    </row>
    <row r="925" customFormat="false" ht="15" hidden="false" customHeight="false" outlineLevel="0" collapsed="false">
      <c r="A925" s="7" t="n">
        <v>921</v>
      </c>
      <c r="B925" s="9" t="s">
        <v>37</v>
      </c>
      <c r="C925" s="22" t="s">
        <v>3991</v>
      </c>
      <c r="D925" s="9" t="s">
        <v>3781</v>
      </c>
      <c r="E925" s="9" t="s">
        <v>47</v>
      </c>
      <c r="F925" s="9" t="s">
        <v>99</v>
      </c>
      <c r="G925" s="22" t="s">
        <v>4008</v>
      </c>
      <c r="H925" s="9" t="s">
        <v>56</v>
      </c>
      <c r="I925" s="7"/>
      <c r="J925" s="23" t="s">
        <v>4009</v>
      </c>
      <c r="K925" s="24" t="s">
        <v>4010</v>
      </c>
      <c r="L925" s="22" t="s">
        <v>4011</v>
      </c>
      <c r="M925" s="25"/>
      <c r="N925" s="25"/>
      <c r="O925" s="26"/>
      <c r="P925" s="27"/>
      <c r="Q925" s="28"/>
      <c r="R925" s="28"/>
      <c r="S925" s="26"/>
    </row>
    <row r="926" customFormat="false" ht="15" hidden="false" customHeight="false" outlineLevel="0" collapsed="false">
      <c r="A926" s="7" t="n">
        <v>922</v>
      </c>
      <c r="B926" s="9" t="s">
        <v>37</v>
      </c>
      <c r="C926" s="22" t="s">
        <v>3991</v>
      </c>
      <c r="D926" s="9" t="s">
        <v>3781</v>
      </c>
      <c r="E926" s="9" t="s">
        <v>47</v>
      </c>
      <c r="F926" s="9" t="s">
        <v>99</v>
      </c>
      <c r="G926" s="22" t="s">
        <v>4012</v>
      </c>
      <c r="H926" s="9" t="s">
        <v>56</v>
      </c>
      <c r="I926" s="7" t="s">
        <v>869</v>
      </c>
      <c r="J926" s="23" t="s">
        <v>4013</v>
      </c>
      <c r="K926" s="24" t="s">
        <v>4014</v>
      </c>
      <c r="L926" s="22" t="s">
        <v>4015</v>
      </c>
      <c r="M926" s="25"/>
      <c r="N926" s="25"/>
      <c r="O926" s="26"/>
      <c r="P926" s="27"/>
      <c r="Q926" s="28"/>
      <c r="R926" s="28"/>
      <c r="S926" s="26"/>
    </row>
    <row r="927" customFormat="false" ht="15" hidden="false" customHeight="false" outlineLevel="0" collapsed="false">
      <c r="A927" s="7" t="n">
        <v>923</v>
      </c>
      <c r="B927" s="9" t="s">
        <v>37</v>
      </c>
      <c r="C927" s="22" t="s">
        <v>3991</v>
      </c>
      <c r="D927" s="9" t="s">
        <v>3781</v>
      </c>
      <c r="E927" s="9" t="s">
        <v>48</v>
      </c>
      <c r="F927" s="9" t="s">
        <v>99</v>
      </c>
      <c r="G927" s="22" t="s">
        <v>4016</v>
      </c>
      <c r="H927" s="9" t="s">
        <v>57</v>
      </c>
      <c r="I927" s="7" t="s">
        <v>869</v>
      </c>
      <c r="J927" s="23" t="s">
        <v>4017</v>
      </c>
      <c r="K927" s="24" t="s">
        <v>4018</v>
      </c>
      <c r="L927" s="22" t="s">
        <v>4019</v>
      </c>
      <c r="M927" s="25"/>
      <c r="N927" s="25"/>
      <c r="O927" s="26"/>
      <c r="P927" s="27"/>
      <c r="Q927" s="28"/>
      <c r="R927" s="28"/>
      <c r="S927" s="26"/>
    </row>
    <row r="928" customFormat="false" ht="15" hidden="false" customHeight="false" outlineLevel="0" collapsed="false">
      <c r="A928" s="7" t="n">
        <v>924</v>
      </c>
      <c r="B928" s="9" t="s">
        <v>37</v>
      </c>
      <c r="C928" s="22" t="s">
        <v>3991</v>
      </c>
      <c r="D928" s="9" t="s">
        <v>3781</v>
      </c>
      <c r="E928" s="9" t="s">
        <v>48</v>
      </c>
      <c r="F928" s="9" t="s">
        <v>124</v>
      </c>
      <c r="G928" s="22" t="s">
        <v>4020</v>
      </c>
      <c r="H928" s="9" t="s">
        <v>56</v>
      </c>
      <c r="I928" s="7"/>
      <c r="J928" s="23" t="s">
        <v>4021</v>
      </c>
      <c r="K928" s="24" t="s">
        <v>4022</v>
      </c>
      <c r="L928" s="22" t="s">
        <v>4023</v>
      </c>
      <c r="M928" s="25"/>
      <c r="N928" s="25"/>
      <c r="O928" s="26"/>
      <c r="P928" s="27"/>
      <c r="Q928" s="28"/>
      <c r="R928" s="28"/>
      <c r="S928" s="26"/>
    </row>
    <row r="929" customFormat="false" ht="15" hidden="false" customHeight="false" outlineLevel="0" collapsed="false">
      <c r="A929" s="7" t="n">
        <v>925</v>
      </c>
      <c r="B929" s="9" t="s">
        <v>37</v>
      </c>
      <c r="C929" s="22" t="s">
        <v>3991</v>
      </c>
      <c r="D929" s="9" t="s">
        <v>3781</v>
      </c>
      <c r="E929" s="9" t="s">
        <v>48</v>
      </c>
      <c r="F929" s="9" t="s">
        <v>124</v>
      </c>
      <c r="G929" s="22" t="s">
        <v>4024</v>
      </c>
      <c r="H929" s="9" t="s">
        <v>56</v>
      </c>
      <c r="I929" s="7" t="s">
        <v>869</v>
      </c>
      <c r="J929" s="23" t="s">
        <v>4025</v>
      </c>
      <c r="K929" s="24" t="s">
        <v>4026</v>
      </c>
      <c r="L929" s="22" t="s">
        <v>4027</v>
      </c>
      <c r="M929" s="25"/>
      <c r="N929" s="25"/>
      <c r="O929" s="26"/>
      <c r="P929" s="27"/>
      <c r="Q929" s="28"/>
      <c r="R929" s="28"/>
      <c r="S929" s="26"/>
    </row>
    <row r="930" customFormat="false" ht="15" hidden="false" customHeight="false" outlineLevel="0" collapsed="false">
      <c r="A930" s="7" t="n">
        <v>926</v>
      </c>
      <c r="B930" s="9" t="s">
        <v>39</v>
      </c>
      <c r="C930" s="22" t="s">
        <v>4028</v>
      </c>
      <c r="D930" s="9" t="s">
        <v>4029</v>
      </c>
      <c r="E930" s="9" t="s">
        <v>47</v>
      </c>
      <c r="F930" s="9" t="s">
        <v>99</v>
      </c>
      <c r="G930" s="22" t="s">
        <v>4030</v>
      </c>
      <c r="H930" s="7"/>
      <c r="I930" s="7"/>
      <c r="J930" s="23" t="s">
        <v>4031</v>
      </c>
      <c r="K930" s="24" t="s">
        <v>4032</v>
      </c>
      <c r="L930" s="22" t="s">
        <v>4033</v>
      </c>
      <c r="M930" s="25"/>
      <c r="N930" s="25"/>
      <c r="O930" s="26"/>
      <c r="P930" s="27"/>
      <c r="Q930" s="28"/>
      <c r="R930" s="28"/>
      <c r="S930" s="26"/>
    </row>
    <row r="931" customFormat="false" ht="15" hidden="false" customHeight="false" outlineLevel="0" collapsed="false">
      <c r="A931" s="7" t="n">
        <v>927</v>
      </c>
      <c r="B931" s="9" t="s">
        <v>39</v>
      </c>
      <c r="C931" s="22" t="s">
        <v>4028</v>
      </c>
      <c r="D931" s="9" t="s">
        <v>4029</v>
      </c>
      <c r="E931" s="9" t="s">
        <v>47</v>
      </c>
      <c r="F931" s="9" t="s">
        <v>99</v>
      </c>
      <c r="G931" s="22" t="s">
        <v>4034</v>
      </c>
      <c r="H931" s="7"/>
      <c r="I931" s="7"/>
      <c r="J931" s="23" t="s">
        <v>4035</v>
      </c>
      <c r="K931" s="24" t="s">
        <v>4036</v>
      </c>
      <c r="L931" s="22" t="s">
        <v>4037</v>
      </c>
      <c r="M931" s="25"/>
      <c r="N931" s="25"/>
      <c r="O931" s="26"/>
      <c r="P931" s="27"/>
      <c r="Q931" s="28"/>
      <c r="R931" s="28"/>
      <c r="S931" s="26"/>
    </row>
    <row r="932" customFormat="false" ht="15" hidden="false" customHeight="false" outlineLevel="0" collapsed="false">
      <c r="A932" s="7" t="n">
        <v>928</v>
      </c>
      <c r="B932" s="9" t="s">
        <v>39</v>
      </c>
      <c r="C932" s="22" t="s">
        <v>4028</v>
      </c>
      <c r="D932" s="9" t="s">
        <v>4029</v>
      </c>
      <c r="E932" s="9" t="s">
        <v>47</v>
      </c>
      <c r="F932" s="9" t="s">
        <v>99</v>
      </c>
      <c r="G932" s="22" t="s">
        <v>4038</v>
      </c>
      <c r="H932" s="7"/>
      <c r="I932" s="7"/>
      <c r="J932" s="23" t="s">
        <v>4039</v>
      </c>
      <c r="K932" s="24" t="s">
        <v>4040</v>
      </c>
      <c r="L932" s="22" t="s">
        <v>4041</v>
      </c>
      <c r="M932" s="25"/>
      <c r="N932" s="25"/>
      <c r="O932" s="26"/>
      <c r="P932" s="27"/>
      <c r="Q932" s="28"/>
      <c r="R932" s="28"/>
      <c r="S932" s="26"/>
    </row>
    <row r="933" customFormat="false" ht="15" hidden="false" customHeight="false" outlineLevel="0" collapsed="false">
      <c r="A933" s="7" t="n">
        <v>929</v>
      </c>
      <c r="B933" s="9" t="s">
        <v>39</v>
      </c>
      <c r="C933" s="22" t="s">
        <v>4042</v>
      </c>
      <c r="D933" s="9" t="s">
        <v>4043</v>
      </c>
      <c r="E933" s="9" t="s">
        <v>47</v>
      </c>
      <c r="F933" s="9" t="s">
        <v>99</v>
      </c>
      <c r="G933" s="22" t="s">
        <v>4044</v>
      </c>
      <c r="H933" s="7"/>
      <c r="I933" s="7"/>
      <c r="J933" s="23" t="s">
        <v>4045</v>
      </c>
      <c r="K933" s="24" t="s">
        <v>4046</v>
      </c>
      <c r="L933" s="22" t="s">
        <v>4047</v>
      </c>
      <c r="M933" s="25"/>
      <c r="N933" s="25"/>
      <c r="O933" s="26"/>
      <c r="P933" s="27"/>
      <c r="Q933" s="28"/>
      <c r="R933" s="28"/>
      <c r="S933" s="26"/>
    </row>
    <row r="934" customFormat="false" ht="15" hidden="false" customHeight="false" outlineLevel="0" collapsed="false">
      <c r="A934" s="7" t="n">
        <v>930</v>
      </c>
      <c r="B934" s="9" t="s">
        <v>39</v>
      </c>
      <c r="C934" s="22" t="s">
        <v>300</v>
      </c>
      <c r="D934" s="9" t="s">
        <v>4048</v>
      </c>
      <c r="E934" s="9" t="s">
        <v>49</v>
      </c>
      <c r="F934" s="9" t="s">
        <v>99</v>
      </c>
      <c r="G934" s="22" t="s">
        <v>4049</v>
      </c>
      <c r="H934" s="7"/>
      <c r="I934" s="7"/>
      <c r="J934" s="23" t="s">
        <v>4050</v>
      </c>
      <c r="K934" s="24" t="s">
        <v>4051</v>
      </c>
      <c r="L934" s="22" t="s">
        <v>4052</v>
      </c>
      <c r="M934" s="25"/>
      <c r="N934" s="25"/>
      <c r="O934" s="26"/>
      <c r="P934" s="27"/>
      <c r="Q934" s="28"/>
      <c r="R934" s="28"/>
      <c r="S934" s="26"/>
    </row>
    <row r="935" customFormat="false" ht="15" hidden="false" customHeight="false" outlineLevel="0" collapsed="false">
      <c r="A935" s="7" t="n">
        <v>931</v>
      </c>
      <c r="B935" s="9" t="s">
        <v>39</v>
      </c>
      <c r="C935" s="22" t="s">
        <v>300</v>
      </c>
      <c r="D935" s="9" t="s">
        <v>4053</v>
      </c>
      <c r="E935" s="9" t="s">
        <v>49</v>
      </c>
      <c r="F935" s="9" t="s">
        <v>124</v>
      </c>
      <c r="G935" s="22" t="s">
        <v>4054</v>
      </c>
      <c r="H935" s="7"/>
      <c r="I935" s="7"/>
      <c r="J935" s="23" t="s">
        <v>4055</v>
      </c>
      <c r="K935" s="24" t="s">
        <v>4056</v>
      </c>
      <c r="L935" s="22" t="s">
        <v>4057</v>
      </c>
      <c r="M935" s="25"/>
      <c r="N935" s="25"/>
      <c r="O935" s="26"/>
      <c r="P935" s="27"/>
      <c r="Q935" s="28"/>
      <c r="R935" s="28"/>
      <c r="S935" s="26"/>
    </row>
    <row r="936" customFormat="false" ht="15" hidden="false" customHeight="false" outlineLevel="0" collapsed="false">
      <c r="A936" s="7" t="n">
        <v>932</v>
      </c>
      <c r="B936" s="9" t="s">
        <v>39</v>
      </c>
      <c r="C936" s="22" t="s">
        <v>300</v>
      </c>
      <c r="D936" s="9" t="s">
        <v>4058</v>
      </c>
      <c r="E936" s="9" t="s">
        <v>49</v>
      </c>
      <c r="F936" s="9" t="s">
        <v>124</v>
      </c>
      <c r="G936" s="22" t="s">
        <v>4059</v>
      </c>
      <c r="H936" s="7"/>
      <c r="I936" s="7"/>
      <c r="J936" s="23" t="s">
        <v>4060</v>
      </c>
      <c r="K936" s="24" t="s">
        <v>4061</v>
      </c>
      <c r="L936" s="22" t="s">
        <v>4062</v>
      </c>
      <c r="M936" s="25"/>
      <c r="N936" s="25"/>
      <c r="O936" s="26"/>
      <c r="P936" s="27"/>
      <c r="Q936" s="28"/>
      <c r="R936" s="28"/>
      <c r="S936" s="26"/>
    </row>
    <row r="937" customFormat="false" ht="15" hidden="false" customHeight="false" outlineLevel="0" collapsed="false">
      <c r="A937" s="7" t="n">
        <v>933</v>
      </c>
      <c r="B937" s="9" t="s">
        <v>39</v>
      </c>
      <c r="C937" s="22" t="s">
        <v>300</v>
      </c>
      <c r="D937" s="9" t="s">
        <v>4063</v>
      </c>
      <c r="E937" s="9" t="s">
        <v>49</v>
      </c>
      <c r="F937" s="9" t="s">
        <v>99</v>
      </c>
      <c r="G937" s="22" t="s">
        <v>4064</v>
      </c>
      <c r="H937" s="7"/>
      <c r="I937" s="7"/>
      <c r="J937" s="23" t="s">
        <v>4065</v>
      </c>
      <c r="K937" s="24" t="s">
        <v>4066</v>
      </c>
      <c r="L937" s="22" t="s">
        <v>4067</v>
      </c>
      <c r="M937" s="25"/>
      <c r="N937" s="25"/>
      <c r="O937" s="26"/>
      <c r="P937" s="27"/>
      <c r="Q937" s="28"/>
      <c r="R937" s="28"/>
      <c r="S937" s="26"/>
    </row>
    <row r="938" customFormat="false" ht="15" hidden="false" customHeight="false" outlineLevel="0" collapsed="false">
      <c r="A938" s="7" t="n">
        <v>934</v>
      </c>
      <c r="B938" s="9" t="s">
        <v>39</v>
      </c>
      <c r="C938" s="22" t="s">
        <v>300</v>
      </c>
      <c r="D938" s="9" t="s">
        <v>4063</v>
      </c>
      <c r="E938" s="9" t="s">
        <v>49</v>
      </c>
      <c r="F938" s="9" t="s">
        <v>99</v>
      </c>
      <c r="G938" s="22" t="s">
        <v>4068</v>
      </c>
      <c r="H938" s="7"/>
      <c r="I938" s="7"/>
      <c r="J938" s="23" t="s">
        <v>4069</v>
      </c>
      <c r="K938" s="24" t="s">
        <v>4070</v>
      </c>
      <c r="L938" s="22" t="s">
        <v>4071</v>
      </c>
      <c r="M938" s="25"/>
      <c r="N938" s="25"/>
      <c r="O938" s="26"/>
      <c r="P938" s="27"/>
      <c r="Q938" s="28"/>
      <c r="R938" s="28"/>
      <c r="S938" s="26"/>
    </row>
    <row r="939" customFormat="false" ht="15" hidden="false" customHeight="false" outlineLevel="0" collapsed="false">
      <c r="A939" s="7" t="n">
        <v>935</v>
      </c>
      <c r="B939" s="9" t="s">
        <v>39</v>
      </c>
      <c r="C939" s="22" t="s">
        <v>300</v>
      </c>
      <c r="D939" s="9" t="s">
        <v>4072</v>
      </c>
      <c r="E939" s="9" t="s">
        <v>49</v>
      </c>
      <c r="F939" s="9" t="s">
        <v>99</v>
      </c>
      <c r="G939" s="22" t="s">
        <v>4073</v>
      </c>
      <c r="H939" s="7"/>
      <c r="I939" s="7"/>
      <c r="J939" s="23" t="s">
        <v>4074</v>
      </c>
      <c r="K939" s="24" t="s">
        <v>4075</v>
      </c>
      <c r="L939" s="22" t="s">
        <v>4076</v>
      </c>
      <c r="M939" s="25"/>
      <c r="N939" s="25"/>
      <c r="O939" s="26"/>
      <c r="P939" s="27"/>
      <c r="Q939" s="28"/>
      <c r="R939" s="28"/>
      <c r="S939" s="26"/>
    </row>
    <row r="940" customFormat="false" ht="15" hidden="false" customHeight="false" outlineLevel="0" collapsed="false">
      <c r="A940" s="7" t="n">
        <v>936</v>
      </c>
      <c r="B940" s="9" t="s">
        <v>39</v>
      </c>
      <c r="C940" s="22" t="s">
        <v>300</v>
      </c>
      <c r="D940" s="9" t="s">
        <v>4077</v>
      </c>
      <c r="E940" s="9" t="s">
        <v>49</v>
      </c>
      <c r="F940" s="9" t="s">
        <v>124</v>
      </c>
      <c r="G940" s="22" t="s">
        <v>4078</v>
      </c>
      <c r="H940" s="7"/>
      <c r="I940" s="7"/>
      <c r="J940" s="23" t="s">
        <v>4079</v>
      </c>
      <c r="K940" s="24" t="s">
        <v>4080</v>
      </c>
      <c r="L940" s="22" t="s">
        <v>4081</v>
      </c>
      <c r="M940" s="25"/>
      <c r="N940" s="25"/>
      <c r="O940" s="26"/>
      <c r="P940" s="27"/>
      <c r="Q940" s="28"/>
      <c r="R940" s="28"/>
      <c r="S940" s="26"/>
    </row>
    <row r="941" customFormat="false" ht="15" hidden="false" customHeight="false" outlineLevel="0" collapsed="false">
      <c r="A941" s="7" t="n">
        <v>937</v>
      </c>
      <c r="B941" s="9" t="s">
        <v>39</v>
      </c>
      <c r="C941" s="22" t="s">
        <v>300</v>
      </c>
      <c r="D941" s="9" t="s">
        <v>4077</v>
      </c>
      <c r="E941" s="9" t="s">
        <v>49</v>
      </c>
      <c r="F941" s="9" t="s">
        <v>124</v>
      </c>
      <c r="G941" s="22" t="s">
        <v>4082</v>
      </c>
      <c r="H941" s="7"/>
      <c r="I941" s="7"/>
      <c r="J941" s="23" t="s">
        <v>4083</v>
      </c>
      <c r="K941" s="24" t="s">
        <v>4084</v>
      </c>
      <c r="L941" s="22" t="s">
        <v>4085</v>
      </c>
      <c r="M941" s="25"/>
      <c r="N941" s="25"/>
      <c r="O941" s="26"/>
      <c r="P941" s="27"/>
      <c r="Q941" s="28"/>
      <c r="R941" s="28"/>
      <c r="S941" s="26"/>
    </row>
    <row r="942" customFormat="false" ht="15" hidden="false" customHeight="false" outlineLevel="0" collapsed="false">
      <c r="A942" s="7" t="n">
        <v>938</v>
      </c>
      <c r="B942" s="9" t="s">
        <v>39</v>
      </c>
      <c r="C942" s="22" t="s">
        <v>300</v>
      </c>
      <c r="D942" s="9" t="s">
        <v>4077</v>
      </c>
      <c r="E942" s="9" t="s">
        <v>49</v>
      </c>
      <c r="F942" s="9" t="s">
        <v>124</v>
      </c>
      <c r="G942" s="22" t="s">
        <v>4086</v>
      </c>
      <c r="H942" s="7"/>
      <c r="I942" s="7"/>
      <c r="J942" s="23" t="s">
        <v>4087</v>
      </c>
      <c r="K942" s="24" t="s">
        <v>4088</v>
      </c>
      <c r="L942" s="22" t="s">
        <v>4089</v>
      </c>
      <c r="M942" s="25"/>
      <c r="N942" s="25"/>
      <c r="O942" s="26"/>
      <c r="P942" s="27"/>
      <c r="Q942" s="28"/>
      <c r="R942" s="28"/>
      <c r="S942" s="26"/>
    </row>
    <row r="943" customFormat="false" ht="15" hidden="false" customHeight="false" outlineLevel="0" collapsed="false">
      <c r="A943" s="7" t="n">
        <v>939</v>
      </c>
      <c r="B943" s="9" t="s">
        <v>39</v>
      </c>
      <c r="C943" s="22" t="s">
        <v>300</v>
      </c>
      <c r="D943" s="9" t="s">
        <v>4077</v>
      </c>
      <c r="E943" s="9" t="s">
        <v>49</v>
      </c>
      <c r="F943" s="9" t="s">
        <v>124</v>
      </c>
      <c r="G943" s="22" t="s">
        <v>4090</v>
      </c>
      <c r="H943" s="7"/>
      <c r="I943" s="7"/>
      <c r="J943" s="23" t="s">
        <v>4091</v>
      </c>
      <c r="K943" s="24" t="s">
        <v>4092</v>
      </c>
      <c r="L943" s="22" t="s">
        <v>4093</v>
      </c>
      <c r="M943" s="25"/>
      <c r="N943" s="25"/>
      <c r="O943" s="26"/>
      <c r="P943" s="27"/>
      <c r="Q943" s="28"/>
      <c r="R943" s="28"/>
      <c r="S943" s="26"/>
    </row>
    <row r="944" customFormat="false" ht="15" hidden="false" customHeight="false" outlineLevel="0" collapsed="false">
      <c r="A944" s="7" t="n">
        <v>940</v>
      </c>
      <c r="B944" s="9" t="s">
        <v>39</v>
      </c>
      <c r="C944" s="22" t="s">
        <v>300</v>
      </c>
      <c r="D944" s="9" t="s">
        <v>4077</v>
      </c>
      <c r="E944" s="9" t="s">
        <v>49</v>
      </c>
      <c r="F944" s="9" t="s">
        <v>124</v>
      </c>
      <c r="G944" s="22" t="s">
        <v>4094</v>
      </c>
      <c r="H944" s="7"/>
      <c r="I944" s="7"/>
      <c r="J944" s="23" t="s">
        <v>4095</v>
      </c>
      <c r="K944" s="24" t="s">
        <v>4096</v>
      </c>
      <c r="L944" s="22" t="s">
        <v>4097</v>
      </c>
      <c r="M944" s="25"/>
      <c r="N944" s="25"/>
      <c r="O944" s="26"/>
      <c r="P944" s="27"/>
      <c r="Q944" s="28"/>
      <c r="R944" s="28"/>
      <c r="S944" s="26"/>
    </row>
    <row r="945" customFormat="false" ht="15" hidden="false" customHeight="false" outlineLevel="0" collapsed="false">
      <c r="A945" s="7" t="n">
        <v>941</v>
      </c>
      <c r="B945" s="9" t="s">
        <v>39</v>
      </c>
      <c r="C945" s="22" t="s">
        <v>300</v>
      </c>
      <c r="D945" s="9" t="s">
        <v>4077</v>
      </c>
      <c r="E945" s="9" t="s">
        <v>49</v>
      </c>
      <c r="F945" s="9" t="s">
        <v>99</v>
      </c>
      <c r="G945" s="22" t="s">
        <v>4098</v>
      </c>
      <c r="H945" s="7"/>
      <c r="I945" s="7"/>
      <c r="J945" s="23" t="s">
        <v>4099</v>
      </c>
      <c r="K945" s="24" t="s">
        <v>4100</v>
      </c>
      <c r="L945" s="22" t="s">
        <v>4101</v>
      </c>
      <c r="M945" s="25"/>
      <c r="N945" s="25"/>
      <c r="O945" s="26"/>
      <c r="P945" s="27"/>
      <c r="Q945" s="28"/>
      <c r="R945" s="28"/>
      <c r="S945" s="26"/>
    </row>
    <row r="946" customFormat="false" ht="15" hidden="false" customHeight="false" outlineLevel="0" collapsed="false">
      <c r="A946" s="7" t="n">
        <v>942</v>
      </c>
      <c r="B946" s="9" t="s">
        <v>39</v>
      </c>
      <c r="C946" s="22" t="s">
        <v>300</v>
      </c>
      <c r="D946" s="9" t="s">
        <v>4077</v>
      </c>
      <c r="E946" s="9" t="s">
        <v>49</v>
      </c>
      <c r="F946" s="9" t="s">
        <v>124</v>
      </c>
      <c r="G946" s="22" t="s">
        <v>4102</v>
      </c>
      <c r="H946" s="7"/>
      <c r="I946" s="7"/>
      <c r="J946" s="23" t="s">
        <v>4103</v>
      </c>
      <c r="K946" s="24" t="s">
        <v>4104</v>
      </c>
      <c r="L946" s="22" t="s">
        <v>4105</v>
      </c>
      <c r="M946" s="25"/>
      <c r="N946" s="25"/>
      <c r="O946" s="26"/>
      <c r="P946" s="27"/>
      <c r="Q946" s="28"/>
      <c r="R946" s="28"/>
      <c r="S946" s="26"/>
    </row>
    <row r="947" customFormat="false" ht="15" hidden="false" customHeight="false" outlineLevel="0" collapsed="false">
      <c r="A947" s="7" t="n">
        <v>943</v>
      </c>
      <c r="B947" s="9" t="s">
        <v>39</v>
      </c>
      <c r="C947" s="22" t="s">
        <v>300</v>
      </c>
      <c r="D947" s="9" t="s">
        <v>4077</v>
      </c>
      <c r="E947" s="9" t="s">
        <v>49</v>
      </c>
      <c r="F947" s="9" t="s">
        <v>99</v>
      </c>
      <c r="G947" s="22" t="s">
        <v>4106</v>
      </c>
      <c r="H947" s="7"/>
      <c r="I947" s="7"/>
      <c r="J947" s="23" t="s">
        <v>4107</v>
      </c>
      <c r="K947" s="24" t="s">
        <v>4108</v>
      </c>
      <c r="L947" s="22" t="s">
        <v>4109</v>
      </c>
      <c r="M947" s="25"/>
      <c r="N947" s="25"/>
      <c r="O947" s="26"/>
      <c r="P947" s="27"/>
      <c r="Q947" s="28"/>
      <c r="R947" s="28"/>
      <c r="S947" s="26"/>
    </row>
    <row r="948" customFormat="false" ht="15" hidden="false" customHeight="false" outlineLevel="0" collapsed="false">
      <c r="A948" s="7" t="n">
        <v>944</v>
      </c>
      <c r="B948" s="9" t="s">
        <v>39</v>
      </c>
      <c r="C948" s="22" t="s">
        <v>300</v>
      </c>
      <c r="D948" s="9" t="s">
        <v>4110</v>
      </c>
      <c r="E948" s="9" t="s">
        <v>49</v>
      </c>
      <c r="F948" s="9" t="s">
        <v>124</v>
      </c>
      <c r="G948" s="22" t="s">
        <v>4111</v>
      </c>
      <c r="H948" s="7"/>
      <c r="I948" s="7"/>
      <c r="J948" s="23" t="s">
        <v>4112</v>
      </c>
      <c r="K948" s="24" t="s">
        <v>4113</v>
      </c>
      <c r="L948" s="22" t="s">
        <v>4114</v>
      </c>
      <c r="M948" s="25"/>
      <c r="N948" s="25"/>
      <c r="O948" s="26"/>
      <c r="P948" s="27"/>
      <c r="Q948" s="28"/>
      <c r="R948" s="28"/>
      <c r="S948" s="26"/>
    </row>
    <row r="949" customFormat="false" ht="15" hidden="false" customHeight="false" outlineLevel="0" collapsed="false">
      <c r="A949" s="7" t="n">
        <v>945</v>
      </c>
      <c r="B949" s="9" t="s">
        <v>39</v>
      </c>
      <c r="C949" s="22" t="s">
        <v>300</v>
      </c>
      <c r="D949" s="9" t="s">
        <v>4110</v>
      </c>
      <c r="E949" s="9" t="s">
        <v>49</v>
      </c>
      <c r="F949" s="9" t="s">
        <v>124</v>
      </c>
      <c r="G949" s="22" t="s">
        <v>4115</v>
      </c>
      <c r="H949" s="7"/>
      <c r="I949" s="7"/>
      <c r="J949" s="23" t="s">
        <v>4116</v>
      </c>
      <c r="K949" s="24" t="s">
        <v>4117</v>
      </c>
      <c r="L949" s="22" t="s">
        <v>4118</v>
      </c>
      <c r="M949" s="25"/>
      <c r="N949" s="25"/>
      <c r="O949" s="26"/>
      <c r="P949" s="27"/>
      <c r="Q949" s="28"/>
      <c r="R949" s="28"/>
      <c r="S949" s="26"/>
    </row>
    <row r="950" customFormat="false" ht="15" hidden="false" customHeight="false" outlineLevel="0" collapsed="false">
      <c r="A950" s="7" t="n">
        <v>946</v>
      </c>
      <c r="B950" s="9" t="s">
        <v>39</v>
      </c>
      <c r="C950" s="22" t="s">
        <v>4119</v>
      </c>
      <c r="D950" s="9" t="s">
        <v>4048</v>
      </c>
      <c r="E950" s="9" t="s">
        <v>47</v>
      </c>
      <c r="F950" s="9" t="s">
        <v>99</v>
      </c>
      <c r="G950" s="22" t="s">
        <v>4120</v>
      </c>
      <c r="H950" s="7"/>
      <c r="I950" s="7"/>
      <c r="J950" s="23" t="s">
        <v>4121</v>
      </c>
      <c r="K950" s="24" t="s">
        <v>4122</v>
      </c>
      <c r="L950" s="22" t="s">
        <v>4123</v>
      </c>
      <c r="M950" s="25"/>
      <c r="N950" s="25"/>
      <c r="O950" s="26"/>
      <c r="P950" s="27"/>
      <c r="Q950" s="28"/>
      <c r="R950" s="28"/>
      <c r="S950" s="26"/>
    </row>
    <row r="951" customFormat="false" ht="15" hidden="false" customHeight="false" outlineLevel="0" collapsed="false">
      <c r="A951" s="7" t="n">
        <v>947</v>
      </c>
      <c r="B951" s="9" t="s">
        <v>39</v>
      </c>
      <c r="C951" s="22" t="s">
        <v>4119</v>
      </c>
      <c r="D951" s="9" t="s">
        <v>4048</v>
      </c>
      <c r="E951" s="9" t="s">
        <v>47</v>
      </c>
      <c r="F951" s="9" t="s">
        <v>99</v>
      </c>
      <c r="G951" s="22" t="s">
        <v>4124</v>
      </c>
      <c r="H951" s="7"/>
      <c r="I951" s="7"/>
      <c r="J951" s="23" t="s">
        <v>4125</v>
      </c>
      <c r="K951" s="24" t="s">
        <v>4126</v>
      </c>
      <c r="L951" s="22" t="s">
        <v>4127</v>
      </c>
      <c r="M951" s="25"/>
      <c r="N951" s="25"/>
      <c r="O951" s="26"/>
      <c r="P951" s="27"/>
      <c r="Q951" s="28"/>
      <c r="R951" s="28"/>
      <c r="S951" s="26"/>
    </row>
    <row r="952" customFormat="false" ht="15" hidden="false" customHeight="false" outlineLevel="0" collapsed="false">
      <c r="A952" s="7" t="n">
        <v>948</v>
      </c>
      <c r="B952" s="9" t="s">
        <v>39</v>
      </c>
      <c r="C952" s="22" t="s">
        <v>4119</v>
      </c>
      <c r="D952" s="9" t="s">
        <v>4048</v>
      </c>
      <c r="E952" s="9" t="s">
        <v>47</v>
      </c>
      <c r="F952" s="9" t="s">
        <v>99</v>
      </c>
      <c r="G952" s="22" t="s">
        <v>4128</v>
      </c>
      <c r="H952" s="7"/>
      <c r="I952" s="7"/>
      <c r="J952" s="23" t="s">
        <v>4129</v>
      </c>
      <c r="K952" s="24" t="s">
        <v>4130</v>
      </c>
      <c r="L952" s="22" t="s">
        <v>4131</v>
      </c>
      <c r="M952" s="25"/>
      <c r="N952" s="25"/>
      <c r="O952" s="26"/>
      <c r="P952" s="27"/>
      <c r="Q952" s="28"/>
      <c r="R952" s="28"/>
      <c r="S952" s="26"/>
    </row>
    <row r="953" customFormat="false" ht="15" hidden="false" customHeight="false" outlineLevel="0" collapsed="false">
      <c r="A953" s="7" t="n">
        <v>949</v>
      </c>
      <c r="B953" s="9" t="s">
        <v>39</v>
      </c>
      <c r="C953" s="22" t="s">
        <v>4132</v>
      </c>
      <c r="D953" s="9" t="s">
        <v>4053</v>
      </c>
      <c r="E953" s="9" t="s">
        <v>47</v>
      </c>
      <c r="F953" s="9" t="s">
        <v>99</v>
      </c>
      <c r="G953" s="22" t="s">
        <v>4133</v>
      </c>
      <c r="H953" s="7"/>
      <c r="I953" s="7"/>
      <c r="J953" s="23" t="s">
        <v>4134</v>
      </c>
      <c r="K953" s="24" t="s">
        <v>4135</v>
      </c>
      <c r="L953" s="22" t="s">
        <v>4136</v>
      </c>
      <c r="M953" s="25"/>
      <c r="N953" s="25"/>
      <c r="O953" s="26"/>
      <c r="P953" s="27"/>
      <c r="Q953" s="28"/>
      <c r="R953" s="28"/>
      <c r="S953" s="26"/>
    </row>
    <row r="954" customFormat="false" ht="15" hidden="false" customHeight="false" outlineLevel="0" collapsed="false">
      <c r="A954" s="7" t="n">
        <v>950</v>
      </c>
      <c r="B954" s="9" t="s">
        <v>39</v>
      </c>
      <c r="C954" s="22" t="s">
        <v>4132</v>
      </c>
      <c r="D954" s="9" t="s">
        <v>4053</v>
      </c>
      <c r="E954" s="9" t="s">
        <v>48</v>
      </c>
      <c r="F954" s="9" t="s">
        <v>99</v>
      </c>
      <c r="G954" s="22" t="s">
        <v>4137</v>
      </c>
      <c r="H954" s="7"/>
      <c r="I954" s="7"/>
      <c r="J954" s="23" t="s">
        <v>4138</v>
      </c>
      <c r="K954" s="24" t="s">
        <v>4139</v>
      </c>
      <c r="L954" s="22" t="s">
        <v>4140</v>
      </c>
      <c r="M954" s="25"/>
      <c r="N954" s="25"/>
      <c r="O954" s="26"/>
      <c r="P954" s="27"/>
      <c r="Q954" s="28"/>
      <c r="R954" s="28"/>
      <c r="S954" s="26"/>
    </row>
    <row r="955" customFormat="false" ht="15" hidden="false" customHeight="false" outlineLevel="0" collapsed="false">
      <c r="A955" s="7" t="n">
        <v>951</v>
      </c>
      <c r="B955" s="9" t="s">
        <v>39</v>
      </c>
      <c r="C955" s="22" t="s">
        <v>4141</v>
      </c>
      <c r="D955" s="9" t="s">
        <v>4058</v>
      </c>
      <c r="E955" s="9" t="s">
        <v>47</v>
      </c>
      <c r="F955" s="9" t="s">
        <v>99</v>
      </c>
      <c r="G955" s="22" t="s">
        <v>4142</v>
      </c>
      <c r="H955" s="7"/>
      <c r="I955" s="7"/>
      <c r="J955" s="23" t="s">
        <v>4143</v>
      </c>
      <c r="K955" s="24" t="s">
        <v>4144</v>
      </c>
      <c r="L955" s="22" t="s">
        <v>4145</v>
      </c>
      <c r="M955" s="25"/>
      <c r="N955" s="25"/>
      <c r="O955" s="26"/>
      <c r="P955" s="27"/>
      <c r="Q955" s="28"/>
      <c r="R955" s="28"/>
      <c r="S955" s="26"/>
    </row>
    <row r="956" customFormat="false" ht="15" hidden="false" customHeight="false" outlineLevel="0" collapsed="false">
      <c r="A956" s="7" t="n">
        <v>952</v>
      </c>
      <c r="B956" s="9" t="s">
        <v>39</v>
      </c>
      <c r="C956" s="22" t="s">
        <v>4146</v>
      </c>
      <c r="D956" s="9" t="s">
        <v>4147</v>
      </c>
      <c r="E956" s="9" t="s">
        <v>47</v>
      </c>
      <c r="F956" s="9" t="s">
        <v>99</v>
      </c>
      <c r="G956" s="22" t="s">
        <v>4148</v>
      </c>
      <c r="H956" s="7"/>
      <c r="I956" s="7"/>
      <c r="J956" s="23" t="s">
        <v>4149</v>
      </c>
      <c r="K956" s="24" t="s">
        <v>4150</v>
      </c>
      <c r="L956" s="22" t="s">
        <v>4151</v>
      </c>
      <c r="M956" s="25"/>
      <c r="N956" s="25"/>
      <c r="O956" s="26"/>
      <c r="P956" s="27"/>
      <c r="Q956" s="28"/>
      <c r="R956" s="28"/>
      <c r="S956" s="26"/>
    </row>
    <row r="957" customFormat="false" ht="15" hidden="false" customHeight="false" outlineLevel="0" collapsed="false">
      <c r="A957" s="7" t="n">
        <v>953</v>
      </c>
      <c r="B957" s="9" t="s">
        <v>39</v>
      </c>
      <c r="C957" s="22" t="s">
        <v>4152</v>
      </c>
      <c r="D957" s="9" t="s">
        <v>4063</v>
      </c>
      <c r="E957" s="9" t="s">
        <v>47</v>
      </c>
      <c r="F957" s="9" t="s">
        <v>99</v>
      </c>
      <c r="G957" s="22" t="s">
        <v>4153</v>
      </c>
      <c r="H957" s="7"/>
      <c r="I957" s="7"/>
      <c r="J957" s="23" t="s">
        <v>4154</v>
      </c>
      <c r="K957" s="24" t="s">
        <v>4155</v>
      </c>
      <c r="L957" s="22" t="s">
        <v>4156</v>
      </c>
      <c r="M957" s="25"/>
      <c r="N957" s="25"/>
      <c r="O957" s="26"/>
      <c r="P957" s="27"/>
      <c r="Q957" s="28"/>
      <c r="R957" s="28"/>
      <c r="S957" s="26"/>
    </row>
    <row r="958" customFormat="false" ht="15" hidden="false" customHeight="false" outlineLevel="0" collapsed="false">
      <c r="A958" s="7" t="n">
        <v>954</v>
      </c>
      <c r="B958" s="9" t="s">
        <v>39</v>
      </c>
      <c r="C958" s="22" t="s">
        <v>4152</v>
      </c>
      <c r="D958" s="9" t="s">
        <v>4063</v>
      </c>
      <c r="E958" s="9" t="s">
        <v>47</v>
      </c>
      <c r="F958" s="9" t="s">
        <v>99</v>
      </c>
      <c r="G958" s="22" t="s">
        <v>4157</v>
      </c>
      <c r="H958" s="7"/>
      <c r="I958" s="7"/>
      <c r="J958" s="23" t="s">
        <v>4158</v>
      </c>
      <c r="K958" s="24" t="s">
        <v>4159</v>
      </c>
      <c r="L958" s="22" t="s">
        <v>4160</v>
      </c>
      <c r="M958" s="25"/>
      <c r="N958" s="25"/>
      <c r="O958" s="26"/>
      <c r="P958" s="27"/>
      <c r="Q958" s="28"/>
      <c r="R958" s="28"/>
      <c r="S958" s="26"/>
    </row>
    <row r="959" customFormat="false" ht="15" hidden="false" customHeight="false" outlineLevel="0" collapsed="false">
      <c r="A959" s="7" t="n">
        <v>955</v>
      </c>
      <c r="B959" s="9" t="s">
        <v>39</v>
      </c>
      <c r="C959" s="22" t="s">
        <v>4152</v>
      </c>
      <c r="D959" s="9" t="s">
        <v>4063</v>
      </c>
      <c r="E959" s="9" t="s">
        <v>47</v>
      </c>
      <c r="F959" s="9" t="s">
        <v>99</v>
      </c>
      <c r="G959" s="22" t="s">
        <v>4161</v>
      </c>
      <c r="H959" s="7"/>
      <c r="I959" s="7"/>
      <c r="J959" s="23" t="s">
        <v>4162</v>
      </c>
      <c r="K959" s="24" t="s">
        <v>4163</v>
      </c>
      <c r="L959" s="22" t="s">
        <v>4164</v>
      </c>
      <c r="M959" s="25"/>
      <c r="N959" s="25"/>
      <c r="O959" s="26"/>
      <c r="P959" s="27"/>
      <c r="Q959" s="28"/>
      <c r="R959" s="28"/>
      <c r="S959" s="26"/>
    </row>
    <row r="960" customFormat="false" ht="15" hidden="false" customHeight="false" outlineLevel="0" collapsed="false">
      <c r="A960" s="7" t="n">
        <v>956</v>
      </c>
      <c r="B960" s="9" t="s">
        <v>39</v>
      </c>
      <c r="C960" s="22" t="s">
        <v>4165</v>
      </c>
      <c r="D960" s="9" t="s">
        <v>4072</v>
      </c>
      <c r="E960" s="9" t="s">
        <v>47</v>
      </c>
      <c r="F960" s="9" t="s">
        <v>99</v>
      </c>
      <c r="G960" s="22" t="s">
        <v>4166</v>
      </c>
      <c r="H960" s="7"/>
      <c r="I960" s="7"/>
      <c r="J960" s="23" t="s">
        <v>4167</v>
      </c>
      <c r="K960" s="24" t="s">
        <v>4168</v>
      </c>
      <c r="L960" s="22" t="s">
        <v>4169</v>
      </c>
      <c r="M960" s="25"/>
      <c r="N960" s="25"/>
      <c r="O960" s="26"/>
      <c r="P960" s="27"/>
      <c r="Q960" s="28"/>
      <c r="R960" s="28"/>
      <c r="S960" s="26"/>
    </row>
    <row r="961" customFormat="false" ht="15" hidden="false" customHeight="false" outlineLevel="0" collapsed="false">
      <c r="A961" s="7" t="n">
        <v>957</v>
      </c>
      <c r="B961" s="9" t="s">
        <v>39</v>
      </c>
      <c r="C961" s="22" t="s">
        <v>4165</v>
      </c>
      <c r="D961" s="9" t="s">
        <v>4072</v>
      </c>
      <c r="E961" s="9" t="s">
        <v>47</v>
      </c>
      <c r="F961" s="9" t="s">
        <v>99</v>
      </c>
      <c r="G961" s="22" t="s">
        <v>4170</v>
      </c>
      <c r="H961" s="7"/>
      <c r="I961" s="7"/>
      <c r="J961" s="23" t="s">
        <v>4171</v>
      </c>
      <c r="K961" s="24" t="s">
        <v>4172</v>
      </c>
      <c r="L961" s="22" t="s">
        <v>4173</v>
      </c>
      <c r="M961" s="25"/>
      <c r="N961" s="25"/>
      <c r="O961" s="26"/>
      <c r="P961" s="27"/>
      <c r="Q961" s="28"/>
      <c r="R961" s="28"/>
      <c r="S961" s="26"/>
    </row>
    <row r="962" customFormat="false" ht="15" hidden="false" customHeight="false" outlineLevel="0" collapsed="false">
      <c r="A962" s="7" t="n">
        <v>958</v>
      </c>
      <c r="B962" s="9" t="s">
        <v>39</v>
      </c>
      <c r="C962" s="22" t="s">
        <v>4165</v>
      </c>
      <c r="D962" s="9" t="s">
        <v>4072</v>
      </c>
      <c r="E962" s="9" t="s">
        <v>48</v>
      </c>
      <c r="F962" s="9" t="s">
        <v>99</v>
      </c>
      <c r="G962" s="22" t="s">
        <v>4174</v>
      </c>
      <c r="H962" s="7"/>
      <c r="I962" s="7"/>
      <c r="J962" s="23" t="s">
        <v>4175</v>
      </c>
      <c r="K962" s="24" t="s">
        <v>4176</v>
      </c>
      <c r="L962" s="22" t="s">
        <v>4177</v>
      </c>
      <c r="M962" s="25"/>
      <c r="N962" s="25"/>
      <c r="O962" s="26"/>
      <c r="P962" s="27"/>
      <c r="Q962" s="28"/>
      <c r="R962" s="28"/>
      <c r="S962" s="26"/>
    </row>
    <row r="963" customFormat="false" ht="15" hidden="false" customHeight="false" outlineLevel="0" collapsed="false">
      <c r="A963" s="7" t="n">
        <v>959</v>
      </c>
      <c r="B963" s="9" t="s">
        <v>39</v>
      </c>
      <c r="C963" s="22" t="s">
        <v>4178</v>
      </c>
      <c r="D963" s="9" t="s">
        <v>4179</v>
      </c>
      <c r="E963" s="9" t="s">
        <v>47</v>
      </c>
      <c r="F963" s="9" t="s">
        <v>99</v>
      </c>
      <c r="G963" s="22" t="s">
        <v>4180</v>
      </c>
      <c r="H963" s="7"/>
      <c r="I963" s="7"/>
      <c r="J963" s="23" t="s">
        <v>4181</v>
      </c>
      <c r="K963" s="24" t="s">
        <v>4182</v>
      </c>
      <c r="L963" s="22" t="s">
        <v>4183</v>
      </c>
      <c r="M963" s="25"/>
      <c r="N963" s="25"/>
      <c r="O963" s="26"/>
      <c r="P963" s="27"/>
      <c r="Q963" s="28"/>
      <c r="R963" s="28"/>
      <c r="S963" s="26"/>
    </row>
    <row r="964" customFormat="false" ht="15" hidden="false" customHeight="false" outlineLevel="0" collapsed="false">
      <c r="A964" s="7" t="n">
        <v>960</v>
      </c>
      <c r="B964" s="9" t="s">
        <v>39</v>
      </c>
      <c r="C964" s="22" t="s">
        <v>4178</v>
      </c>
      <c r="D964" s="9" t="s">
        <v>4179</v>
      </c>
      <c r="E964" s="9" t="s">
        <v>47</v>
      </c>
      <c r="F964" s="9" t="s">
        <v>99</v>
      </c>
      <c r="G964" s="22" t="s">
        <v>4184</v>
      </c>
      <c r="H964" s="7"/>
      <c r="I964" s="7"/>
      <c r="J964" s="23" t="s">
        <v>4185</v>
      </c>
      <c r="K964" s="24" t="s">
        <v>4186</v>
      </c>
      <c r="L964" s="22" t="s">
        <v>4187</v>
      </c>
      <c r="M964" s="25"/>
      <c r="N964" s="25"/>
      <c r="O964" s="26"/>
      <c r="P964" s="27"/>
      <c r="Q964" s="28"/>
      <c r="R964" s="28"/>
      <c r="S964" s="26"/>
    </row>
    <row r="965" customFormat="false" ht="15" hidden="false" customHeight="false" outlineLevel="0" collapsed="false">
      <c r="A965" s="7" t="n">
        <v>961</v>
      </c>
      <c r="B965" s="9" t="s">
        <v>39</v>
      </c>
      <c r="C965" s="22" t="s">
        <v>4188</v>
      </c>
      <c r="D965" s="9" t="s">
        <v>4077</v>
      </c>
      <c r="E965" s="9" t="s">
        <v>47</v>
      </c>
      <c r="F965" s="9" t="s">
        <v>99</v>
      </c>
      <c r="G965" s="22" t="s">
        <v>4189</v>
      </c>
      <c r="H965" s="7"/>
      <c r="I965" s="7"/>
      <c r="J965" s="23" t="s">
        <v>4190</v>
      </c>
      <c r="K965" s="24" t="s">
        <v>4191</v>
      </c>
      <c r="L965" s="22" t="s">
        <v>4192</v>
      </c>
      <c r="M965" s="25"/>
      <c r="N965" s="25"/>
      <c r="O965" s="26"/>
      <c r="P965" s="27"/>
      <c r="Q965" s="28"/>
      <c r="R965" s="28"/>
      <c r="S965" s="26"/>
    </row>
    <row r="966" customFormat="false" ht="15" hidden="false" customHeight="false" outlineLevel="0" collapsed="false">
      <c r="A966" s="7" t="n">
        <v>962</v>
      </c>
      <c r="B966" s="9" t="s">
        <v>39</v>
      </c>
      <c r="C966" s="22" t="s">
        <v>4188</v>
      </c>
      <c r="D966" s="9" t="s">
        <v>4077</v>
      </c>
      <c r="E966" s="9" t="s">
        <v>47</v>
      </c>
      <c r="F966" s="9" t="s">
        <v>99</v>
      </c>
      <c r="G966" s="22" t="s">
        <v>4193</v>
      </c>
      <c r="H966" s="7"/>
      <c r="I966" s="7"/>
      <c r="J966" s="23" t="s">
        <v>4194</v>
      </c>
      <c r="K966" s="24" t="s">
        <v>4195</v>
      </c>
      <c r="L966" s="22" t="s">
        <v>4196</v>
      </c>
      <c r="M966" s="25"/>
      <c r="N966" s="25"/>
      <c r="O966" s="26"/>
      <c r="P966" s="27"/>
      <c r="Q966" s="28"/>
      <c r="R966" s="28"/>
      <c r="S966" s="26"/>
    </row>
    <row r="967" customFormat="false" ht="15" hidden="false" customHeight="false" outlineLevel="0" collapsed="false">
      <c r="A967" s="7" t="n">
        <v>963</v>
      </c>
      <c r="B967" s="9" t="s">
        <v>39</v>
      </c>
      <c r="C967" s="22" t="s">
        <v>4188</v>
      </c>
      <c r="D967" s="9" t="s">
        <v>4077</v>
      </c>
      <c r="E967" s="9" t="s">
        <v>47</v>
      </c>
      <c r="F967" s="9" t="s">
        <v>99</v>
      </c>
      <c r="G967" s="22" t="s">
        <v>4197</v>
      </c>
      <c r="H967" s="7"/>
      <c r="I967" s="7"/>
      <c r="J967" s="23" t="s">
        <v>4198</v>
      </c>
      <c r="K967" s="24" t="s">
        <v>4199</v>
      </c>
      <c r="L967" s="22" t="s">
        <v>4200</v>
      </c>
      <c r="M967" s="25"/>
      <c r="N967" s="25"/>
      <c r="O967" s="26"/>
      <c r="P967" s="27"/>
      <c r="Q967" s="28"/>
      <c r="R967" s="28"/>
      <c r="S967" s="26"/>
    </row>
    <row r="968" customFormat="false" ht="15" hidden="false" customHeight="false" outlineLevel="0" collapsed="false">
      <c r="A968" s="7" t="n">
        <v>964</v>
      </c>
      <c r="B968" s="9" t="s">
        <v>39</v>
      </c>
      <c r="C968" s="22" t="s">
        <v>4188</v>
      </c>
      <c r="D968" s="9" t="s">
        <v>4077</v>
      </c>
      <c r="E968" s="9" t="s">
        <v>47</v>
      </c>
      <c r="F968" s="9" t="s">
        <v>99</v>
      </c>
      <c r="G968" s="22" t="s">
        <v>4201</v>
      </c>
      <c r="H968" s="7"/>
      <c r="I968" s="7"/>
      <c r="J968" s="23" t="s">
        <v>4202</v>
      </c>
      <c r="K968" s="24" t="s">
        <v>4203</v>
      </c>
      <c r="L968" s="22" t="s">
        <v>4204</v>
      </c>
      <c r="M968" s="25"/>
      <c r="N968" s="25"/>
      <c r="O968" s="26"/>
      <c r="P968" s="27"/>
      <c r="Q968" s="28"/>
      <c r="R968" s="28"/>
      <c r="S968" s="26"/>
    </row>
    <row r="969" customFormat="false" ht="15" hidden="false" customHeight="false" outlineLevel="0" collapsed="false">
      <c r="A969" s="7" t="n">
        <v>965</v>
      </c>
      <c r="B969" s="9" t="s">
        <v>39</v>
      </c>
      <c r="C969" s="22" t="s">
        <v>4188</v>
      </c>
      <c r="D969" s="9" t="s">
        <v>4077</v>
      </c>
      <c r="E969" s="9" t="s">
        <v>47</v>
      </c>
      <c r="F969" s="9" t="s">
        <v>99</v>
      </c>
      <c r="G969" s="22" t="s">
        <v>4205</v>
      </c>
      <c r="H969" s="7"/>
      <c r="I969" s="7"/>
      <c r="J969" s="23" t="s">
        <v>4206</v>
      </c>
      <c r="K969" s="24" t="s">
        <v>4207</v>
      </c>
      <c r="L969" s="22" t="s">
        <v>4208</v>
      </c>
      <c r="M969" s="25"/>
      <c r="N969" s="25"/>
      <c r="O969" s="26"/>
      <c r="P969" s="27"/>
      <c r="Q969" s="28"/>
      <c r="R969" s="28"/>
      <c r="S969" s="26"/>
    </row>
    <row r="970" customFormat="false" ht="15" hidden="false" customHeight="false" outlineLevel="0" collapsed="false">
      <c r="A970" s="7" t="n">
        <v>966</v>
      </c>
      <c r="B970" s="9" t="s">
        <v>39</v>
      </c>
      <c r="C970" s="22" t="s">
        <v>4188</v>
      </c>
      <c r="D970" s="9" t="s">
        <v>4077</v>
      </c>
      <c r="E970" s="9" t="s">
        <v>47</v>
      </c>
      <c r="F970" s="9" t="s">
        <v>99</v>
      </c>
      <c r="G970" s="22" t="s">
        <v>4209</v>
      </c>
      <c r="H970" s="7"/>
      <c r="I970" s="7"/>
      <c r="J970" s="23" t="s">
        <v>4210</v>
      </c>
      <c r="K970" s="24" t="s">
        <v>4211</v>
      </c>
      <c r="L970" s="22" t="s">
        <v>4212</v>
      </c>
      <c r="M970" s="25"/>
      <c r="N970" s="25"/>
      <c r="O970" s="26"/>
      <c r="P970" s="27"/>
      <c r="Q970" s="28"/>
      <c r="R970" s="28"/>
      <c r="S970" s="26"/>
    </row>
    <row r="971" customFormat="false" ht="15" hidden="false" customHeight="false" outlineLevel="0" collapsed="false">
      <c r="A971" s="7" t="n">
        <v>967</v>
      </c>
      <c r="B971" s="9" t="s">
        <v>39</v>
      </c>
      <c r="C971" s="22" t="s">
        <v>4188</v>
      </c>
      <c r="D971" s="9" t="s">
        <v>4077</v>
      </c>
      <c r="E971" s="9" t="s">
        <v>47</v>
      </c>
      <c r="F971" s="9" t="s">
        <v>99</v>
      </c>
      <c r="G971" s="22" t="s">
        <v>4213</v>
      </c>
      <c r="H971" s="7"/>
      <c r="I971" s="7"/>
      <c r="J971" s="23" t="s">
        <v>4214</v>
      </c>
      <c r="K971" s="24" t="s">
        <v>4215</v>
      </c>
      <c r="L971" s="22" t="s">
        <v>4216</v>
      </c>
      <c r="M971" s="25"/>
      <c r="N971" s="25"/>
      <c r="O971" s="26"/>
      <c r="P971" s="27"/>
      <c r="Q971" s="28"/>
      <c r="R971" s="28"/>
      <c r="S971" s="26"/>
    </row>
    <row r="972" customFormat="false" ht="15" hidden="false" customHeight="false" outlineLevel="0" collapsed="false">
      <c r="A972" s="7" t="n">
        <v>968</v>
      </c>
      <c r="B972" s="9" t="s">
        <v>39</v>
      </c>
      <c r="C972" s="22" t="s">
        <v>4188</v>
      </c>
      <c r="D972" s="9" t="s">
        <v>4077</v>
      </c>
      <c r="E972" s="9" t="s">
        <v>47</v>
      </c>
      <c r="F972" s="9" t="s">
        <v>99</v>
      </c>
      <c r="G972" s="22" t="s">
        <v>4217</v>
      </c>
      <c r="H972" s="7"/>
      <c r="I972" s="7"/>
      <c r="J972" s="23" t="s">
        <v>4218</v>
      </c>
      <c r="K972" s="24" t="s">
        <v>4219</v>
      </c>
      <c r="L972" s="22" t="s">
        <v>4220</v>
      </c>
      <c r="M972" s="25"/>
      <c r="N972" s="25"/>
      <c r="O972" s="26"/>
      <c r="P972" s="27"/>
      <c r="Q972" s="28"/>
      <c r="R972" s="28"/>
      <c r="S972" s="26"/>
    </row>
    <row r="973" customFormat="false" ht="15" hidden="false" customHeight="false" outlineLevel="0" collapsed="false">
      <c r="A973" s="7" t="n">
        <v>969</v>
      </c>
      <c r="B973" s="9" t="s">
        <v>39</v>
      </c>
      <c r="C973" s="22" t="s">
        <v>4188</v>
      </c>
      <c r="D973" s="9" t="s">
        <v>4077</v>
      </c>
      <c r="E973" s="9" t="s">
        <v>48</v>
      </c>
      <c r="F973" s="9" t="s">
        <v>99</v>
      </c>
      <c r="G973" s="22" t="s">
        <v>4221</v>
      </c>
      <c r="H973" s="7"/>
      <c r="I973" s="7"/>
      <c r="J973" s="23" t="s">
        <v>4222</v>
      </c>
      <c r="K973" s="24" t="s">
        <v>4223</v>
      </c>
      <c r="L973" s="22" t="s">
        <v>4224</v>
      </c>
      <c r="M973" s="25"/>
      <c r="N973" s="25"/>
      <c r="O973" s="26"/>
      <c r="P973" s="27"/>
      <c r="Q973" s="28"/>
      <c r="R973" s="28"/>
      <c r="S973" s="26"/>
    </row>
    <row r="974" customFormat="false" ht="15" hidden="false" customHeight="false" outlineLevel="0" collapsed="false">
      <c r="A974" s="7" t="n">
        <v>970</v>
      </c>
      <c r="B974" s="9" t="s">
        <v>39</v>
      </c>
      <c r="C974" s="22" t="s">
        <v>4188</v>
      </c>
      <c r="D974" s="9" t="s">
        <v>4077</v>
      </c>
      <c r="E974" s="9" t="s">
        <v>48</v>
      </c>
      <c r="F974" s="9" t="s">
        <v>124</v>
      </c>
      <c r="G974" s="22" t="s">
        <v>4225</v>
      </c>
      <c r="H974" s="7"/>
      <c r="I974" s="7"/>
      <c r="J974" s="23" t="s">
        <v>4226</v>
      </c>
      <c r="K974" s="24" t="s">
        <v>4227</v>
      </c>
      <c r="L974" s="22" t="s">
        <v>4228</v>
      </c>
      <c r="M974" s="25"/>
      <c r="N974" s="25"/>
      <c r="O974" s="26"/>
      <c r="P974" s="27"/>
      <c r="Q974" s="28"/>
      <c r="R974" s="28"/>
      <c r="S974" s="26"/>
    </row>
    <row r="975" customFormat="false" ht="15" hidden="false" customHeight="false" outlineLevel="0" collapsed="false">
      <c r="A975" s="7" t="n">
        <v>971</v>
      </c>
      <c r="B975" s="9" t="s">
        <v>39</v>
      </c>
      <c r="C975" s="22" t="s">
        <v>4229</v>
      </c>
      <c r="D975" s="9" t="s">
        <v>4230</v>
      </c>
      <c r="E975" s="9" t="s">
        <v>47</v>
      </c>
      <c r="F975" s="9" t="s">
        <v>99</v>
      </c>
      <c r="G975" s="22" t="s">
        <v>1944</v>
      </c>
      <c r="H975" s="7"/>
      <c r="I975" s="7"/>
      <c r="J975" s="23" t="s">
        <v>4231</v>
      </c>
      <c r="K975" s="24" t="s">
        <v>4232</v>
      </c>
      <c r="L975" s="22" t="s">
        <v>4233</v>
      </c>
      <c r="M975" s="25"/>
      <c r="N975" s="25"/>
      <c r="O975" s="26"/>
      <c r="P975" s="27"/>
      <c r="Q975" s="28"/>
      <c r="R975" s="28"/>
      <c r="S975" s="26"/>
    </row>
    <row r="976" customFormat="false" ht="15" hidden="false" customHeight="false" outlineLevel="0" collapsed="false">
      <c r="A976" s="7" t="n">
        <v>972</v>
      </c>
      <c r="B976" s="9" t="s">
        <v>39</v>
      </c>
      <c r="C976" s="22" t="s">
        <v>4229</v>
      </c>
      <c r="D976" s="9" t="s">
        <v>4230</v>
      </c>
      <c r="E976" s="9" t="s">
        <v>47</v>
      </c>
      <c r="F976" s="9" t="s">
        <v>99</v>
      </c>
      <c r="G976" s="22" t="s">
        <v>4234</v>
      </c>
      <c r="H976" s="7"/>
      <c r="I976" s="7"/>
      <c r="J976" s="23" t="s">
        <v>4235</v>
      </c>
      <c r="K976" s="24" t="s">
        <v>4236</v>
      </c>
      <c r="L976" s="22" t="s">
        <v>4237</v>
      </c>
      <c r="M976" s="25"/>
      <c r="N976" s="25"/>
      <c r="O976" s="26"/>
      <c r="P976" s="27"/>
      <c r="Q976" s="28"/>
      <c r="R976" s="28"/>
      <c r="S976" s="26"/>
    </row>
    <row r="977" customFormat="false" ht="15" hidden="false" customHeight="false" outlineLevel="0" collapsed="false">
      <c r="A977" s="7" t="n">
        <v>973</v>
      </c>
      <c r="B977" s="9" t="s">
        <v>39</v>
      </c>
      <c r="C977" s="22" t="s">
        <v>4229</v>
      </c>
      <c r="D977" s="9" t="s">
        <v>4230</v>
      </c>
      <c r="E977" s="9" t="s">
        <v>47</v>
      </c>
      <c r="F977" s="9" t="s">
        <v>99</v>
      </c>
      <c r="G977" s="22" t="s">
        <v>4238</v>
      </c>
      <c r="H977" s="7"/>
      <c r="I977" s="7"/>
      <c r="J977" s="23" t="s">
        <v>4239</v>
      </c>
      <c r="K977" s="24" t="s">
        <v>4240</v>
      </c>
      <c r="L977" s="22" t="s">
        <v>4241</v>
      </c>
      <c r="M977" s="25"/>
      <c r="N977" s="25"/>
      <c r="O977" s="26"/>
      <c r="P977" s="27"/>
      <c r="Q977" s="28"/>
      <c r="R977" s="28"/>
      <c r="S977" s="26"/>
    </row>
    <row r="978" customFormat="false" ht="15" hidden="false" customHeight="false" outlineLevel="0" collapsed="false">
      <c r="A978" s="7" t="n">
        <v>974</v>
      </c>
      <c r="B978" s="9" t="s">
        <v>39</v>
      </c>
      <c r="C978" s="22" t="s">
        <v>4242</v>
      </c>
      <c r="D978" s="9" t="s">
        <v>4110</v>
      </c>
      <c r="E978" s="9" t="s">
        <v>47</v>
      </c>
      <c r="F978" s="9" t="s">
        <v>99</v>
      </c>
      <c r="G978" s="22" t="s">
        <v>4243</v>
      </c>
      <c r="H978" s="7"/>
      <c r="I978" s="7"/>
      <c r="J978" s="23" t="s">
        <v>4244</v>
      </c>
      <c r="K978" s="24" t="s">
        <v>4245</v>
      </c>
      <c r="L978" s="22" t="s">
        <v>4246</v>
      </c>
      <c r="M978" s="25"/>
      <c r="N978" s="25"/>
      <c r="O978" s="26"/>
      <c r="P978" s="27"/>
      <c r="Q978" s="28"/>
      <c r="R978" s="28"/>
      <c r="S978" s="26"/>
    </row>
    <row r="979" customFormat="false" ht="15" hidden="false" customHeight="false" outlineLevel="0" collapsed="false">
      <c r="A979" s="7" t="n">
        <v>975</v>
      </c>
      <c r="B979" s="9" t="s">
        <v>41</v>
      </c>
      <c r="C979" s="22" t="s">
        <v>300</v>
      </c>
      <c r="D979" s="9" t="s">
        <v>4247</v>
      </c>
      <c r="E979" s="9" t="s">
        <v>49</v>
      </c>
      <c r="F979" s="9" t="s">
        <v>99</v>
      </c>
      <c r="G979" s="22" t="s">
        <v>4248</v>
      </c>
      <c r="H979" s="9" t="s">
        <v>56</v>
      </c>
      <c r="I979" s="7"/>
      <c r="J979" s="23" t="s">
        <v>4249</v>
      </c>
      <c r="K979" s="24" t="s">
        <v>4250</v>
      </c>
      <c r="L979" s="22" t="s">
        <v>4251</v>
      </c>
      <c r="M979" s="25"/>
      <c r="N979" s="25"/>
      <c r="O979" s="26"/>
      <c r="P979" s="27"/>
      <c r="Q979" s="28"/>
      <c r="R979" s="28"/>
      <c r="S979" s="26"/>
    </row>
    <row r="980" customFormat="false" ht="15" hidden="false" customHeight="false" outlineLevel="0" collapsed="false">
      <c r="A980" s="7" t="n">
        <v>976</v>
      </c>
      <c r="B980" s="9" t="s">
        <v>41</v>
      </c>
      <c r="C980" s="22" t="s">
        <v>300</v>
      </c>
      <c r="D980" s="9" t="s">
        <v>4247</v>
      </c>
      <c r="E980" s="9" t="s">
        <v>49</v>
      </c>
      <c r="F980" s="9" t="s">
        <v>99</v>
      </c>
      <c r="G980" s="22" t="s">
        <v>4252</v>
      </c>
      <c r="H980" s="9" t="s">
        <v>57</v>
      </c>
      <c r="I980" s="7"/>
      <c r="J980" s="23" t="s">
        <v>4253</v>
      </c>
      <c r="K980" s="24" t="s">
        <v>4254</v>
      </c>
      <c r="L980" s="22" t="s">
        <v>4255</v>
      </c>
      <c r="M980" s="25"/>
      <c r="N980" s="25"/>
      <c r="O980" s="26"/>
      <c r="P980" s="27"/>
      <c r="Q980" s="28"/>
      <c r="R980" s="28"/>
      <c r="S980" s="26"/>
    </row>
    <row r="981" customFormat="false" ht="15" hidden="false" customHeight="false" outlineLevel="0" collapsed="false">
      <c r="A981" s="7" t="n">
        <v>977</v>
      </c>
      <c r="B981" s="9" t="s">
        <v>41</v>
      </c>
      <c r="C981" s="22" t="s">
        <v>300</v>
      </c>
      <c r="D981" s="9" t="s">
        <v>4256</v>
      </c>
      <c r="E981" s="9" t="s">
        <v>49</v>
      </c>
      <c r="F981" s="9" t="s">
        <v>124</v>
      </c>
      <c r="G981" s="22" t="s">
        <v>4257</v>
      </c>
      <c r="H981" s="9" t="s">
        <v>57</v>
      </c>
      <c r="I981" s="7"/>
      <c r="J981" s="23" t="s">
        <v>4258</v>
      </c>
      <c r="K981" s="24" t="s">
        <v>4259</v>
      </c>
      <c r="L981" s="22" t="s">
        <v>4260</v>
      </c>
      <c r="M981" s="25"/>
      <c r="N981" s="25"/>
      <c r="O981" s="26"/>
      <c r="P981" s="27"/>
      <c r="Q981" s="28"/>
      <c r="R981" s="28"/>
      <c r="S981" s="26"/>
    </row>
    <row r="982" customFormat="false" ht="15" hidden="false" customHeight="false" outlineLevel="0" collapsed="false">
      <c r="A982" s="7" t="n">
        <v>978</v>
      </c>
      <c r="B982" s="9" t="s">
        <v>41</v>
      </c>
      <c r="C982" s="22" t="s">
        <v>300</v>
      </c>
      <c r="D982" s="9" t="s">
        <v>4256</v>
      </c>
      <c r="E982" s="9" t="s">
        <v>49</v>
      </c>
      <c r="F982" s="9" t="s">
        <v>124</v>
      </c>
      <c r="G982" s="22" t="s">
        <v>4261</v>
      </c>
      <c r="H982" s="9" t="s">
        <v>56</v>
      </c>
      <c r="I982" s="7"/>
      <c r="J982" s="23" t="s">
        <v>4262</v>
      </c>
      <c r="K982" s="24" t="s">
        <v>4263</v>
      </c>
      <c r="L982" s="22" t="s">
        <v>4264</v>
      </c>
      <c r="M982" s="25"/>
      <c r="N982" s="25"/>
      <c r="O982" s="26"/>
      <c r="P982" s="27"/>
      <c r="Q982" s="28"/>
      <c r="R982" s="28"/>
      <c r="S982" s="26"/>
    </row>
    <row r="983" customFormat="false" ht="15" hidden="false" customHeight="false" outlineLevel="0" collapsed="false">
      <c r="A983" s="7" t="n">
        <v>979</v>
      </c>
      <c r="B983" s="9" t="s">
        <v>41</v>
      </c>
      <c r="C983" s="22" t="s">
        <v>300</v>
      </c>
      <c r="D983" s="9" t="s">
        <v>4256</v>
      </c>
      <c r="E983" s="9" t="s">
        <v>49</v>
      </c>
      <c r="F983" s="9" t="s">
        <v>124</v>
      </c>
      <c r="G983" s="22" t="s">
        <v>4265</v>
      </c>
      <c r="H983" s="9" t="s">
        <v>57</v>
      </c>
      <c r="I983" s="7"/>
      <c r="J983" s="23" t="s">
        <v>4266</v>
      </c>
      <c r="K983" s="24" t="s">
        <v>4267</v>
      </c>
      <c r="L983" s="22" t="s">
        <v>4268</v>
      </c>
      <c r="M983" s="25"/>
      <c r="N983" s="25"/>
      <c r="O983" s="26"/>
      <c r="P983" s="27"/>
      <c r="Q983" s="28"/>
      <c r="R983" s="28"/>
      <c r="S983" s="26"/>
    </row>
    <row r="984" customFormat="false" ht="15" hidden="false" customHeight="false" outlineLevel="0" collapsed="false">
      <c r="A984" s="7" t="n">
        <v>980</v>
      </c>
      <c r="B984" s="9" t="s">
        <v>41</v>
      </c>
      <c r="C984" s="22" t="s">
        <v>300</v>
      </c>
      <c r="D984" s="9" t="s">
        <v>4256</v>
      </c>
      <c r="E984" s="9" t="s">
        <v>49</v>
      </c>
      <c r="F984" s="9" t="s">
        <v>99</v>
      </c>
      <c r="G984" s="22" t="s">
        <v>4269</v>
      </c>
      <c r="H984" s="9" t="s">
        <v>57</v>
      </c>
      <c r="I984" s="7"/>
      <c r="J984" s="23" t="s">
        <v>4270</v>
      </c>
      <c r="K984" s="24" t="s">
        <v>4271</v>
      </c>
      <c r="L984" s="22" t="s">
        <v>4272</v>
      </c>
      <c r="M984" s="25"/>
      <c r="N984" s="25"/>
      <c r="O984" s="26"/>
      <c r="P984" s="27"/>
      <c r="Q984" s="28"/>
      <c r="R984" s="28"/>
      <c r="S984" s="26"/>
    </row>
    <row r="985" customFormat="false" ht="15" hidden="false" customHeight="false" outlineLevel="0" collapsed="false">
      <c r="A985" s="7" t="n">
        <v>981</v>
      </c>
      <c r="B985" s="9" t="s">
        <v>41</v>
      </c>
      <c r="C985" s="22" t="s">
        <v>300</v>
      </c>
      <c r="D985" s="9" t="s">
        <v>4256</v>
      </c>
      <c r="E985" s="9" t="s">
        <v>49</v>
      </c>
      <c r="F985" s="9" t="s">
        <v>99</v>
      </c>
      <c r="G985" s="22" t="s">
        <v>4273</v>
      </c>
      <c r="H985" s="9" t="s">
        <v>55</v>
      </c>
      <c r="I985" s="7"/>
      <c r="J985" s="23" t="s">
        <v>4274</v>
      </c>
      <c r="K985" s="24" t="s">
        <v>4275</v>
      </c>
      <c r="L985" s="22" t="s">
        <v>4276</v>
      </c>
      <c r="M985" s="25"/>
      <c r="N985" s="25"/>
      <c r="O985" s="26"/>
      <c r="P985" s="27"/>
      <c r="Q985" s="28"/>
      <c r="R985" s="28"/>
      <c r="S985" s="26"/>
    </row>
    <row r="986" customFormat="false" ht="15" hidden="false" customHeight="false" outlineLevel="0" collapsed="false">
      <c r="A986" s="7" t="n">
        <v>982</v>
      </c>
      <c r="B986" s="9" t="s">
        <v>41</v>
      </c>
      <c r="C986" s="22" t="s">
        <v>300</v>
      </c>
      <c r="D986" s="9" t="s">
        <v>4256</v>
      </c>
      <c r="E986" s="9" t="s">
        <v>49</v>
      </c>
      <c r="F986" s="9" t="s">
        <v>99</v>
      </c>
      <c r="G986" s="22" t="s">
        <v>4277</v>
      </c>
      <c r="H986" s="9" t="s">
        <v>56</v>
      </c>
      <c r="I986" s="7"/>
      <c r="J986" s="23" t="s">
        <v>4278</v>
      </c>
      <c r="K986" s="24" t="s">
        <v>4279</v>
      </c>
      <c r="L986" s="22" t="s">
        <v>4280</v>
      </c>
      <c r="M986" s="25"/>
      <c r="N986" s="25"/>
      <c r="O986" s="26"/>
      <c r="P986" s="27"/>
      <c r="Q986" s="28"/>
      <c r="R986" s="28"/>
      <c r="S986" s="26"/>
    </row>
    <row r="987" customFormat="false" ht="15" hidden="false" customHeight="false" outlineLevel="0" collapsed="false">
      <c r="A987" s="7" t="n">
        <v>983</v>
      </c>
      <c r="B987" s="9" t="s">
        <v>41</v>
      </c>
      <c r="C987" s="22" t="s">
        <v>4281</v>
      </c>
      <c r="D987" s="9" t="s">
        <v>4247</v>
      </c>
      <c r="E987" s="9" t="s">
        <v>47</v>
      </c>
      <c r="F987" s="9" t="s">
        <v>99</v>
      </c>
      <c r="G987" s="22" t="s">
        <v>4282</v>
      </c>
      <c r="H987" s="9" t="s">
        <v>57</v>
      </c>
      <c r="I987" s="7"/>
      <c r="J987" s="23" t="s">
        <v>4283</v>
      </c>
      <c r="K987" s="24" t="s">
        <v>4284</v>
      </c>
      <c r="L987" s="22" t="s">
        <v>4285</v>
      </c>
      <c r="M987" s="25"/>
      <c r="N987" s="25"/>
      <c r="O987" s="26"/>
      <c r="P987" s="27"/>
      <c r="Q987" s="28"/>
      <c r="R987" s="28"/>
      <c r="S987" s="26"/>
    </row>
    <row r="988" customFormat="false" ht="15" hidden="false" customHeight="false" outlineLevel="0" collapsed="false">
      <c r="A988" s="7" t="n">
        <v>984</v>
      </c>
      <c r="B988" s="9" t="s">
        <v>41</v>
      </c>
      <c r="C988" s="22" t="s">
        <v>4286</v>
      </c>
      <c r="D988" s="9" t="s">
        <v>4256</v>
      </c>
      <c r="E988" s="9" t="s">
        <v>47</v>
      </c>
      <c r="F988" s="9" t="s">
        <v>99</v>
      </c>
      <c r="G988" s="22" t="s">
        <v>4287</v>
      </c>
      <c r="H988" s="9" t="s">
        <v>57</v>
      </c>
      <c r="I988" s="7"/>
      <c r="J988" s="23" t="s">
        <v>4288</v>
      </c>
      <c r="K988" s="24" t="s">
        <v>4289</v>
      </c>
      <c r="L988" s="22" t="s">
        <v>4290</v>
      </c>
      <c r="M988" s="25"/>
      <c r="N988" s="25"/>
      <c r="O988" s="26"/>
      <c r="P988" s="27"/>
      <c r="Q988" s="28"/>
      <c r="R988" s="28"/>
      <c r="S988" s="26"/>
    </row>
    <row r="989" customFormat="false" ht="15" hidden="false" customHeight="false" outlineLevel="0" collapsed="false">
      <c r="A989" s="7" t="n">
        <v>985</v>
      </c>
      <c r="B989" s="9" t="s">
        <v>41</v>
      </c>
      <c r="C989" s="22" t="s">
        <v>4286</v>
      </c>
      <c r="D989" s="9" t="s">
        <v>4256</v>
      </c>
      <c r="E989" s="9" t="s">
        <v>47</v>
      </c>
      <c r="F989" s="9" t="s">
        <v>99</v>
      </c>
      <c r="G989" s="22" t="s">
        <v>4291</v>
      </c>
      <c r="H989" s="9" t="s">
        <v>57</v>
      </c>
      <c r="I989" s="7"/>
      <c r="J989" s="23" t="s">
        <v>4292</v>
      </c>
      <c r="K989" s="24" t="s">
        <v>4293</v>
      </c>
      <c r="L989" s="22" t="s">
        <v>4294</v>
      </c>
      <c r="M989" s="25"/>
      <c r="N989" s="25"/>
      <c r="O989" s="26"/>
      <c r="P989" s="27"/>
      <c r="Q989" s="28"/>
      <c r="R989" s="28"/>
      <c r="S989" s="26"/>
    </row>
  </sheetData>
  <autoFilter ref="A4:S989"/>
  <dataValidations count="3">
    <dataValidation allowBlank="true" errorStyle="stop" operator="between" showDropDown="false" showErrorMessage="false" showInputMessage="false" sqref="Q5:Q989" type="list">
      <formula1>"미접촉,접촉,제안,협의중,계약,보류"</formula1>
      <formula2>0</formula2>
    </dataValidation>
    <dataValidation allowBlank="true" errorStyle="stop" operator="between" showDropDown="false" showErrorMessage="false" showInputMessage="false" sqref="R5:R989" type="list">
      <formula1>"가입,미가입,확인필요"</formula1>
      <formula2>0</formula2>
    </dataValidation>
    <dataValidation allowBlank="true" errorStyle="stop" operator="between" showDropDown="false" showErrorMessage="false" showInputMessage="false" sqref="P5:P989" type="date">
      <formula1>0</formula1>
      <formula2>0</formula2>
    </dataValidation>
  </dataValidations>
  <hyperlinks>
    <hyperlink ref="K5" r:id="rId1" display="http://gaewon.sen.es.kr"/>
    <hyperlink ref="K6" r:id="rId2" display="http://gaeil.sen.es.kr"/>
    <hyperlink ref="K7" r:id="rId3" display="http://kuryong.sen.es.kr"/>
    <hyperlink ref="K8" r:id="rId4" display="http://srng.sen.es.kr"/>
    <hyperlink ref="K9" r:id="rId5" display="http://gaepo.sen.ms.kr"/>
    <hyperlink ref="K10" r:id="rId6" display="http://cheongdam.sen.ms.kr"/>
    <hyperlink ref="K11" r:id="rId7" display="http://whimoon.sen.ms.kr"/>
    <hyperlink ref="K12" r:id="rId8" display="http://bangil.sen.es.kr"/>
    <hyperlink ref="K13" r:id="rId9" display="http://seoi.sen.es.kr"/>
    <hyperlink ref="K14" r:id="rId10" display="http://yangjae.sen.es.kr"/>
    <hyperlink ref="K15" r:id="rId11" display="http://wonchon.sen.es.kr"/>
    <hyperlink ref="K16" r:id="rId12" display="http://naegok.sen.ms.kr"/>
    <hyperlink ref="K17" r:id="rId13" display="http://shindong.sen.ms.kr"/>
    <hyperlink ref="K18" r:id="rId14" display="http://youngdong.sen.ms.kr"/>
    <hyperlink ref="K19" r:id="rId15" display="http://gbe.sen.es.kr"/>
    <hyperlink ref="K20" r:id="rId16" display="http://gangil.sen.es.kr"/>
    <hyperlink ref="K21" r:id="rId17" display="http://goil.sen.es.kr"/>
    <hyperlink ref="K22" r:id="rId18" display="http://sunsa.sen.es.kr"/>
    <hyperlink ref="K23" r:id="rId19" display="http://seongnae.sen.es.kr"/>
    <hyperlink ref="K24" r:id="rId20" display="http://wirye.sen.es.kr"/>
    <hyperlink ref="K25" r:id="rId21" display="http://paichai.sen.ms.kr"/>
    <hyperlink ref="K26" r:id="rId22" display="http://sangil.sen.ms.kr"/>
    <hyperlink ref="K27" r:id="rId23" display="http://garak.sen.es.kr"/>
    <hyperlink ref="K28" r:id="rId24" display="http://s-namcheon.sen.es.kr"/>
    <hyperlink ref="K29" r:id="rId25" display="http://songpa.sen.es.kr"/>
    <hyperlink ref="K30" r:id="rId26" display="http://wiryesol.sen.es.kr"/>
    <hyperlink ref="K31" r:id="rId27" display="http://jamshin.sen.es.kr"/>
    <hyperlink ref="K32" r:id="rId28" display="http://jamsil.sen.es.kr"/>
    <hyperlink ref="K33" r:id="rId29" display="http://poongnap.sen.es.kr"/>
    <hyperlink ref="K34" r:id="rId30" display="http://poongsung.sen.es.kr"/>
    <hyperlink ref="K35" r:id="rId31" display="http://bm.sen.ms.kr"/>
    <hyperlink ref="K36" r:id="rId32" display="http://aju.sen.ms.kr"/>
    <hyperlink ref="K37" r:id="rId33" display="http://pungsung.sen.ms.kr"/>
    <hyperlink ref="K38" r:id="rId34" display="http://haenuri.sen.ms.kr"/>
    <hyperlink ref="K39" r:id="rId35" display="http://dungyang.sen.es.kr"/>
    <hyperlink ref="K40" r:id="rId36" display="http://deungchon.sen.es.kr"/>
    <hyperlink ref="K41" r:id="rId37" display="http://songhwa.sen.es.kr"/>
    <hyperlink ref="K42" r:id="rId38" display="http://yeomkyoung.sen.es.kr"/>
    <hyperlink ref="K43" r:id="rId39" display="http://yeomdong.sen.es.kr"/>
    <hyperlink ref="K44" r:id="rId40" display="http://deungchon.sen.ms.kr"/>
    <hyperlink ref="K45" r:id="rId41" display="http://samjeong.sen.ms.kr"/>
    <hyperlink ref="K46" r:id="rId42" display="http://sungjae.sen.ms.kr"/>
    <hyperlink ref="K47" r:id="rId43" display="http://gangwol.sen.es.kr"/>
    <hyperlink ref="K48" r:id="rId44" display="http://gyenam.sen.es.kr"/>
    <hyperlink ref="K49" r:id="rId45" display="http://mokwon.sen.es.kr"/>
    <hyperlink ref="K50" r:id="rId46" display="http://mokil.sen.ms.kr"/>
    <hyperlink ref="K51" r:id="rId47" display="http://yangdong.sen.ms.kr"/>
    <hyperlink ref="K52" r:id="rId48" display="http://yeongdo21.sen.ms.kr"/>
    <hyperlink ref="K53" r:id="rId49" display="http://gwangmun.sen.hs.kr"/>
    <hyperlink ref="K54" r:id="rId50" display="http://shinil.sen.hs.kr"/>
    <hyperlink ref="K55" r:id="rId51" display="http://hyehwa-h.sen.hs.kr"/>
    <hyperlink ref="K56" r:id="rId52" display="http://dongyang.sen.hs.kr"/>
    <hyperlink ref="K57" r:id="rId53" display="http://mapo.sen.hs.kr"/>
    <hyperlink ref="K58" r:id="rId54" display="http://youngil.sen.hs.kr"/>
    <hyperlink ref="K59" r:id="rId55" display="http://seojin.sen.sc.kr"/>
    <hyperlink ref="K60" r:id="rId56" display="http://danggok.sen.hs.kr"/>
    <hyperlink ref="K61" r:id="rId57" display="http://dwg.sen.hs.kr"/>
    <hyperlink ref="K62" r:id="rId58" display="http://garam.sen.hs.kr"/>
    <hyperlink ref="K63" r:id="rId59" display="http://kyeongin.sen.hs.kr"/>
    <hyperlink ref="K64" r:id="rId60" display="http://guro.sen.hs.kr"/>
    <hyperlink ref="K65" r:id="rId61" display="http://guil.sen.hs.kr"/>
    <hyperlink ref="K66" r:id="rId62" display="http://jungjin.sen.sc.kr"/>
    <hyperlink ref="K67" r:id="rId63" display="http://dongilg.sen.hs.kr"/>
    <hyperlink ref="K68" r:id="rId64" display="http://buram.sen.hs.kr"/>
    <hyperlink ref="K69" r:id="rId65" display="http://sangmyung.sen.hs.kr"/>
    <hyperlink ref="K70" r:id="rId66" display="http://sorabol.sen.hs.kr"/>
    <hyperlink ref="K71" r:id="rId67" display="http://www.yonghwa.hs.kr"/>
    <hyperlink ref="K72" r:id="rId68" display="http://cheongwon-gh.sen.hs.kr"/>
    <hyperlink ref="K73" r:id="rId69" display="http://sunduck.sen.hs.kr"/>
    <hyperlink ref="K74" r:id="rId70" display="http://ddbk.sen.hs.kr"/>
    <hyperlink ref="K75" r:id="rId71" display="http://kyungmoon.sen.hs.kr"/>
    <hyperlink ref="K76" r:id="rId72" display="http://sungnam.sen.hs.kr"/>
    <hyperlink ref="K77" r:id="rId73" display="http://sudogh.sen.hs.kr"/>
    <hyperlink ref="K78" r:id="rId74" display="http://soongeui.sen.hs.kr"/>
    <hyperlink ref="K79" r:id="rId75" display="http://sangam.sen.hs.kr"/>
    <hyperlink ref="K80" r:id="rId76" display="http://soongmoon.sen.hs.kr"/>
    <hyperlink ref="K81" r:id="rId77" display="http://gajaeul.sen.hs.kr"/>
    <hyperlink ref="K82" r:id="rId78" display="http://dongduk.sen.hs.kr"/>
    <hyperlink ref="K83" r:id="rId79" display="http://banpo.sen.hs.kr"/>
    <hyperlink ref="K84" r:id="rId80" display="http://seoul.sen.hs.kr"/>
    <hyperlink ref="K85" r:id="rId81" display="http://eonnam.sen.hs.kr"/>
    <hyperlink ref="K86" r:id="rId82" display="http://dosun.sen.hs.kr"/>
    <hyperlink ref="K87" r:id="rId83" display="http://www.hanyang-u.hs.kr"/>
    <hyperlink ref="K88" r:id="rId84" display="http://gyeseong.sen.hs.kr"/>
    <hyperlink ref="K89" r:id="rId85" display="http://koreahi.sen.hs.kr"/>
    <hyperlink ref="K90" r:id="rId86" display="http://seokgwan.sen.hs.kr"/>
    <hyperlink ref="K91" r:id="rId87" display="http://yongmoon.sen.hs.kr"/>
    <hyperlink ref="K92" r:id="rId88" display="http://hongik.sen.hs.kr"/>
    <hyperlink ref="K93" r:id="rId89" display="http://posung.sen.hs.kr"/>
    <hyperlink ref="K94" r:id="rId90" display="http://jamsin.sen.hs.kr"/>
    <hyperlink ref="K95" r:id="rId91" display="http://kyg.sen.hs.kr"/>
    <hyperlink ref="K96" r:id="rId92" display="http://www.yangchung.hs.kr"/>
    <hyperlink ref="K97" r:id="rId93" display="http://kwan-ak.sen.hs.kr"/>
    <hyperlink ref="K98" r:id="rId94" display="http://www.baemoon.hs.kr"/>
    <hyperlink ref="K99" r:id="rId95" display="http://osan.sen.hs.kr"/>
    <hyperlink ref="K100" r:id="rId96" display="http://yongsan.sen.hs.kr"/>
    <hyperlink ref="K101" r:id="rId97" display="http://duksung.sen.hs.kr"/>
    <hyperlink ref="K102" r:id="rId98" display="http://www.dongsung.hs.kr"/>
    <hyperlink ref="K103" r:id="rId99" display="http://paiwha.sen.hs.kr"/>
    <hyperlink ref="K104" r:id="rId100" display="http://gyeongun.sen.sc.kr"/>
    <hyperlink ref="K105" r:id="rId101" display="http://www.ewha.hs.kr"/>
    <hyperlink ref="K106" r:id="rId102" display="http://www.hwanil.hs.kr"/>
    <hyperlink ref="K107" r:id="rId103" display="http://mmhs.sen.hs.kr"/>
    <hyperlink ref="K108" r:id="rId104" display="http://sg.sen.hs.kr"/>
    <hyperlink ref="K109" r:id="rId105" display="http://wonmook.sen.hs.kr"/>
    <hyperlink ref="K110" r:id="rId106" display="http://taereung.sen.hs.kr"/>
    <hyperlink ref="K111" r:id="rId107" display="http://snums.sen.ms.kr"/>
    <hyperlink ref="K112" r:id="rId108" display="http://snu.sen.ms.kr"/>
    <hyperlink ref="K113" r:id="rId109" display="http://gocheok.sen.es.kr"/>
    <hyperlink ref="K114" r:id="rId110" display="http://mirae.sen.es.kr"/>
    <hyperlink ref="K115" r:id="rId111" display="http://sinmirim.sen.es.kr"/>
    <hyperlink ref="K116" r:id="rId112" display="http://syoungil.sen.es.kr"/>
    <hyperlink ref="K117" r:id="rId113" display="http://ojung.sen.es.kr"/>
    <hyperlink ref="K118" r:id="rId114" display="http://geumdong.sen.es.kr"/>
    <hyperlink ref="K119" r:id="rId115" display="http://munbaek.sen.es.kr"/>
    <hyperlink ref="K120" r:id="rId116" display="http://dangseo.sen.es.kr"/>
    <hyperlink ref="K121" r:id="rId117" display="http://idaegil.sen.es.kr"/>
    <hyperlink ref="K122" r:id="rId118" display="http://dangsanseo.sen.ms.kr"/>
    <hyperlink ref="K123" r:id="rId119" display="http://dangsan.sen.ms.kr"/>
    <hyperlink ref="K124" r:id="rId120" display="http://yeouido.sen.ms.kr"/>
    <hyperlink ref="K125" r:id="rId121" display="http://jeonnong.sen.es.kr"/>
    <hyperlink ref="K126" r:id="rId122" display="http://kyunghee.sen.ms.kr"/>
    <hyperlink ref="K127" r:id="rId123" display="http://jangpyung.sen.ms.kr"/>
    <hyperlink ref="K128" r:id="rId124" display="http://wonmuk.sen.es.kr"/>
    <hyperlink ref="K129" r:id="rId125" display="http://jangan70.sen.ms.kr"/>
    <hyperlink ref="K130" r:id="rId126" display="http://misung.sen.es.kr"/>
    <hyperlink ref="K131" r:id="rId127" display="http://sillim.sen.es.kr"/>
    <hyperlink ref="K132" r:id="rId128" display="http://sss.sen.es.kr"/>
    <hyperlink ref="K133" r:id="rId129" display="http://boramae.sen.es.kr"/>
    <hyperlink ref="K134" r:id="rId130" display="http://seoulsangdo.sen.es.kr"/>
    <hyperlink ref="K135" r:id="rId131" display="http://heukseok.sen.es.kr"/>
    <hyperlink ref="K136" r:id="rId132" display="http://dongyang.sen.ms.kr"/>
    <hyperlink ref="K137" r:id="rId133" display="http://sadang.sen.ms.kr"/>
    <hyperlink ref="K138" r:id="rId134" display="http://jangseung.sen.ms.kr"/>
    <hyperlink ref="K139" r:id="rId135" display="http://gongrung.sen.es.kr"/>
    <hyperlink ref="K140" r:id="rId136" display="http://sangsoo.sen.es.kr"/>
    <hyperlink ref="K141" r:id="rId137" display="http://suam.sen.es.kr"/>
    <hyperlink ref="K142" r:id="rId138" display="http://yong1.sen.es.kr"/>
    <hyperlink ref="K143" r:id="rId139" display="http://jungpyong.sen.es.kr"/>
    <hyperlink ref="K144" r:id="rId140" display="http://taereung.sen.es.kr"/>
    <hyperlink ref="K145" r:id="rId141" display="http://cheongwon.sen.es.kr"/>
    <hyperlink ref="K146" r:id="rId142" display="http://kongrung.sen.ms.kr"/>
    <hyperlink ref="K147" r:id="rId143" display="http://sanggyejeil.sen.ms.kr"/>
    <hyperlink ref="K148" r:id="rId144" display="http://jaehyun.sen.ms.kr"/>
    <hyperlink ref="K149" r:id="rId145" display="http://taerang.sen.ms.kr"/>
    <hyperlink ref="K150" r:id="rId146" display="http://nuwon.sen.es.kr"/>
    <hyperlink ref="K151" r:id="rId147" display="http://jawoon.sen.es.kr"/>
    <hyperlink ref="K152" r:id="rId148" display="http://changdo.sen.es.kr"/>
    <hyperlink ref="K153" r:id="rId149" display="http://mapo.sen.es.kr"/>
    <hyperlink ref="K154" r:id="rId150" display="http://soongmoon.sen.ms.kr"/>
    <hyperlink ref="K155" r:id="rId151" display="http://yeonga.sen.es.kr"/>
    <hyperlink ref="K156" r:id="rId152" display="http://yeokchon.sen.es.kr"/>
    <hyperlink ref="K157" r:id="rId153" display="http://yeoneun.sen.es.kr"/>
    <hyperlink ref="K158" r:id="rId154" display="http://eunpyeong.sen.es.kr"/>
    <hyperlink ref="K159" r:id="rId155" display="http://jingwan.sen.es.kr"/>
    <hyperlink ref="K160" r:id="rId156" display="http://choongam.sen.ms.kr"/>
    <hyperlink ref="K161" r:id="rId157" display="http://guui.sen.es.kr"/>
    <hyperlink ref="K162" r:id="rId158" display="http://seongja.sen.es.kr"/>
    <hyperlink ref="K163" r:id="rId159" display="http://sinja.sen.es.kr"/>
    <hyperlink ref="K164" r:id="rId160" display="http://yonggok.sen.es.kr"/>
    <hyperlink ref="K165" r:id="rId161" display="http://jkschool.sen.es.kr"/>
    <hyperlink ref="K166" r:id="rId162" display="http://shinyang.sen.ms.kr"/>
    <hyperlink ref="K167" r:id="rId163" display="http://muhag.sen.es.kr"/>
    <hyperlink ref="K168" r:id="rId164" display="http://www.hye.or.kr"/>
    <hyperlink ref="K169" r:id="rId165" display="http://kwanghee.sen.ms.kr"/>
    <hyperlink ref="K170" r:id="rId166" display="http://muhak.sen.ms.kr"/>
    <hyperlink ref="K171" r:id="rId167" display="http://suyu.sen.es.kr"/>
    <hyperlink ref="K172" r:id="rId168" display="http://www.younghoon.ms.kr"/>
    <hyperlink ref="K173" r:id="rId169" display="http://daegwang.sen.es.kr"/>
    <hyperlink ref="K174" r:id="rId170" display="http://donam.sen.es.kr"/>
    <hyperlink ref="K175" r:id="rId171" display="http://jangwol.sen.es.kr"/>
    <hyperlink ref="K176" r:id="rId172" display="http://komyung.sen.ms.kr"/>
    <hyperlink ref="K177" r:id="rId173" display="http://namdaemoon.sen.ms.kr"/>
    <hyperlink ref="K178" r:id="rId174" display="http://samseon.sen.ms.kr"/>
    <hyperlink ref="K179" r:id="rId175" display="http://soonggok.sen.ms.kr"/>
    <hyperlink ref="K180" r:id="rId176" display="http://yongmoon.sen.ms.kr"/>
    <hyperlink ref="K181" r:id="rId177" display="http://seoulsamkwang.sen.es.kr"/>
    <hyperlink ref="K182" r:id="rId178" display="http://s-cheongpa.sen.es.kr"/>
    <hyperlink ref="K183" r:id="rId179" display="http://skes.sen.es.kr"/>
    <hyperlink ref="K184" r:id="rId180" display="http://sangmyung-ae.sen.es.kr"/>
    <hyperlink ref="K185" r:id="rId181" display="http://dae-shin.sen.ms.kr"/>
    <hyperlink ref="K186" r:id="rId182" display="http://sds.sen.ms.kr"/>
    <hyperlink ref="K187" r:id="rId183" display="http://hansol.sc.kr"/>
    <hyperlink ref="K188" r:id="rId184" display="http://www.pdj.hs.kr"/>
    <hyperlink ref="K189" r:id="rId185" display="http://school.busanedu.net"/>
    <hyperlink ref="K190" r:id="rId186" display="http://sungwoo.sc.kr"/>
    <hyperlink ref="K191" r:id="rId187" display="http://haemaru.sc.kr"/>
    <hyperlink ref="K192" r:id="rId188" display="http://www.daeyang.hs.kr"/>
    <hyperlink ref="K193" r:id="rId189" display="http://baejeong.hs.kr"/>
    <hyperlink ref="K194" r:id="rId190" display="http://haneol.hs.kr"/>
    <hyperlink ref="K195" r:id="rId191" display="http://www.pcs.hs.kr"/>
    <hyperlink ref="K196" r:id="rId192" display="http://kaekeum.hs.kr"/>
    <hyperlink ref="K197" r:id="rId193" display="http://school.busanedu.net/psdongsung-h"/>
    <hyperlink ref="K198" r:id="rId194" display="http://www.marketing.hs.kr"/>
    <hyperlink ref="K199" r:id="rId195" display="http://www.geumgok.hs.kr"/>
    <hyperlink ref="K200" r:id="rId196" display="http://www.sj.hs.kr"/>
    <hyperlink ref="K201" r:id="rId197" display="http://www.sungdo.hs.kr"/>
    <hyperlink ref="K202" r:id="rId198" display="http://www.ddhs.hs.kr"/>
    <hyperlink ref="K203" r:id="rId199" display="http://dong-a.hs.kr"/>
    <hyperlink ref="K204" r:id="rId200" display="http://bsis.hs.kr"/>
    <hyperlink ref="K205" r:id="rId201" display="http://www.buil.hs.kr"/>
    <hyperlink ref="K206" r:id="rId202" display="http://www.isabelle.hs.kr"/>
    <hyperlink ref="K207" r:id="rId203" display="http://busanhc.com"/>
    <hyperlink ref="K208" r:id="rId204" display="http://www.hangdo.ms.kr"/>
    <hyperlink ref="K209" r:id="rId205" display="http://geumyang.ms.kr"/>
    <hyperlink ref="K210" r:id="rId206" display="http://www.myongseo.es.kr"/>
    <hyperlink ref="K211" r:id="rId207" display="http://sajik.ms.kr"/>
    <hyperlink ref="K212" r:id="rId208" display="http://myeongmun.es.kr"/>
    <hyperlink ref="K213" r:id="rId209" display="http://myungjin.es.kr"/>
    <hyperlink ref="K214" r:id="rId210" display="http://school.busanedu.net/haksa-e"/>
    <hyperlink ref="K215" r:id="rId211" display="http://www.bshj.es.kr"/>
    <hyperlink ref="K216" r:id="rId212" display="http://www.jugam.es.kr"/>
    <hyperlink ref="K217" r:id="rId213" display="http://dadae.es.kr"/>
    <hyperlink ref="K218" r:id="rId214" display="http://www.chunma.es.kr"/>
    <hyperlink ref="K219" r:id="rId215" display="http://toseong.es.kr"/>
    <hyperlink ref="K220" r:id="rId216" display="http://ses.es.kr"/>
    <hyperlink ref="K221" r:id="rId217" display="http://bsdalsan.es.kr"/>
    <hyperlink ref="K222" r:id="rId218" display="http://www.daechung.es.kr"/>
    <hyperlink ref="K223" r:id="rId219" display="http://sinjeong.kr"/>
    <hyperlink ref="K224" r:id="rId220" display="http://www.jwacheon.es.kr"/>
    <hyperlink ref="K225" r:id="rId221" display="http://haebit.es.kr"/>
    <hyperlink ref="K226" r:id="rId222" display="http://minlak.es.kr"/>
    <hyperlink ref="K227" r:id="rId223" display="http://www.baesan.es.kr"/>
    <hyperlink ref="K228" r:id="rId224" display="http://school.busanedu.net/dong-a-m"/>
    <hyperlink ref="K229" r:id="rId225" display="http://sameo.es.kr"/>
    <hyperlink ref="K230" r:id="rId226" display="http://www.jwasan.es.kr"/>
    <hyperlink ref="K231" r:id="rId227" display="http://daegu.dge.hs.kr"/>
    <hyperlink ref="K232" r:id="rId228" display="http://daegun.dge.hs.kr"/>
    <hyperlink ref="K233" r:id="rId229" display="http://daesang.dge.hs.kr"/>
    <hyperlink ref="K234" r:id="rId230" display="http://waryong.dge.hs.kr"/>
    <hyperlink ref="K235" r:id="rId231" display="http://hwawon.dge.hs.kr"/>
    <hyperlink ref="K236" r:id="rId232" display="http://maecheon.dge.hs.kr"/>
    <hyperlink ref="K237" r:id="rId233" display="http://ja.hs.kr"/>
    <hyperlink ref="K238" r:id="rId234" display="http://gunwi.dge.es.kr"/>
    <hyperlink ref="K239" r:id="rId235" display="http://nammyeong.dge.es.kr"/>
    <hyperlink ref="K240" r:id="rId236" display="http://gi.dge.ms.kr"/>
    <hyperlink ref="K241" r:id="rId237" display="http://www.hyupsungkyungbok.dge.ms.kr"/>
    <hyperlink ref="K242" r:id="rId238" display="http://dgdowon.dge.es.kr"/>
    <hyperlink ref="K243" r:id="rId239" display="http://bonri.dge.es.kr"/>
    <hyperlink ref="K244" r:id="rId240" display="http://wolseo.dge.es.kr"/>
    <hyperlink ref="K245" r:id="rId241" display="http://wolam.dge.es.kr"/>
    <hyperlink ref="K246" r:id="rId242" display="http://ka.dge.ms.kr"/>
    <hyperlink ref="K247" r:id="rId243" display="http://daegun.dge.ms.kr"/>
    <hyperlink ref="K248" r:id="rId244" display="http://www.daegok.dge.ms.kr"/>
    <hyperlink ref="K249" r:id="rId245" display="http://daeseo.dge.ms.kr"/>
    <hyperlink ref="K250" r:id="rId246" display="http://daejin.dge.ms.kr"/>
    <hyperlink ref="K251" r:id="rId247" display="http://sangwon.dge.ms.kr"/>
    <hyperlink ref="K252" r:id="rId248" display="http://seonggok.dge.ms.kr"/>
    <hyperlink ref="K253" r:id="rId249" display="http://songhyun.dge.ms.kr"/>
    <hyperlink ref="K254" r:id="rId250" display="http://wolbae.dge.ms.kr"/>
    <hyperlink ref="K255" r:id="rId251" display="http://wolam.dge.ms.kr"/>
    <hyperlink ref="K256" r:id="rId252" display="http://www.dasa.dge.es.kr"/>
    <hyperlink ref="K257" r:id="rId253" display="http://donggok.dge.es.kr"/>
    <hyperlink ref="K258" r:id="rId254" display="http://bukdong.dge.es.kr"/>
    <hyperlink ref="K259" r:id="rId255" display="http://yonggye.dge.es.kr"/>
    <hyperlink ref="K260" r:id="rId256" display="http://yuga.dge.es.kr"/>
    <hyperlink ref="K261" r:id="rId257" display="http://dasa.dge.ms.kr"/>
    <hyperlink ref="K262" r:id="rId258" display="http://dalseo.dge.ms.kr"/>
    <hyperlink ref="K263" r:id="rId259" display="http://hyeonpung.dge.ms.kr"/>
    <hyperlink ref="K264" r:id="rId260" display="http://dongshin.dge.es.kr"/>
    <hyperlink ref="K265" r:id="rId261" display="http://www.palgong.es.kr"/>
    <hyperlink ref="K266" r:id="rId262" display="http://dongchon.dge.ms.kr"/>
    <hyperlink ref="K267" r:id="rId263" display="http://gyeongdong.dge.es.kr"/>
    <hyperlink ref="K268" r:id="rId264" display="http://deulangil.dge.es.kr"/>
    <hyperlink ref="K269" r:id="rId265" display="http://www.daeryun.dge.ms.kr"/>
    <hyperlink ref="K270" r:id="rId266" display="http://dukwon.dge.ms.kr"/>
    <hyperlink ref="K271" r:id="rId267" display="http://dukhwa.dge.ms.kr"/>
    <hyperlink ref="K272" r:id="rId268" display="http://www.shinmyung.dge.ms.kr"/>
    <hyperlink ref="K273" r:id="rId269" display="http://dgjeil.dge.ms.kr"/>
    <hyperlink ref="K274" r:id="rId270" display="http://gangbuk.dge.es.kr"/>
    <hyperlink ref="K275" r:id="rId271" display="http://daesan.dge.es.kr"/>
    <hyperlink ref="K276" r:id="rId272" display="http://hakjung.dge.es.kr"/>
    <hyperlink ref="K277" r:id="rId273" display="http://kmschool.dge.ms.kr"/>
    <hyperlink ref="K278" r:id="rId274" display="http://gwaneum.dge.ms.kr"/>
    <hyperlink ref="K279" r:id="rId275" display="http://dong-pyeong.dge.ms.kr"/>
    <hyperlink ref="K280" r:id="rId276" display="http://maecheon.dge.ms.kr"/>
    <hyperlink ref="K281" r:id="rId277" display="http://www.bokhyun.dge.ms.kr"/>
    <hyperlink ref="K282" r:id="rId278" display="http://www.sasu.dge.ms.kr"/>
    <hyperlink ref="K283" r:id="rId279" display="http://seonggwang.dge.ms.kr"/>
    <hyperlink ref="K284" r:id="rId280" display="http://woonam.dge.ms.kr"/>
    <hyperlink ref="K285" r:id="rId281" display="http://chimsan.dge.ms.kr"/>
    <hyperlink ref="K286" r:id="rId282" display="http://beesan.dge.es.kr"/>
    <hyperlink ref="K287" r:id="rId283" display="http://seopyeong.dge.es.kr"/>
    <hyperlink ref="K288" r:id="rId284" display="http://sdg.dge.es.kr"/>
    <hyperlink ref="K289" r:id="rId285" display="http://gyungun.dge.ms.kr"/>
    <hyperlink ref="K290" r:id="rId286" display="http://cn.dge.ms.kr"/>
    <hyperlink ref="K291" r:id="rId287" display="http://gabryong.icees.kr"/>
    <hyperlink ref="K292" r:id="rId288" display="http://ganghwa.icees.kr"/>
    <hyperlink ref="K293" r:id="rId289" display="http://habil.icees.kr"/>
    <hyperlink ref="K294" r:id="rId290" display="http://seungyoung.icems.kr"/>
    <hyperlink ref="K295" r:id="rId291" display="http://ganghwahs.icehs.kr"/>
    <hyperlink ref="K296" r:id="rId292" display="http://geomdan.icehs.kr"/>
    <hyperlink ref="K297" r:id="rId293" display="http://ieum.icehs.kr"/>
    <hyperlink ref="K298" r:id="rId294" display="http://in-hyoseong.icehs.kr"/>
    <hyperlink ref="K299" r:id="rId295" display="http://jakj.icehs.kr"/>
    <hyperlink ref="K300" r:id="rId296" display="http://gojan.icehs.kr"/>
    <hyperlink ref="K301" r:id="rId297" display="http://inam.icehs.kr"/>
    <hyperlink ref="K302" r:id="rId298" display="http://namdong.icehs.kr"/>
    <hyperlink ref="K303" r:id="rId299" display="http://ims.icehs.kr"/>
    <hyperlink ref="K304" r:id="rId300" display="http://songcheon.icehs.kr"/>
    <hyperlink ref="K305" r:id="rId301" display="http://hakik.icehs.kr"/>
    <hyperlink ref="K306" r:id="rId302" display="http://hakikgh.icehs.kr"/>
    <hyperlink ref="K307" r:id="rId303" display="http://msrose.icehs.kr"/>
    <hyperlink ref="K308" r:id="rId304" display="http://bgg.icehs.kr"/>
    <hyperlink ref="K309" r:id="rId305" display="http://bupyeong.icehs.kr"/>
    <hyperlink ref="K310" r:id="rId306" display="http://samsan.icehs.kr"/>
    <hyperlink ref="K311" r:id="rId307" display="http://buheung.icehs.kr"/>
    <hyperlink ref="K312" r:id="rId308" display="http://incheonsangjeong.icehs.kr"/>
    <hyperlink ref="K313" r:id="rId309" display="http://ijss.icehs.kr"/>
    <hyperlink ref="K314" r:id="rId310" display="http://garim.icehs.kr"/>
    <hyperlink ref="K315" r:id="rId311" display="http://gajwa.icehs.kr"/>
    <hyperlink ref="K316" r:id="rId312" display="http://sic.icehs.kr"/>
    <hyperlink ref="K317" r:id="rId313" display="http://ish.icehs.kr/main.do"/>
    <hyperlink ref="K318" r:id="rId314" display="http://cheongra.icehs.kr"/>
    <hyperlink ref="K319" r:id="rId315" display="http://choeun.icehs.kr"/>
    <hyperlink ref="K320" r:id="rId316" display="http://songdo.icehs.kr"/>
    <hyperlink ref="K321" r:id="rId317" display="http://incheon-gh.icehs.kr"/>
    <hyperlink ref="K322" r:id="rId318" display="http://iys.icehs.kr"/>
    <hyperlink ref="K323" r:id="rId319" display="http://iasa.icehs.kr"/>
    <hyperlink ref="K324" r:id="rId320" display="http://gonghang-h.icehs.kr"/>
    <hyperlink ref="K325" r:id="rId321" display="http://yeongjong.icehs.kr"/>
    <hyperlink ref="K326" r:id="rId322" display="http://jungsan.icehs.kr"/>
    <hyperlink ref="K327" r:id="rId323" display="http://inil.icehs.kr"/>
    <hyperlink ref="K328" r:id="rId324" display="http://jego.icehs.kr"/>
    <hyperlink ref="K329" r:id="rId325" display="http://igwon.icees.kr"/>
    <hyperlink ref="K330" r:id="rId326" display="http://idohwaes.icees.kr/main.do"/>
    <hyperlink ref="K331" r:id="rId327" display="http://yh.icees.kr"/>
    <hyperlink ref="K332" r:id="rId328" display="http://yhn.icees.kr"/>
    <hyperlink ref="K333" r:id="rId329" display="http://iyh.icees.kr/main.do"/>
    <hyperlink ref="K334" r:id="rId330" display="http://yong.icems.kr"/>
    <hyperlink ref="K335" r:id="rId331" display="http://inha.icems.kr"/>
    <hyperlink ref="K336" r:id="rId332" display="http://unseo.icees.kr"/>
    <hyperlink ref="K337" r:id="rId333" display="http://sky.icees.kr"/>
    <hyperlink ref="K338" r:id="rId334" display="http://youngjong.icems.kr"/>
    <hyperlink ref="K339" r:id="rId335" display="http://gonghang.icems.kr"/>
    <hyperlink ref="K340" r:id="rId336" display="http://jungsan.icems.kr"/>
    <hyperlink ref="K341" r:id="rId337" display="http://brmh.icehs.kr"/>
    <hyperlink ref="K342" r:id="rId338" display="http://dongmyeong.icees.kr"/>
    <hyperlink ref="K343" r:id="rId339" display="http://iks.icems.kr"/>
    <hyperlink ref="K344" r:id="rId340" display="http://songdo.icems.kr/main.do"/>
    <hyperlink ref="K345" r:id="rId341" display="http://shinheung.icems.kr"/>
    <hyperlink ref="K346" r:id="rId342" display="http://sh.icems.kr"/>
    <hyperlink ref="K347" r:id="rId343" display="http://inamchon.icees.kr"/>
    <hyperlink ref="K348" r:id="rId344" display="http://dongbu-ice.icees.kr/main.do"/>
    <hyperlink ref="K349" r:id="rId345" display="http://sce.icees.kr"/>
    <hyperlink ref="K350" r:id="rId346" display="http://juwon.icees.kr"/>
    <hyperlink ref="K351" r:id="rId347" display="http://namdong.icems.kr"/>
    <hyperlink ref="K352" r:id="rId348" display="http://nongok.icems.kr"/>
    <hyperlink ref="K353" r:id="rId349" display="http://sic.icems.kr"/>
    <hyperlink ref="K354" r:id="rId350" display="http://idc.icees.kr/main.do"/>
    <hyperlink ref="K355" r:id="rId351" display="http://mwg.icees.kr"/>
    <hyperlink ref="K356" r:id="rId352" display="http://misong.icees.kr"/>
    <hyperlink ref="K357" r:id="rId353" display="http://shinjeong.icees.kr"/>
    <hyperlink ref="K358" r:id="rId354" display="http://yeonsong.icees.kr"/>
    <hyperlink ref="K359" r:id="rId355" display="http://bakmun.icems.kr"/>
    <hyperlink ref="K360" r:id="rId356" display="http://yhm.icems.kr"/>
    <hyperlink ref="K361" r:id="rId357" display="http://okryun.icems.kr"/>
    <hyperlink ref="K362" r:id="rId358" display="http://hyeonsong.icems.kr"/>
    <hyperlink ref="K363" r:id="rId359" display="http://gilju.icees.kr"/>
    <hyperlink ref="K364" r:id="rId360" display="http://gyeyang.icems.kr"/>
    <hyperlink ref="K365" r:id="rId361" display="http://mh.icems.kr"/>
    <hyperlink ref="K366" r:id="rId362" display="http://bichg.icems.kr"/>
    <hyperlink ref="K367" r:id="rId363" display="http://bugin.icems.kr"/>
    <hyperlink ref="K368" r:id="rId364" display="http://galwol.icees.kr"/>
    <hyperlink ref="K369" r:id="rId365" display="http://igusan.icees.kr"/>
    <hyperlink ref="K370" r:id="rId366" display="http://misan.icees.kr"/>
    <hyperlink ref="K371" r:id="rId367" display="http://sgb.icees.kr"/>
    <hyperlink ref="K372" r:id="rId368" display="http://sangok.icees.kr"/>
    <hyperlink ref="K373" r:id="rId369" display="http://icce.icees.kr"/>
    <hyperlink ref="K374" r:id="rId370" display="http://bupyeongdong.icems.kr"/>
    <hyperlink ref="K375" r:id="rId371" display="http://bpgs.icems.kr"/>
    <hyperlink ref="K376" r:id="rId372" display="http://bp.icems.kr"/>
    <hyperlink ref="K377" r:id="rId373" display="http://i-buheung.icems.kr"/>
    <hyperlink ref="K378" r:id="rId374" display="http://sangok-girls.icems.kr"/>
    <hyperlink ref="K379" r:id="rId375" display="http://isamsan.icems.kr/main.do"/>
    <hyperlink ref="K380" r:id="rId376" display="http://jinsan.icems.kr"/>
    <hyperlink ref="K381" r:id="rId377" display="http://dangha.icees.kr/main.do"/>
    <hyperlink ref="K382" r:id="rId378" display="http://ara.icees.kr"/>
    <hyperlink ref="K383" r:id="rId379" display="http://iwd.icees.kr"/>
    <hyperlink ref="K384" r:id="rId380" display="http://ieum.icees.kr"/>
    <hyperlink ref="K385" r:id="rId381" display="http://bullo.icems.kr"/>
    <hyperlink ref="K386" r:id="rId382" display="http://dangha.icems.kr"/>
    <hyperlink ref="K387" r:id="rId383" display="http://bongsoo.icees.kr/main.do"/>
    <hyperlink ref="K388" r:id="rId384" display="http://isns.icees.kr"/>
    <hyperlink ref="K389" r:id="rId385" display="http://cheongna.icees.kr"/>
    <hyperlink ref="K390" r:id="rId386" display="http://cheongram.icees.kr"/>
    <hyperlink ref="K391" r:id="rId387" display="http://cheongil.icees.kr"/>
    <hyperlink ref="K392" r:id="rId388" display="http://gajeong.icems.kr"/>
    <hyperlink ref="K393" r:id="rId389" display="http://kajwa.icems.kr"/>
    <hyperlink ref="K394" r:id="rId390" display="http://dicg.icems.kr"/>
    <hyperlink ref="K395" r:id="rId391" display="http://shinhyun.icems.kr"/>
    <hyperlink ref="K396" r:id="rId392" display="http://igy.icems.kr"/>
    <hyperlink ref="K397" r:id="rId393" display="http://choeun.icems.kr"/>
    <hyperlink ref="K398" r:id="rId394" display="http://gyelim.gen.es.kr"/>
    <hyperlink ref="K399" r:id="rId395" display="http://chosun.gen.ms.kr"/>
    <hyperlink ref="K400" r:id="rId396" display="http://soochang.gen.es.kr"/>
    <hyperlink ref="K401" r:id="rId397" display="http://ghd.gen.es.kr"/>
    <hyperlink ref="K402" r:id="rId398" display="http://gj-yangji.gen.es.kr"/>
    <hyperlink ref="K403" r:id="rId399" display="http://gshin.gen.ms.kr"/>
    <hyperlink ref="K404" r:id="rId400" display="http://salesio.gen.ms.kr"/>
    <hyperlink ref="K405" r:id="rId401" display="http://shingwang.gen.ms.kr"/>
    <hyperlink ref="K406" r:id="rId402" display="http://yangsan.gen.ms.kr"/>
    <hyperlink ref="K407" r:id="rId403" display="http://sanwol.gen.es.kr"/>
    <hyperlink ref="K408" r:id="rId404" display="http://samdo.gen.es.kr"/>
    <hyperlink ref="K409" r:id="rId405" display="http://k-songjeong.gen.es.kr"/>
    <hyperlink ref="K410" r:id="rId406" display="http://hnja.gen.es.kr"/>
    <hyperlink ref="K411" r:id="rId407" display="http://seonun.gen.ms.kr"/>
    <hyperlink ref="K412" r:id="rId408" display="http://daechon-j.gen.es.kr"/>
    <hyperlink ref="K413" r:id="rId409" display="http://moohak.gen.es.kr"/>
    <hyperlink ref="K414" r:id="rId410" display="http://jobong.gen.es.kr"/>
    <hyperlink ref="K415" r:id="rId411" display="http://dongsung.gen.ms.kr"/>
    <hyperlink ref="K416" r:id="rId412" display="http://k-yangdong.gen.es.kr"/>
    <hyperlink ref="K417" r:id="rId413" display="http://hwajungnam.gen.es.kr"/>
    <hyperlink ref="K418" r:id="rId414" display="http://seolwol.gen.hs.kr"/>
    <hyperlink ref="K419" r:id="rId415" display="http://gwangju.gen.hs.kr"/>
    <hyperlink ref="K420" r:id="rId416" display="http://salesio-g.gen.hs.kr"/>
    <hyperlink ref="K421" r:id="rId417" display="http://chosun.gen.hs.kr"/>
    <hyperlink ref="K422" r:id="rId418" display="http://gshin.gen.hs.kr"/>
    <hyperlink ref="K423" r:id="rId419" display="http://kds.gen.hs.kr"/>
    <hyperlink ref="K424" r:id="rId420" display="http://kdsg.gen.hs.kr"/>
    <hyperlink ref="K425" r:id="rId421" display="http://gubonghs.djsch.kr"/>
    <hyperlink ref="K426" r:id="rId422" display="http://mannyonhs.djsch.kr"/>
    <hyperlink ref="K427" r:id="rId423" display="http://dbhs.djsch.kr"/>
    <hyperlink ref="K428" r:id="rId424" display="http://seoil-ghs.djsch.kr"/>
    <hyperlink ref="K429" r:id="rId425" display="http://doanhs.djsch.kr"/>
    <hyperlink ref="K430" r:id="rId426" display="http://ndjhs.djsch.kr"/>
    <hyperlink ref="K431" r:id="rId427" display="http://djdongsanhs.djsch.kr"/>
    <hyperlink ref="K432" r:id="rId428" display="http://djjahs.djsch.kr"/>
    <hyperlink ref="K433" r:id="rId429" display="http://cnghs.djsch.kr"/>
    <hyperlink ref="K434" r:id="rId430" display="http://stjms.djsch.kr"/>
    <hyperlink ref="K435" r:id="rId431" display="http://panames.djsch.kr"/>
    <hyperlink ref="K436" r:id="rId432" display="http://ddjes.djsch.kr"/>
    <hyperlink ref="K437" r:id="rId433" display="http://gkes.djsch.kr"/>
    <hyperlink ref="K438" r:id="rId434" display="http://shinilms.djsch.kr"/>
    <hyperlink ref="K439" r:id="rId435" display="http://dongmyungms.djsch.kr"/>
    <hyperlink ref="K440" r:id="rId436" display="http://holstonms.djsch.kr"/>
    <hyperlink ref="K441" r:id="rId437" display="http://samcheones.djsch.kr"/>
    <hyperlink ref="K442" r:id="rId438" display="http://gapcheonms.djsch.kr"/>
    <hyperlink ref="K443" r:id="rId439" display="http://djnrums.djsch.kr"/>
    <hyperlink ref="K444" r:id="rId440" display="http://dunsanms.djsch.kr"/>
    <hyperlink ref="K445" r:id="rId441" display="http://namsunes.djsch.kr"/>
    <hyperlink ref="K446" r:id="rId442" display="http://daedeokes.djsch.kr"/>
    <hyperlink ref="K447" r:id="rId443" display="http://school.use.go.kr/ds-e"/>
    <hyperlink ref="K448" r:id="rId444" display="http://okdong.es.kr"/>
    <hyperlink ref="K449" r:id="rId445" display="http://school.use.go.kr/okseo-e"/>
    <hyperlink ref="K450" r:id="rId446" display="http://www.sinjeong.ms.kr"/>
    <hyperlink ref="K451" r:id="rId447" display="http://www.ulsangangnam.ms.kr"/>
    <hyperlink ref="K452" r:id="rId448" display="http://usdongbu.es.kr"/>
    <hyperlink ref="K453" r:id="rId449" display="http://school.use.go.kr/bangeojin-e/M01"/>
    <hyperlink ref="K454" r:id="rId450" display="http://school.use.go.kr/maesan-e"/>
    <hyperlink ref="K455" r:id="rId451" display="http://myeongchon.es.kr"/>
    <hyperlink ref="K456" r:id="rId452" display="http://school.use.go.kr/goheon-m/M01"/>
    <hyperlink ref="K457" r:id="rId453" display="http://www.ushogye.ms.kr"/>
    <hyperlink ref="K458" r:id="rId454" display="http://daehyun.hs.kr"/>
    <hyperlink ref="K459" r:id="rId455" display="http://sungkwang.hs.kr"/>
    <hyperlink ref="K460" r:id="rId456" display="http://www.hwabong.hs.kr"/>
    <hyperlink ref="K461" r:id="rId457" display="http://gyeongui.hs.kr"/>
    <hyperlink ref="K462" r:id="rId458" display="http://www.yaksa.hs.kr"/>
    <hyperlink ref="K463" r:id="rId459" display="http://gapyeong-e.goegp.kr"/>
    <hyperlink ref="K464" r:id="rId460" display="http://jojong-e.goegp.kr"/>
    <hyperlink ref="K465" r:id="rId461" display="http://gapyeong-m.goegp.kr"/>
    <hyperlink ref="K466" r:id="rId462" display="http://gangseon-e.goegy.kr"/>
    <hyperlink ref="K467" r:id="rId463" display="http://gyjh-e.goegy.kr"/>
    <hyperlink ref="K468" r:id="rId464" display="http://wd-e.goegy.kr"/>
    <hyperlink ref="K469" r:id="rId465" display="http://jido-e-e.goegy.kr"/>
    <hyperlink ref="K470" r:id="rId466" display="http://ky-hansan-e.goegy.kr"/>
    <hyperlink ref="K471" r:id="rId467" display="http://hwajoong-e.goegy.kr/hwajoong-e/main.do"/>
    <hyperlink ref="K472" r:id="rId468" display="http://ilsan-m.goegy.kr/ilsan-m/main.do"/>
    <hyperlink ref="K473" r:id="rId469" display="http://kwangsung-e.goegm.kr/kwangsung-e/main.do"/>
    <hyperlink ref="K474" r:id="rId470" display="http://garim-m.goegm.kr"/>
    <hyperlink ref="K475" r:id="rId471" display="http://ch-m.goegm.kr"/>
    <hyperlink ref="K476" r:id="rId472" display="http://gssky-e.goegh.kr/gssky-e/main.do"/>
    <hyperlink ref="K477" r:id="rId473" display="http://gonjiam-e.goegh.kr/gonjiam-e/main.do"/>
    <hyperlink ref="K478" r:id="rId474" display="http://ssangdong-e.goegh.kr"/>
    <hyperlink ref="K479" r:id="rId475" display="http://kyongan-m.goegh.kr"/>
    <hyperlink ref="K480" r:id="rId476" display="http://maeyang-m.goegh.kr"/>
    <hyperlink ref="K481" r:id="rId477" display="http://dansaem-e.goegh.kr/dansaem-e/main.do"/>
    <hyperlink ref="K482" r:id="rId478" display="http://dongbu-e.goegh.kr"/>
    <hyperlink ref="K483" r:id="rId479" display="http://baekma-h.goegy.kr"/>
    <hyperlink ref="K484" r:id="rId480" display="http://paikyang-h.goegy.kr"/>
    <hyperlink ref="K485" r:id="rId481" display="http://sinwon-h.goegy.kr"/>
    <hyperlink ref="K486" r:id="rId482" display="http://angok-h.goegy.kr"/>
    <hyperlink ref="K487" r:id="rId483" display="http://isdj-h.goegy.kr"/>
    <hyperlink ref="K488" r:id="rId484" display="http://jeodong-h.goegy.kr"/>
    <hyperlink ref="K489" r:id="rId485" display="http://haengshin-h.goegy.kr/haengshin-h/main.do"/>
    <hyperlink ref="K490" r:id="rId486" display="http://taejeon-h.goegh.kr"/>
    <hyperlink ref="K491" r:id="rId487" display="http://gurigirl-h.goegn.kr"/>
    <hyperlink ref="K492" r:id="rId488" display="http://topyeong-h.goegn.kr"/>
    <hyperlink ref="K493" r:id="rId489" display="http://gpjago.goegu.kr"/>
    <hyperlink ref="K494" r:id="rId490" display="http://gochon-h.gpoe.kr"/>
    <hyperlink ref="K495" r:id="rId491" display="http://gimpojeil-h.gpoe.kr"/>
    <hyperlink ref="K496" r:id="rId492" display="http://sawoo-h.gpoe.kr"/>
    <hyperlink ref="K497" r:id="rId493" display="http://yanggok-h.gpoe.kr"/>
    <hyperlink ref="K498" r:id="rId494" display="http://jingeon-h.goegn.kr"/>
    <hyperlink ref="K499" r:id="rId495" display="http://jinjeop-h.goegn.kr"/>
    <hyperlink ref="K500" r:id="rId496" display="http://www.goebc.kr/sn-h/main.do"/>
    <hyperlink ref="K501" r:id="rId497" display="http://wonmihigh-h.goebc.kr"/>
    <hyperlink ref="K502" r:id="rId498" display="http://seohyun-h.goesn.kr"/>
    <hyperlink ref="K503" r:id="rId499" display="http://seongnamgs-h.goesn.kr"/>
    <hyperlink ref="K504" r:id="rId500" display="http://ssgh-h.goesn.kr"/>
    <hyperlink ref="K505" r:id="rId501" display="http://wiryehanbit-h.goesn.kr"/>
    <hyperlink ref="K506" r:id="rId502" display="http://imae-h.goesn.kr"/>
    <hyperlink ref="K507" r:id="rId503" display="http://gosaek-h.goesw.kr"/>
    <hyperlink ref="K508" r:id="rId504" display="http://daepyeong-h.goesw.kr/index.do"/>
    <hyperlink ref="K509" r:id="rId505" display="http://maewon-h.goesw.kr"/>
    <hyperlink ref="K510" r:id="rId506" display="http://gg-ieumon.goesw.kr"/>
    <hyperlink ref="K511" r:id="rId507" display="http://jwg-h.goesh.kr"/>
    <hyperlink ref="K512" r:id="rId508" display="http://seongan-h.goeas.kr"/>
    <hyperlink ref="K513" r:id="rId509" display="http://gaon-h.goean.kr"/>
    <hyperlink ref="K514" r:id="rId510" display="http://gwanyang-h.goeay.kr"/>
    <hyperlink ref="K515" r:id="rId511" display="http://www.sungmoon.hs.kr"/>
    <hyperlink ref="K516" r:id="rId512" display="http://shinsung-h.goeay.kr"/>
    <hyperlink ref="K517" r:id="rId513" display="http://ymgh-h.goeay.kr/ymgh-h/main.do"/>
    <hyperlink ref="K518" r:id="rId514" display="http://deokhyeon-h.goedy.kr"/>
    <hyperlink ref="K519" r:id="rId515" display="http://yangju-h.goedy.kr/yangju-h/main.do"/>
    <hyperlink ref="K520" r:id="rId516" display="http://okbit-h.goedy.kr"/>
    <hyperlink ref="K521" r:id="rId517" display="http://jp-h.goeyp.kr"/>
    <hyperlink ref="K522" r:id="rId518" display="http://segyo-h.goehs.kr"/>
    <hyperlink ref="K523" r:id="rId519" display="http://seowon-h.goeyi.kr"/>
    <hyperlink ref="K524" r:id="rId520" display="http://www.hafs.hs.kr"/>
    <hyperlink ref="K525" r:id="rId521" display="http://buyong-h.goeujb.kr"/>
    <hyperlink ref="K526" r:id="rId522" display="http://songhyun-h.goeujb.kr"/>
    <hyperlink ref="K527" r:id="rId523" display="http://icheonhs.goeic.kr"/>
    <hyperlink ref="K528" r:id="rId524" display="http://gtan-h.goepj.kr"/>
    <hyperlink ref="K529" r:id="rId525" display="http://paju-coh-h.goepj.kr"/>
    <hyperlink ref="K530" r:id="rId526" display="http://hanbit-h.goepj.kr"/>
    <hyperlink ref="K531" r:id="rId527" display="http://jinwee-h.goept.kr"/>
    <hyperlink ref="K532" r:id="rId528" display="http://cheongbuk-h.goept.kr"/>
    <hyperlink ref="K533" r:id="rId529" display="http://pyeongtaek-gh-h.goept.kr"/>
    <hyperlink ref="K534" r:id="rId530" display="http://hyeonhwa-h.goept.kr"/>
    <hyperlink ref="K535" r:id="rId531" display="http://pocheon-h.goepc.kr"/>
    <hyperlink ref="K536" r:id="rId532" display="http://www.goegh.kr/gamil-h/main.do"/>
    <hyperlink ref="K537" r:id="rId533" display="http://wawoo-h.goehs.kr"/>
    <hyperlink ref="K538" r:id="rId534" display="http://hwadam-h.goehs.kr"/>
    <hyperlink ref="K539" r:id="rId535" display="http://gagok-e.goegn.kr"/>
    <hyperlink ref="K540" r:id="rId536" display="http://nyjsaetbyeol-e.goegn.kr"/>
    <hyperlink ref="K541" r:id="rId537" display="http://byeolgaram-e.goegn.kr"/>
    <hyperlink ref="K542" r:id="rId538" display="http://www.nyjbp.es.kr"/>
    <hyperlink ref="K543" r:id="rId539" display="http://simseok-e.goegn.kr/simseok-e/main.do"/>
    <hyperlink ref="K544" r:id="rId540" display="http://onam-e.goegn.kr"/>
    <hyperlink ref="K545" r:id="rId541" display="http://wabu-e.goegn.kr/wabu-e/main.do"/>
    <hyperlink ref="K546" r:id="rId542" display="http://haemil-e.goegn.kr"/>
    <hyperlink ref="K547" r:id="rId543" display="http://pungyang-m.goegn.kr"/>
    <hyperlink ref="K548" r:id="rId544" display="http://gunpocho.goegu.kr"/>
    <hyperlink ref="K549" r:id="rId545" display="http://gungnaecho.goegu.kr"/>
    <hyperlink ref="K550" r:id="rId546" display="http://sanboncho.goegu.kr/index.do"/>
    <hyperlink ref="K551" r:id="rId547" display="http://haneolcho.goegu.kr"/>
    <hyperlink ref="K552" r:id="rId548" display="http://dojangjung.goegu.kr"/>
    <hyperlink ref="K553" r:id="rId549" display="http://sawoo-e.gpoe.kr"/>
    <hyperlink ref="K554" r:id="rId550" display="http://singok-e.gpoe.kr"/>
    <hyperlink ref="K555" r:id="rId551" display="http://unyu-e.gpoe.kr"/>
    <hyperlink ref="K556" r:id="rId552" display="http://tongjin-m.gpoe.kr"/>
    <hyperlink ref="K557" r:id="rId553" display="http://www.sh.ms.kr"/>
    <hyperlink ref="K558" r:id="rId554" display="http://ganap-e.goedy.kr/ganap-e/main.do"/>
    <hyperlink ref="K559" r:id="rId555" display="http://koam-e.goedy.kr/koam-e/main.do"/>
    <hyperlink ref="K560" r:id="rId556" display="http://sangpae-e.goedy.kr"/>
    <hyperlink ref="K561" r:id="rId557" display="http://dowon-e.goebc.kr"/>
    <hyperlink ref="K562" r:id="rId558" display="http://angelschool-e.goebc.kr"/>
    <hyperlink ref="K563" r:id="rId559" display="http://sindoedu-e.goebc.kr"/>
    <hyperlink ref="K564" r:id="rId560" display="http://wmi-e.goebc.kr"/>
    <hyperlink ref="K565" r:id="rId561" display="http://jungheung-e.goebc.kr"/>
    <hyperlink ref="K566" r:id="rId562" display="http://beombak-m.goebc.kr"/>
    <hyperlink ref="K567" r:id="rId563" display="http://jh-m.goebc.kr"/>
    <hyperlink ref="K568" r:id="rId564" display="http://dangchon-e.goesn.kr"/>
    <hyperlink ref="K569" r:id="rId565" display="http://snsonghyeon-e.goesn.kr"/>
    <hyperlink ref="K570" r:id="rId566" display="http://snjangan-e.goesn.kr"/>
    <hyperlink ref="K571" r:id="rId567" display="http://wrjungang-e.goesn.kr"/>
    <hyperlink ref="K572" r:id="rId568" display="http://imae-e.goesn.kr"/>
    <hyperlink ref="K573" r:id="rId569" display="http://yangyoung-m.goesn.kr"/>
    <hyperlink ref="K574" r:id="rId570" display="http://gyujang-e.goesw.kr"/>
    <hyperlink ref="K575" r:id="rId571" display="http://sanui-e.goesw.kr/sanui-e/main.do"/>
    <hyperlink ref="K576" r:id="rId572" display="http://swmaehwa-e.goesw.kr/index.do"/>
    <hyperlink ref="K577" r:id="rId573" display="http://eui-e.goesw.kr"/>
    <hyperlink ref="K578" r:id="rId574" display="http://ipbuk-e.goesw.kr"/>
    <hyperlink ref="K579" r:id="rId575" display="http://jamwon-e.goesw.kr"/>
    <hyperlink ref="K580" r:id="rId576" display="http://jungchun-e.goesw.kr/jungchun-e/main.do"/>
    <hyperlink ref="K581" r:id="rId577" display="http://namsuwon-m.goesw.kr"/>
    <hyperlink ref="K582" r:id="rId578" display="http://songwon-m.goesw.kr"/>
    <hyperlink ref="K583" r:id="rId579" display="http://sukji-m.goesw.kr"/>
    <hyperlink ref="K584" r:id="rId580" display="http://saenggeum-e.goesh.kr"/>
    <hyperlink ref="K585" r:id="rId581" display="http://sechon-e.goesh.kr"/>
    <hyperlink ref="K586" r:id="rId582" display="http://sihwa-e.goesh.kr"/>
    <hyperlink ref="K587" r:id="rId583" display="http://siheung-e.goesh.kr"/>
    <hyperlink ref="K588" r:id="rId584" display="http://seohae-m.goesh.kr"/>
    <hyperlink ref="K589" r:id="rId585" display="http://gaon21-m.goesh.kr"/>
    <hyperlink ref="K590" r:id="rId586" display="http://wolgot-m.goesh.kr"/>
    <hyperlink ref="K591" r:id="rId587" display="http://seonbu-e.goeas.kr/seonbu-e/main.do"/>
    <hyperlink ref="K592" r:id="rId588" display="http://singil-e.goeas.kr"/>
    <hyperlink ref="K593" r:id="rId589" display="http://ansanseo-e.goeas.kr/ansanseo-e/main.do"/>
    <hyperlink ref="K594" r:id="rId590" display="http://ansanhowon-e.goeas.kr"/>
    <hyperlink ref="K595" r:id="rId591" display="http://seongan-m.goeas.kr"/>
    <hyperlink ref="K596" r:id="rId592" display="http://manjeong-e.goean.kr"/>
    <hyperlink ref="K597" r:id="rId593" display="http://anseong-e.goean.kr"/>
    <hyperlink ref="K598" r:id="rId594" display="http://gongdo-m.goean.kr/gongdo-m/main.do"/>
    <hyperlink ref="K599" r:id="rId595" display="http://yangjin-m.goean.kr"/>
    <hyperlink ref="K600" r:id="rId596" display="http://chonggye-e.goeay.kr"/>
    <hyperlink ref="K601" r:id="rId597" display="http://gcmunwon-m.goeay.kr"/>
    <hyperlink ref="K602" r:id="rId598" display="http://aydh-e.goeay.kr/aydh-e/main.do"/>
    <hyperlink ref="K603" r:id="rId599" display="http://anyangseo-m.goeay.kr"/>
    <hyperlink ref="K604" r:id="rId600" display="http://gangha-m.goeyp.kr"/>
    <hyperlink ref="K605" r:id="rId601" display="http://ym-m.goeyp.kr"/>
    <hyperlink ref="K606" r:id="rId602" display="http://ohak-e.goeyj.kr"/>
    <hyperlink ref="K607" r:id="rId603" display="http://yjsejong-m.goeyj.kr"/>
    <hyperlink ref="K608" r:id="rId604" display="http://yeogang-m.goeyj.kr"/>
    <hyperlink ref="K609" r:id="rId605" display="http://heungcheon-m.goeyj.kr/heungcheon-m/main.do"/>
    <hyperlink ref="K610" r:id="rId606" display="http://gunnam-em.goeyc.kr/gunnam-em/main.do"/>
    <hyperlink ref="K611" r:id="rId607" display="http://yeoncheon-e.goeyc.kr/yeoncheon-e/main.do"/>
    <hyperlink ref="K612" r:id="rId608" display="http://jeongok-e.goeyc.kr/jeongok-e/main.do"/>
    <hyperlink ref="K613" r:id="rId609" display="http://gunnam-em.goeyc.kr/gunnam-em/main.do"/>
    <hyperlink ref="K614" r:id="rId610" display="http://galgok-e.goeyi.kr/galgok-e/main.do"/>
    <hyperlink ref="K615" r:id="rId611" display="http://www.goeyi.kr/yimb-e/main.do"/>
    <hyperlink ref="K616" r:id="rId612" display="http://seowon-e.goeyi.kr"/>
    <hyperlink ref="K617" r:id="rId613" display="http://dunjeon-e.goeyi.kr"/>
    <hyperlink ref="K618" r:id="rId614" display="http://yong1000-e.goeyi.kr"/>
    <hyperlink ref="K619" r:id="rId615" display="http://yiseongji-m.goeyi.kr"/>
    <hyperlink ref="K620" r:id="rId616" display="http://eondong-m.goeyi.kr"/>
    <hyperlink ref="K621" r:id="rId617" display="http://yongindaedeok-m.goeyi.kr"/>
    <hyperlink ref="K622" r:id="rId618" display="http://yshinchon-m.goeyi.kr"/>
    <hyperlink ref="K623" r:id="rId619" display="http://www.goeyi.kr/e-hyun-m/main.do"/>
    <hyperlink ref="K624" r:id="rId620" display="http://kosan-e.goeujb.kr"/>
    <hyperlink ref="K625" r:id="rId621" display="http://beodeulgae-e.goeujb.kr"/>
    <hyperlink ref="K626" r:id="rId622" display="http://sindong-e.goeujb.kr"/>
    <hyperlink ref="K627" r:id="rId623" display="http://ujbcheongryong-e.goeujb.kr"/>
    <hyperlink ref="K628" r:id="rId624" display="http://ujbg-m.goeujb.kr"/>
    <hyperlink ref="K629" r:id="rId625" display="http://doam.goeic.kr"/>
    <hyperlink ref="K630" r:id="rId626" display="http://majang.goeic.kr"/>
    <hyperlink ref="K631" r:id="rId627" display="http://icks.goeic.kr"/>
    <hyperlink ref="K632" r:id="rId628" display="http://daewolms.goeic.kr"/>
    <hyperlink ref="K633" r:id="rId629" display="http://bubal.ms.kr"/>
    <hyperlink ref="K634" r:id="rId630" display="http://dayul-e.goepj.kr/dayul-e/main.do"/>
    <hyperlink ref="K635" r:id="rId631" display="http://saegeum-e.goepj.kr/saegeum-e/main.do"/>
    <hyperlink ref="K636" r:id="rId632" display="http://jayu-e.goepj.kr/jayu-e/main.do"/>
    <hyperlink ref="K637" r:id="rId633" display="http://www.goepj.kr/gumrung-m/main.do"/>
    <hyperlink ref="K638" r:id="rId634" display="http://dongpae-m.goepj.kr"/>
    <hyperlink ref="K639" r:id="rId635" display="http://pjsn-m.goepj.kr"/>
    <hyperlink ref="K640" r:id="rId636" display="http://pt-kyesung-e.goept.kr"/>
    <hyperlink ref="K641" r:id="rId637" display="http://se-a-e.goept.kr/se-a-e/main.do"/>
    <hyperlink ref="K642" r:id="rId638" display="http://anjoong-e.goept.kr"/>
    <hyperlink ref="K643" r:id="rId639" display="http://ptsonghwa-e.goept.kr"/>
    <hyperlink ref="K644" r:id="rId640" display="http://ptyoungshin-e.goept.kr"/>
    <hyperlink ref="K645" r:id="rId641" display="http://ptcheonga-e.goept.kr"/>
    <hyperlink ref="K646" r:id="rId642" display="http://jangdang-m.goept.kr"/>
    <hyperlink ref="K647" r:id="rId643" display="http://posongwoo-e.goepc.kr/posongwoo-e/main.do"/>
    <hyperlink ref="K648" r:id="rId644" display="http://idong-e.goepc.kr/idong-e/main.do"/>
    <hyperlink ref="K649" r:id="rId645" display="http://chukseok-e.goepc.kr"/>
    <hyperlink ref="K650" r:id="rId646" display="http://tb-e.goepc.kr"/>
    <hyperlink ref="K651" r:id="rId647" display="http://maehol-e.goehs.kr/maehol-e/main.do"/>
    <hyperlink ref="K652" r:id="rId648" display="http://osan-m.goehs.kr"/>
    <hyperlink ref="K653" r:id="rId649" display="http://neulbom-e.goehs.kr"/>
    <hyperlink ref="K654" r:id="rId650" display="http://banggyo-e.goehs.kr"/>
    <hyperlink ref="K655" r:id="rId651" display="http://esol-e.goehs.kr"/>
    <hyperlink ref="K656" r:id="rId652" display="http://junglim-e.goehs.kr"/>
    <hyperlink ref="K657" r:id="rId653" display="http://taean-hs-e.goehs.kr"/>
    <hyperlink ref="K658" r:id="rId654" display="http://hj2008-e.goehs.kr"/>
    <hyperlink ref="K659" r:id="rId655" display="http://hshwawon-e.goehs.kr"/>
    <hyperlink ref="K660" r:id="rId656" display="http://kian-m.goehs.kr"/>
    <hyperlink ref="K661" r:id="rId657" display="http://neungdong-m.goehs.kr"/>
    <hyperlink ref="K662" r:id="rId658" display="http://banggyo-m.goehs.kr"/>
    <hyperlink ref="K663" r:id="rId659" display="http://school.cbe.go.kr/doan-e/M01"/>
    <hyperlink ref="K664" r:id="rId660" display="http://school.cbe.go.kr/jukri-e/M01"/>
    <hyperlink ref="K665" r:id="rId661" display="http://school.cbe.go.kr/eumseong-h/M01"/>
    <hyperlink ref="K666" r:id="rId662" display="http://school.cbe.go.kr/jcg-h"/>
    <hyperlink ref="K667" r:id="rId663" display="http://school.cbe.go.kr/kch-h"/>
    <hyperlink ref="K668" r:id="rId664" display="http://school.cbe.go.kr/cbm-h/M01"/>
    <hyperlink ref="K669" r:id="rId665" display="http://school.cbe.go.kr/sannam-h"/>
    <hyperlink ref="K670" r:id="rId666" display="http://school.cbe.go.kr/os-h"/>
    <hyperlink ref="K671" r:id="rId667" display="http://school.cbe.go.kr/unho-h"/>
    <hyperlink ref="K672" r:id="rId668" display="http://school.cbe.go.kr/juseong-h"/>
    <hyperlink ref="K673" r:id="rId669" display="http://shinheung.sc.kr"/>
    <hyperlink ref="K674" r:id="rId670" display="http://school.cbe.go.kr/hds-h"/>
    <hyperlink ref="K675" r:id="rId671" display="http://www.joongsan.hs.kr"/>
    <hyperlink ref="K676" r:id="rId672" display="http://school.cbe.go.kr/sungsim-s"/>
    <hyperlink ref="K677" r:id="rId673" display="http://school.cbe.go.kr/cjhs-s"/>
    <hyperlink ref="K678" r:id="rId674" display="http://school.cbe.go.kr/sangjincho-e"/>
    <hyperlink ref="K679" r:id="rId675" display="http://school.cbe.go.kr/sejung-e"/>
    <hyperlink ref="K680" r:id="rId676" display="http://school.cbe.go.kr/hwanggan-e"/>
    <hyperlink ref="K681" r:id="rId677" display="http://school.cbe.go.kr/wangmi-e/M01"/>
    <hyperlink ref="K682" r:id="rId678" display="http://school.cbe.go.kr/daeje-m"/>
    <hyperlink ref="K683" r:id="rId679" display="http://school.cbe.go.kr/kumgu-e"/>
    <hyperlink ref="K684" r:id="rId680" display="http://school.cbe.go.kr/sungam-e"/>
    <hyperlink ref="K685" r:id="rId681" display="http://school.cbe.go.kr/jcsangsin-e"/>
    <hyperlink ref="K686" r:id="rId682" display="http://school.cbe.go.kr/chopyong-e"/>
    <hyperlink ref="K687" r:id="rId683" display="http://school.cbe.go.kr/seojeon-m"/>
    <hyperlink ref="K688" r:id="rId684" display="http://school.cbe.go.kr/kyongsan-e"/>
    <hyperlink ref="K689" r:id="rId685" display="http://school.cbe.go.kr/gyodong-e/M01"/>
    <hyperlink ref="K690" r:id="rId686" display="http://school.cbe.go.kr/deokseong-e"/>
    <hyperlink ref="K691" r:id="rId687" display="http://school.cbe.go.kr/sajig-e"/>
    <hyperlink ref="K692" r:id="rId688" display="http://school.cbe.go.kr/cbsachon-e"/>
    <hyperlink ref="K693" r:id="rId689" display="http://school.cbe.go.kr/sn-e"/>
    <hyperlink ref="K694" r:id="rId690" display="http://school.cbe.go.kr/osongsolmi-e"/>
    <hyperlink ref="K695" r:id="rId691" display="http://school.cbe.go.kr/osong-e"/>
    <hyperlink ref="K696" r:id="rId692" display="http://school.cbe.go.kr/cms-m"/>
    <hyperlink ref="K697" r:id="rId693" display="http://school.cbe.go.kr/judeokhwagok-e/M01"/>
    <hyperlink ref="K698" r:id="rId694" display="http://school.cbe.go.kr/cjnamsan-e"/>
    <hyperlink ref="K699" r:id="rId695" display="http://school.cbe.go.kr/cjsungnam-e"/>
    <hyperlink ref="K700" r:id="rId696" display="http://school.cbe.go.kr/cjyongsan-e"/>
    <hyperlink ref="K701" r:id="rId697" display="http://shinmyong.ms.kr"/>
    <hyperlink ref="K702" r:id="rId698" display="http://school.cbe.go.kr/meeduck-m"/>
    <hyperlink ref="K703" r:id="rId699" display="http://school.jbedu.kr/jb-gapyeong"/>
    <hyperlink ref="K704" r:id="rId700" display="http://www.gosu.es.kr"/>
    <hyperlink ref="K705" r:id="rId701" display="http://www.jb-gochang.es.kr"/>
    <hyperlink ref="K706" r:id="rId702" display="http://www.gochangnam.ms.kr"/>
    <hyperlink ref="K707" r:id="rId703" display="http://www.ysite.ms.kr"/>
    <hyperlink ref="K708" r:id="rId704" display="http://school.jbedu.kr/jbaihs"/>
    <hyperlink ref="K709" r:id="rId705" display="http://myounghwa.sc.kr"/>
    <hyperlink ref="K710" r:id="rId706" display="http://seojin.hs.kr"/>
    <hyperlink ref="K711" r:id="rId707" display="http://www.seongwon.hs.kr"/>
    <hyperlink ref="K712" r:id="rId708" display="http://school.jbedu.kr/game"/>
    <hyperlink ref="K713" r:id="rId709" display="http://school.jbedu.kr/ejbs"/>
    <hyperlink ref="K714" r:id="rId710" display="http://school.jbedu.kr/hygchs"/>
    <hyperlink ref="K715" r:id="rId711" display="http://kijun.hs.kr"/>
    <hyperlink ref="K716" r:id="rId712" display="http://jsh.hs.kr"/>
    <hyperlink ref="K717" r:id="rId713" display="http://jungang.hs.kr"/>
    <hyperlink ref="K718" r:id="rId714" display="http://www.hanilgo.hs.kr"/>
    <hyperlink ref="K719" r:id="rId715" display="http://school.jbedu.kr/no1"/>
    <hyperlink ref="K720" r:id="rId716" display="http://school.jbedu.kr/eunhwa"/>
    <hyperlink ref="K721" r:id="rId717" display="http://www.baeyoung.hs.kr"/>
    <hyperlink ref="K722" r:id="rId718" display="http://www.honam.hs.kr"/>
    <hyperlink ref="K723" r:id="rId719" display="http://www.ksnam.es.kr"/>
    <hyperlink ref="K724" r:id="rId720" display="http://www.kswm.es.kr"/>
    <hyperlink ref="K725" r:id="rId721" display="http://www.dangbuk.es.kr"/>
    <hyperlink ref="K726" r:id="rId722" display="http://www.smg.es.kr"/>
    <hyperlink ref="K727" r:id="rId723" display="http://www.seosu.es.kr"/>
    <hyperlink ref="K728" r:id="rId724" display="http://www.obong.es.kr"/>
    <hyperlink ref="K729" r:id="rId725" display="http://www.ksimpy.es.kr"/>
    <hyperlink ref="K730" r:id="rId726" display="http://gd.ms.kr"/>
    <hyperlink ref="K731" r:id="rId727" display="http://geumgu.kr"/>
    <hyperlink ref="K732" r:id="rId728" display="http://www.geomsan.es.kr"/>
    <hyperlink ref="K733" r:id="rId729" display="http://choche0123.es.kr"/>
    <hyperlink ref="K734" r:id="rId730" display="http://school.jbedu.kr/mujuja"/>
    <hyperlink ref="K735" r:id="rId731" display="http://ha.es.kr"/>
    <hyperlink ref="K736" r:id="rId732" display="http://kurim.kr"/>
    <hyperlink ref="K737" r:id="rId733" display="http://sunchang.es.kr"/>
    <hyperlink ref="K738" r:id="rId734" display="http://www.ganjung.es.kr"/>
    <hyperlink ref="K739" r:id="rId735" display="http://gui.es.kr"/>
    <hyperlink ref="K740" r:id="rId736" display="http://www.daedeok.es.kr"/>
    <hyperlink ref="K741" r:id="rId737" display="http://www.jb-samjung.es.kr"/>
    <hyperlink ref="K742" r:id="rId738" display="http://school.jbedu.kr/samrye"/>
    <hyperlink ref="K743" r:id="rId739" display="http://www.jb-yongbong.es.kr"/>
    <hyperlink ref="K744" r:id="rId740" display="http://school.jbedu.kr/cheongwan"/>
    <hyperlink ref="K745" r:id="rId741" display="http://jb-soyang.ms.kr"/>
    <hyperlink ref="K746" r:id="rId742" display="http://www.youngman.es.kr"/>
    <hyperlink ref="K747" r:id="rId743" display="http://www.yongsan4u.es.kr"/>
    <hyperlink ref="K748" r:id="rId744" display="http://www.irinam.es.kr"/>
    <hyperlink ref="K749" r:id="rId745" display="http://www.iryd.es.kr"/>
    <hyperlink ref="K750" r:id="rId746" display="http://isgaon.es.kr"/>
    <hyperlink ref="K751" r:id="rId747" display="http://school.jbedu.kr/chunpo"/>
    <hyperlink ref="K752" r:id="rId748" display="http://www.hnam.es.kr"/>
    <hyperlink ref="K753" r:id="rId749" display="http://jb-namsung.ms.kr"/>
    <hyperlink ref="K754" r:id="rId750" display="http://www.i-il.ms.kr"/>
    <hyperlink ref="K755" r:id="rId751" display="http://www.imsildong.ms.kr"/>
    <hyperlink ref="K756" r:id="rId752" display="http://www.sunamcho.es.kr"/>
    <hyperlink ref="K757" r:id="rId753" display="http://school.jbedu.kr/jjdj"/>
    <hyperlink ref="K758" r:id="rId754" display="http://school.jbedu.kr/songwon"/>
    <hyperlink ref="K759" r:id="rId755" display="http://www.yeoul.es.kr"/>
    <hyperlink ref="K760" r:id="rId756" display="http://www.wss.es.kr"/>
    <hyperlink ref="K761" r:id="rId757" display="http://school.jbedu.kr/yongso-e"/>
    <hyperlink ref="K762" r:id="rId758" display="http://www.yongwa.es.kr"/>
    <hyperlink ref="K763" r:id="rId759" display="http://school.jbedu.kr/jjwoolim"/>
    <hyperlink ref="K764" r:id="rId760" display="http://school.jbedu.kr/wondong"/>
    <hyperlink ref="K765" r:id="rId761" display="http://www.inbong.es.kr"/>
    <hyperlink ref="K766" r:id="rId762" display="http://school.jbedu.kr/jjjigok"/>
    <hyperlink ref="K767" r:id="rId763" display="http://school.jbedu.kr/jb-jinbuk"/>
    <hyperlink ref="K768" r:id="rId764" display="http://www.palbok.es.kr"/>
    <hyperlink ref="K769" r:id="rId765" display="http://school.jbedu.kr/pyeonghwa"/>
    <hyperlink ref="K770" r:id="rId766" display="http://school.jbedu.kr/hongsan-e"/>
    <hyperlink ref="K771" r:id="rId767" display="http://school.jbedu.kr/jhj"/>
    <hyperlink ref="K772" r:id="rId768" display="http://school.jbedu.kr/jjhyorim"/>
    <hyperlink ref="K773" r:id="rId769" display="http://www.wansan.ms.kr"/>
    <hyperlink ref="K774" r:id="rId770" display="http://jeonbuk.ms.kr"/>
    <hyperlink ref="K775" r:id="rId771" display="http://school.jbedu.kr/deokjin"/>
    <hyperlink ref="K776" r:id="rId772" display="http://school.jbedu.kr/manseongms"/>
    <hyperlink ref="K777" r:id="rId773" display="http://www.jb-shinheung.ms.kr"/>
    <hyperlink ref="K778" r:id="rId774" display="http://www.wooa.ms.kr"/>
    <hyperlink ref="K779" r:id="rId775" display="http://school.jbedu.kr/hyomoon-m"/>
    <hyperlink ref="K780" r:id="rId776" display="http://school.jbedu.kr/ipyong"/>
    <hyperlink ref="K781" r:id="rId777" display="http://www.buksori.es.kr"/>
    <hyperlink ref="K782" r:id="rId778" display="http://www.wangsin.ms.kr"/>
    <hyperlink ref="K783" r:id="rId779" display="http://www.jinan.es.kr"/>
    <hyperlink ref="K784" r:id="rId780" display="http://jungjin.jge.es.kr"/>
    <hyperlink ref="K785" r:id="rId781" display="http://gwangyangbaekun.jge.hs.kr"/>
    <hyperlink ref="K786" r:id="rId782" display="http://gurye.jge.hs.kr"/>
    <hyperlink ref="K787" r:id="rId783" display="http://maesung.jge.hs.kr"/>
    <hyperlink ref="K788" r:id="rId784" display="http://deogin.hs.jne.kr"/>
    <hyperlink ref="K789" r:id="rId785" display="http://hyein.jge.hs.kr"/>
    <hyperlink ref="K790" r:id="rId786" display="http://hongil.jge.hs.kr"/>
    <hyperlink ref="K791" r:id="rId787" display="http://moontae.jge.hs.kr"/>
    <hyperlink ref="K792" r:id="rId788" display="http://muan.hs.jne.kr"/>
    <hyperlink ref="K793" r:id="rId789" display="http://yedang.hs.jne.kr"/>
    <hyperlink ref="K794" r:id="rId790" display="http://geumdang.hs.jne.kr"/>
    <hyperlink ref="K795" r:id="rId791" display="http://maesan.hs.jne.kr"/>
    <hyperlink ref="K796" r:id="rId792" display="http://msgh.hs.jne.kr"/>
    <hyperlink ref="K797" r:id="rId793" display="http://bokseong.hs.jne.kr"/>
    <hyperlink ref="K798" r:id="rId794" display="http://yschungmu.hs.jne.kr"/>
    <hyperlink ref="K799" r:id="rId795" display="http://wando.hs.jne.kr"/>
    <hyperlink ref="K800" r:id="rId796" display="http://neungju.jge.hs.kr"/>
    <hyperlink ref="K801" r:id="rId797" display="http://najudasi.es.jne.kr"/>
    <hyperlink ref="K802" r:id="rId798" display="http://raon.jge.es.kr"/>
    <hyperlink ref="K803" r:id="rId799" display="http://najuyangsan.es.jne.kr"/>
    <hyperlink ref="K804" r:id="rId800" display="http://noan.jge.ms.kr"/>
    <hyperlink ref="K805" r:id="rId801" display="http://bitgaram.ms.jne.kr"/>
    <hyperlink ref="K806" r:id="rId802" display="http://mokpodeogin.ms.jne.kr"/>
    <hyperlink ref="K807" r:id="rId803" display="http://mokpoyounghwa.jge.ms.kr"/>
    <hyperlink ref="K808" r:id="rId804" display="http://jeongmyeong.ms.jne.kr"/>
    <hyperlink ref="K809" r:id="rId805" display="http://mokpohangdo.ms.jne.kr"/>
    <hyperlink ref="K810" r:id="rId806" display="http://mokpohyein.ms.jne.kr"/>
    <hyperlink ref="K811" r:id="rId807" display="http://mokpohongil.ms.jne.kr"/>
    <hyperlink ref="K812" r:id="rId808" display="http://moontae.ms.jne.kr"/>
    <hyperlink ref="K813" r:id="rId809" display="http://muansarang.es.jne.kr"/>
    <hyperlink ref="K814" r:id="rId810" display="http://oryong.jge.es.kr"/>
    <hyperlink ref="K815" r:id="rId811" display="http://muanhaengbok.ms.jne.kr"/>
    <hyperlink ref="K816" r:id="rId812" display="http://muanhuimang.jge.ms.kr"/>
    <hyperlink ref="K817" r:id="rId813" display="http://nakseong.es.jne.kr"/>
    <hyperlink ref="K818" r:id="rId814" display="http://boseongnam.es.jne.kr"/>
    <hyperlink ref="K819" r:id="rId815" display="http://boseong10.es.jne.kr"/>
    <hyperlink ref="K820" r:id="rId816" display="http://yedang.ms.jne.kr"/>
    <hyperlink ref="K821" r:id="rId817" display="http://dosa.es.jne.kr"/>
    <hyperlink ref="K822" r:id="rId818" display="http://wangji.es.jne.kr"/>
    <hyperlink ref="K823" r:id="rId819" display="http://shinui.ms.jne.kr"/>
    <hyperlink ref="K824" r:id="rId820" display="http://jinnam.es.jne.kr"/>
    <hyperlink ref="K825" r:id="rId821" display="http://hallyo.jge.es.kr"/>
    <hyperlink ref="K826" r:id="rId822" display="http://geomun.jge.ms.kr"/>
    <hyperlink ref="K827" r:id="rId823" display="http://jongjung.ms.jne.kr"/>
    <hyperlink ref="K828" r:id="rId824" display="http://yeosu.ms.jne.kr"/>
    <hyperlink ref="K829" r:id="rId825" display="http://myjungang.es.jne.kr"/>
    <hyperlink ref="K830" r:id="rId826" display="http://wdja.es.jne.kr"/>
    <hyperlink ref="K831" r:id="rId827" display="http://hwaheung.jge.es.kr"/>
    <hyperlink ref="K832" r:id="rId828" display="http://jsja.jge.es.kr"/>
    <hyperlink ref="K833" r:id="rId829" display="http://js-samgye.jge.ms.kr"/>
    <hyperlink ref="K834" r:id="rId830" display="http://jangheung.es.jne.kr"/>
    <hyperlink ref="K835" r:id="rId831" display="http://gisan.es.jne.kr"/>
    <hyperlink ref="K836" r:id="rId832" display="http://ns.es.jne.kr"/>
    <hyperlink ref="K837" r:id="rId833" display="http://ddhyanggyo.es.jne.kr"/>
    <hyperlink ref="K838" r:id="rId834" display="http://eomda.es.jne.kr"/>
    <hyperlink ref="K839" r:id="rId835" display="http://hn-dong.es.jne.kr"/>
    <hyperlink ref="K840" r:id="rId836" display="http://neungju.es.jne.kr"/>
    <hyperlink ref="K841" r:id="rId837" display="http://hs-dogok.jge.es.kr"/>
    <hyperlink ref="K842" r:id="rId838" display="http://asan.es.jne.kr"/>
    <hyperlink ref="K843" r:id="rId839" display="http://hsmy.es.jne.kr"/>
    <hyperlink ref="K844" r:id="rId840" display="http://hwasun.jge.es.kr"/>
    <hyperlink ref="K845" r:id="rId841" display="http://neungju.ms.jne.kr"/>
    <hyperlink ref="K846" r:id="rId842" display="http://school.gyo6.net/kyedang"/>
    <hyperlink ref="K847" r:id="rId843" display="http://school.gyo6.net/n1000es"/>
    <hyperlink ref="K848" r:id="rId844" display="http://school.gyo6.net/munmyeongms"/>
    <hyperlink ref="K849" r:id="rId845" display="http://school.gyo6.net/samseonghyeon"/>
    <hyperlink ref="K850" r:id="rId846" display="http://school.gyo6.net/gyeongjues"/>
    <hyperlink ref="K851" r:id="rId847" display="http://school.gyo6.net/you"/>
    <hyperlink ref="K852" r:id="rId848" display="http://school.gyo6.net/hn"/>
    <hyperlink ref="K853" r:id="rId849" display="http://school.gyo6.net/moonhwams"/>
    <hyperlink ref="K854" r:id="rId850" display="http://school.gyo6.net/sadonggo"/>
    <hyperlink ref="K855" r:id="rId851" display="http://school.gyo6.net/gsjain"/>
    <hyperlink ref="K856" r:id="rId852" display="http://school.gyo6.net/gyeongjuhs"/>
    <hyperlink ref="K857" r:id="rId853" display="http://school.gyo6.net/geunhwahs"/>
    <hyperlink ref="K858" r:id="rId854" display="http://school.gyo6.net/gumigo"/>
    <hyperlink ref="K859" r:id="rId855" display="http://school.gyo6.net/geumohs"/>
    <hyperlink ref="K860" r:id="rId856" display="http://school.gyo6.net/sagok"/>
    <hyperlink ref="K861" r:id="rId857" display="http://school.gyo6.net/sangmohs"/>
    <hyperlink ref="K862" r:id="rId858" display="http://school.gyo6.net/seonjuhs"/>
    <hyperlink ref="K863" r:id="rId859" display="http://school.gyo6.net/osanghs"/>
    <hyperlink ref="K864" r:id="rId860" display="http://school.gyo6.net/indonghs"/>
    <hyperlink ref="K865" r:id="rId861" display="http://www.hyedang.sc.kr"/>
    <hyperlink ref="K866" r:id="rId862" display="http://school.gyo6.net/hamchanghs"/>
    <hyperlink ref="K867" r:id="rId863" display="http://school.gyo6.net/ka"/>
    <hyperlink ref="K868" r:id="rId864" display="http://school.gyo6.net/andonghs"/>
    <hyperlink ref="K869" r:id="rId865" display="http://school.gyo6.net/adja"/>
    <hyperlink ref="K870" r:id="rId866" display="http://school.gyo6.net/yeong-gwang"/>
    <hyperlink ref="K871" r:id="rId867" display="http://school.gyo6.net/gyeongbuk"/>
    <hyperlink ref="K872" r:id="rId868" display="http://school.gyo6.net/buksamhs"/>
    <hyperlink ref="K873" r:id="rId869" display="http://school.gyo6.net/seokjeok"/>
    <hyperlink ref="K874" r:id="rId870" display="http://school.gyo6.net/daedonghs"/>
    <hyperlink ref="K875" r:id="rId871" display="http://school.gyo6.net/yihs"/>
    <hyperlink ref="K876" r:id="rId872" display="http://www.ocheon.hs.kr"/>
    <hyperlink ref="K877" r:id="rId873" display="http://school.gyo6.net/pohanghs"/>
    <hyperlink ref="K878" r:id="rId874" display="http://school.gyo6.net/pocheolhs"/>
    <hyperlink ref="K879" r:id="rId875" display="http://school.gyo6.net/goa"/>
    <hyperlink ref="K880" r:id="rId876" display="http://school.gyo6.net/gmsdes"/>
    <hyperlink ref="K881" r:id="rId877" display="http://school.gyo6.net/gmws"/>
    <hyperlink ref="K882" r:id="rId878" display="http://school.gyo6.net/gumiwondang"/>
    <hyperlink ref="K883" r:id="rId879" display="http://school.gyo6.net/keumo"/>
    <hyperlink ref="K884" r:id="rId880" display="http://school.gyo6.net/namgye"/>
    <hyperlink ref="K885" r:id="rId881" display="http://school.gyo6.net/gumibisanes"/>
    <hyperlink ref="K886" r:id="rId882" display="http://school.gyo6.net/sunsanes"/>
    <hyperlink ref="K887" r:id="rId883" display="http://school.gyo6.net/okgyees"/>
    <hyperlink ref="K888" r:id="rId884" display="http://school.gyo6.net/gp"/>
    <hyperlink ref="K889" r:id="rId885" display="http://school.gyo6.net/Indeok"/>
    <hyperlink ref="K890" r:id="rId886" display="http://school.gyo6.net/seonjums"/>
    <hyperlink ref="K891" r:id="rId887" display="http://school.gyo6.net/dasu"/>
    <hyperlink ref="K892" r:id="rId888" display="http://school.gyo6.net/acheon"/>
    <hyperlink ref="K893" r:id="rId889" display="http://school.gyo6.net/gcungokes"/>
    <hyperlink ref="K894" r:id="rId890" display="http://school.gyo6.net/yeongsun"/>
    <hyperlink ref="K895" r:id="rId891" display="http://school.gyo6.net/hoseonames"/>
    <hyperlink ref="K896" r:id="rId892" display="http://school.gyo6.net/bwbongseong"/>
    <hyperlink ref="K897" r:id="rId893" display="http://www.sjnamsan.ms.kr"/>
    <hyperlink ref="K898" r:id="rId894" display="http://school.gyo6.net/sjcho"/>
    <hyperlink ref="K899" r:id="rId895" display="http://school.gyo6.net/chojun"/>
    <hyperlink ref="K900" r:id="rId896" display="http://school.gyo6.net/suryunms"/>
    <hyperlink ref="K901" r:id="rId897" display="http://school.gyo6.net/sinsunges"/>
    <hyperlink ref="K902" r:id="rId898" display="http://school.gyo6.net/andongsonghyun"/>
    <hyperlink ref="K903" r:id="rId899" display="http://school.gyo6.net/adyhes"/>
    <hyperlink ref="K904" r:id="rId900" display="http://school.gyo6.net/adys"/>
    <hyperlink ref="K905" r:id="rId901" display="http://school.gyo6.net/pcps"/>
    <hyperlink ref="K906" r:id="rId902" display="http://school.gyo6.net/andong"/>
    <hyperlink ref="K907" r:id="rId903" display="http://school.gyo6.net/chipumes"/>
    <hyperlink ref="K908" r:id="rId904" display="http://school.gyo6.net/seobues"/>
    <hyperlink ref="K909" r:id="rId905" display="http://school.gyo6.net/yjjae"/>
    <hyperlink ref="K910" r:id="rId906" display="http://school.gyo6.net/pgb"/>
    <hyperlink ref="K911" r:id="rId907" display="http://school.gyo6.net/kogyung"/>
    <hyperlink ref="K912" r:id="rId908" display="http://school.gyo6.net/ycsnms"/>
    <hyperlink ref="K913" r:id="rId909" display="http://school.gyo6.net/uljeodonges"/>
    <hyperlink ref="K914" r:id="rId910" display="http://school.gyo6.net/onjunges"/>
    <hyperlink ref="K915" r:id="rId911" display="http://school.gyo6.net/an-gyees"/>
    <hyperlink ref="K916" r:id="rId912" display="http://school.gyo6.net/daegyo"/>
    <hyperlink ref="K917" r:id="rId913" display="http://school.gyo6.net/yakmokes"/>
    <hyperlink ref="K918" r:id="rId914" display="http://school.gyo6.net/janggokes"/>
    <hyperlink ref="K919" r:id="rId915" display="http://school.gyo6.net/waegwan"/>
    <hyperlink ref="K920" r:id="rId916" display="http://school.gyo6.net/janggok"/>
    <hyperlink ref="K921" r:id="rId917" display="http://school.gyo6.net/daei"/>
    <hyperlink ref="K922" r:id="rId918" display="http://school.gyo6.net/chogok"/>
    <hyperlink ref="K923" r:id="rId919" display="http://school.gyo6.net/phdh"/>
    <hyperlink ref="K924" r:id="rId920" display="http://school.gyo6.net/posco"/>
    <hyperlink ref="K925" r:id="rId921" display="http://school.gyo6.net/phja"/>
    <hyperlink ref="K926" r:id="rId922" display="http://school.gyo6.net/phpentaes"/>
    <hyperlink ref="K927" r:id="rId923" display="http://school.gyo6.net/ph-g"/>
    <hyperlink ref="K928" r:id="rId924" display="http://school.gyo6.net/pocheolms"/>
    <hyperlink ref="K929" r:id="rId925" display="http://school.gyo6.net/heunghaems"/>
    <hyperlink ref="K930" r:id="rId926" display="http://gjyongso-p.gne.go.kr/gjyongso-p/main.do"/>
    <hyperlink ref="K931" r:id="rId927" display="http://gyearyong-p.gne.go.kr/gyearyong-p/main.do"/>
    <hyperlink ref="K932" r:id="rId928" display="http://suweol-p.gne.go.kr"/>
    <hyperlink ref="K933" r:id="rId929" display="http://goseong-p.gne.go.kr"/>
    <hyperlink ref="K934" r:id="rId930" display="http://kumbul-h.gne.go.kr"/>
    <hyperlink ref="K935" r:id="rId931" display="http://milseong-h.gne.go.kr"/>
    <hyperlink ref="K936" r:id="rId932" display="http://sacheon-h.gne.go.kr"/>
    <hyperlink ref="K937" r:id="rId933" display="http://ysai-h.gne.go.kr"/>
    <hyperlink ref="K938" r:id="rId934" display="http://jeungsan-h.gne.go.kr"/>
    <hyperlink ref="K939" r:id="rId935" display="http://gshs-h.gne.go.kr"/>
    <hyperlink ref="K940" r:id="rId936" display="http://masanjeil-h.gne.go.kr"/>
    <hyperlink ref="K941" r:id="rId937" display="http://msja-h.gne.go.kr"/>
    <hyperlink ref="K942" r:id="rId938" display="http://cwgyeongilg-h.gne.go.kr"/>
    <hyperlink ref="K943" r:id="rId939" display="http://changwon-h.gne.go.kr"/>
    <hyperlink ref="K944" r:id="rId940" display="http://cwnam-h.gne.go.kr"/>
    <hyperlink ref="K945" r:id="rId941" display="http://changwonbukmyeon-h.gne.go.kr"/>
    <hyperlink ref="K946" r:id="rId942" display="http://sungmin-h.gne.go.kr"/>
    <hyperlink ref="K947" r:id="rId943" display="http://towol-h.gne.go.kr"/>
    <hyperlink ref="K948" r:id="rId944" display="http://gunbuk-h.gne.go.kr"/>
    <hyperlink ref="K949" r:id="rId945" display="http://chirwon-h.gne.go.kr"/>
    <hyperlink ref="K950" r:id="rId946" display="http://gh-kwandong-p.gne.go.kr"/>
    <hyperlink ref="K951" r:id="rId947" display="http://samkae-p.gne.go.kr/samkae-p/main.do"/>
    <hyperlink ref="K952" r:id="rId948" display="http://jillye-p.gne.go.kr"/>
    <hyperlink ref="K953" r:id="rId949" display="http://miribeol-p.gne.go.kr/miribeol-p/main.do"/>
    <hyperlink ref="K954" r:id="rId950" display="http://mgs-m.gne.go.kr"/>
    <hyperlink ref="K955" r:id="rId951" display="http://sanam-p.gne.go.kr"/>
    <hyperlink ref="K956" r:id="rId952" display="http://sincheon-p.gne.go.kr"/>
    <hyperlink ref="K957" r:id="rId953" display="http://ganam-p.gne.go.kr"/>
    <hyperlink ref="K958" r:id="rId954" display="http://yssingi-p.gne.go.kr"/>
    <hyperlink ref="K959" r:id="rId955" display="http://jeungsan-p.gne.go.kr"/>
    <hyperlink ref="K960" r:id="rId956" display="http://namkang-p.gne.go.kr"/>
    <hyperlink ref="K961" r:id="rId957" display="http://jinseongcho-p.gne.go.kr"/>
    <hyperlink ref="K962" r:id="rId958" display="http://gaeyang-m.gne.go.kr"/>
    <hyperlink ref="K963" r:id="rId959" display="http://daehap-p.gne.go.kr"/>
    <hyperlink ref="K964" r:id="rId960" display="http://changnyeong-p.gne.go.kr"/>
    <hyperlink ref="K965" r:id="rId961" display="http://gamcheon-p.gne.go.kr"/>
    <hyperlink ref="K966" r:id="rId962" display="http://gusan-p.gne.go.kr"/>
    <hyperlink ref="K967" r:id="rId963" display="http://msgowoon-p.gne.go.kr"/>
    <hyperlink ref="K968" r:id="rId964" display="http://myeonggok-p.gne.go.kr"/>
    <hyperlink ref="K969" r:id="rId965" display="http://myungdo-p.gne.go.kr/myungdo-p/main.do"/>
    <hyperlink ref="K970" r:id="rId966" display="http://sangil-p.gne.go.kr"/>
    <hyperlink ref="K971" r:id="rId967" display="http://cwwooam-p.gne.go.kr/cwwooam-p/main.do"/>
    <hyperlink ref="K972" r:id="rId968" display="http://jindong-p.gne.go.kr"/>
    <hyperlink ref="K973" r:id="rId969" display="http://yangdeok-m.gne.go.kr"/>
    <hyperlink ref="K974" r:id="rId970" display="http://euishin-m.gne.go.kr"/>
    <hyperlink ref="K975" r:id="rId971" display="http://tydosan-p.gne.go.kr"/>
    <hyperlink ref="K976" r:id="rId972" display="http://yuyeong-p.gne.go.kr"/>
    <hyperlink ref="K977" r:id="rId973" display="http://juklim-p.gne.go.kr"/>
    <hyperlink ref="K978" r:id="rId974" display="http://hoam-p.gne.go.kr"/>
    <hyperlink ref="K979" r:id="rId975" display="http://seogwipo.jje.hs.kr"/>
    <hyperlink ref="K980" r:id="rId976" display="http://sgpo.jje.hs.kr"/>
    <hyperlink ref="K981" r:id="rId977" display="http://www.daykey.hs.kr"/>
    <hyperlink ref="K982" r:id="rId978" display="http://school.jje.go.kr/ohyun-h"/>
    <hyperlink ref="K983" r:id="rId979" display="http://jeju-g.jje.hs.kr"/>
    <hyperlink ref="K984" r:id="rId980" display="http://jejugc.jje.hs.kr"/>
    <hyperlink ref="K985" r:id="rId981" display="http://jeil.jje.hs.kr"/>
    <hyperlink ref="K986" r:id="rId982" display="http://jungang.jje.hs.kr"/>
    <hyperlink ref="K987" r:id="rId983" display="http://seoho.jje.es.kr"/>
    <hyperlink ref="K988" r:id="rId984" display="http://bn.jje.es.kr"/>
    <hyperlink ref="K989" r:id="rId985" display="http://hallim.jje.es.k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8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34"/>
    <col collapsed="false" customWidth="true" hidden="false" outlineLevel="0" max="12" min="12" style="0" width="46"/>
    <col collapsed="false" customWidth="true" hidden="false" outlineLevel="0" max="14" min="13" style="0" width="8"/>
    <col collapsed="false" customWidth="true" hidden="false" outlineLevel="0" max="16" min="15" style="0" width="11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34"/>
  </cols>
  <sheetData>
    <row r="1" customFormat="false" ht="21.6" hidden="false" customHeight="false" outlineLevel="0" collapsed="false">
      <c r="A1" s="1" t="s">
        <v>4295</v>
      </c>
    </row>
    <row r="2" customFormat="false" ht="15" hidden="false" customHeight="false" outlineLevel="0" collapsed="false">
      <c r="A2" s="2" t="s">
        <v>78</v>
      </c>
    </row>
    <row r="4" customFormat="false" ht="30" hidden="false" customHeight="true" outlineLevel="0" collapsed="false">
      <c r="A4" s="5" t="s">
        <v>79</v>
      </c>
      <c r="B4" s="4" t="s">
        <v>3</v>
      </c>
      <c r="C4" s="4" t="s">
        <v>80</v>
      </c>
      <c r="D4" s="4" t="s">
        <v>81</v>
      </c>
      <c r="E4" s="4" t="s">
        <v>82</v>
      </c>
      <c r="F4" s="4" t="s">
        <v>83</v>
      </c>
      <c r="G4" s="4" t="s">
        <v>84</v>
      </c>
      <c r="H4" s="4" t="s">
        <v>85</v>
      </c>
      <c r="I4" s="5" t="s">
        <v>4296</v>
      </c>
      <c r="J4" s="4" t="s">
        <v>87</v>
      </c>
      <c r="K4" s="4" t="s">
        <v>88</v>
      </c>
      <c r="L4" s="4" t="s">
        <v>89</v>
      </c>
      <c r="M4" s="4" t="s">
        <v>90</v>
      </c>
      <c r="N4" s="4" t="s">
        <v>91</v>
      </c>
      <c r="O4" s="20" t="s">
        <v>92</v>
      </c>
      <c r="P4" s="20" t="s">
        <v>93</v>
      </c>
      <c r="Q4" s="20" t="s">
        <v>94</v>
      </c>
      <c r="R4" s="21" t="s">
        <v>95</v>
      </c>
      <c r="S4" s="20" t="s">
        <v>96</v>
      </c>
    </row>
    <row r="5" customFormat="false" ht="15" hidden="false" customHeight="false" outlineLevel="0" collapsed="false">
      <c r="A5" s="7" t="n">
        <v>1</v>
      </c>
      <c r="B5" s="9" t="s">
        <v>13</v>
      </c>
      <c r="C5" s="23"/>
      <c r="D5" s="7"/>
      <c r="E5" s="9" t="s">
        <v>49</v>
      </c>
      <c r="F5" s="7"/>
      <c r="G5" s="22" t="s">
        <v>4297</v>
      </c>
      <c r="H5" s="9" t="s">
        <v>4298</v>
      </c>
      <c r="I5" s="7"/>
      <c r="J5" s="23"/>
      <c r="K5" s="23"/>
      <c r="L5" s="23"/>
      <c r="M5" s="25"/>
      <c r="N5" s="25"/>
      <c r="O5" s="26"/>
      <c r="P5" s="27"/>
      <c r="Q5" s="28"/>
      <c r="R5" s="28"/>
      <c r="S5" s="29" t="s">
        <v>4299</v>
      </c>
    </row>
    <row r="6" customFormat="false" ht="15" hidden="false" customHeight="false" outlineLevel="0" collapsed="false">
      <c r="A6" s="7" t="n">
        <v>2</v>
      </c>
      <c r="B6" s="9" t="s">
        <v>13</v>
      </c>
      <c r="C6" s="22" t="s">
        <v>97</v>
      </c>
      <c r="D6" s="9" t="s">
        <v>98</v>
      </c>
      <c r="E6" s="9" t="s">
        <v>47</v>
      </c>
      <c r="F6" s="9" t="s">
        <v>99</v>
      </c>
      <c r="G6" s="22" t="s">
        <v>4300</v>
      </c>
      <c r="H6" s="9" t="s">
        <v>4298</v>
      </c>
      <c r="I6" s="7"/>
      <c r="J6" s="23" t="s">
        <v>4301</v>
      </c>
      <c r="K6" s="24" t="s">
        <v>4302</v>
      </c>
      <c r="L6" s="22" t="s">
        <v>4303</v>
      </c>
      <c r="M6" s="25"/>
      <c r="N6" s="25"/>
      <c r="O6" s="26"/>
      <c r="P6" s="27"/>
      <c r="Q6" s="28"/>
      <c r="R6" s="28"/>
      <c r="S6" s="26"/>
    </row>
    <row r="7" customFormat="false" ht="15" hidden="false" customHeight="false" outlineLevel="0" collapsed="false">
      <c r="A7" s="7" t="n">
        <v>3</v>
      </c>
      <c r="B7" s="9" t="s">
        <v>13</v>
      </c>
      <c r="C7" s="22" t="s">
        <v>97</v>
      </c>
      <c r="D7" s="9" t="s">
        <v>98</v>
      </c>
      <c r="E7" s="9" t="s">
        <v>47</v>
      </c>
      <c r="F7" s="9" t="s">
        <v>99</v>
      </c>
      <c r="G7" s="22" t="s">
        <v>4304</v>
      </c>
      <c r="H7" s="9" t="s">
        <v>4298</v>
      </c>
      <c r="I7" s="7"/>
      <c r="J7" s="23" t="s">
        <v>4305</v>
      </c>
      <c r="K7" s="24" t="s">
        <v>4306</v>
      </c>
      <c r="L7" s="22" t="s">
        <v>4307</v>
      </c>
      <c r="M7" s="25"/>
      <c r="N7" s="25"/>
      <c r="O7" s="26"/>
      <c r="P7" s="27"/>
      <c r="Q7" s="28"/>
      <c r="R7" s="28"/>
      <c r="S7" s="26"/>
    </row>
    <row r="8" customFormat="false" ht="15" hidden="false" customHeight="false" outlineLevel="0" collapsed="false">
      <c r="A8" s="7" t="n">
        <v>4</v>
      </c>
      <c r="B8" s="9" t="s">
        <v>13</v>
      </c>
      <c r="C8" s="22" t="s">
        <v>97</v>
      </c>
      <c r="D8" s="9" t="s">
        <v>98</v>
      </c>
      <c r="E8" s="9" t="s">
        <v>47</v>
      </c>
      <c r="F8" s="9" t="s">
        <v>99</v>
      </c>
      <c r="G8" s="22" t="s">
        <v>4308</v>
      </c>
      <c r="H8" s="9" t="s">
        <v>4298</v>
      </c>
      <c r="I8" s="7"/>
      <c r="J8" s="23" t="s">
        <v>4309</v>
      </c>
      <c r="K8" s="24" t="s">
        <v>4310</v>
      </c>
      <c r="L8" s="22" t="s">
        <v>4311</v>
      </c>
      <c r="M8" s="25"/>
      <c r="N8" s="25"/>
      <c r="O8" s="26"/>
      <c r="P8" s="27"/>
      <c r="Q8" s="28"/>
      <c r="R8" s="28"/>
      <c r="S8" s="26"/>
    </row>
    <row r="9" customFormat="false" ht="15" hidden="false" customHeight="false" outlineLevel="0" collapsed="false">
      <c r="A9" s="7" t="n">
        <v>5</v>
      </c>
      <c r="B9" s="9" t="s">
        <v>13</v>
      </c>
      <c r="C9" s="22" t="s">
        <v>97</v>
      </c>
      <c r="D9" s="9" t="s">
        <v>98</v>
      </c>
      <c r="E9" s="9" t="s">
        <v>47</v>
      </c>
      <c r="F9" s="9" t="s">
        <v>99</v>
      </c>
      <c r="G9" s="22" t="s">
        <v>4312</v>
      </c>
      <c r="H9" s="9" t="s">
        <v>4298</v>
      </c>
      <c r="I9" s="7"/>
      <c r="J9" s="23" t="s">
        <v>4313</v>
      </c>
      <c r="K9" s="24" t="s">
        <v>4314</v>
      </c>
      <c r="L9" s="22" t="s">
        <v>4315</v>
      </c>
      <c r="M9" s="25"/>
      <c r="N9" s="25"/>
      <c r="O9" s="26"/>
      <c r="P9" s="27"/>
      <c r="Q9" s="28"/>
      <c r="R9" s="28"/>
      <c r="S9" s="26"/>
    </row>
    <row r="10" customFormat="false" ht="15" hidden="false" customHeight="false" outlineLevel="0" collapsed="false">
      <c r="A10" s="7" t="n">
        <v>6</v>
      </c>
      <c r="B10" s="9" t="s">
        <v>13</v>
      </c>
      <c r="C10" s="22" t="s">
        <v>97</v>
      </c>
      <c r="D10" s="9" t="s">
        <v>98</v>
      </c>
      <c r="E10" s="9" t="s">
        <v>47</v>
      </c>
      <c r="F10" s="9" t="s">
        <v>99</v>
      </c>
      <c r="G10" s="22" t="s">
        <v>4316</v>
      </c>
      <c r="H10" s="9" t="s">
        <v>4298</v>
      </c>
      <c r="I10" s="7"/>
      <c r="J10" s="23" t="s">
        <v>4317</v>
      </c>
      <c r="K10" s="24" t="s">
        <v>4318</v>
      </c>
      <c r="L10" s="22" t="s">
        <v>4319</v>
      </c>
      <c r="M10" s="25"/>
      <c r="N10" s="25"/>
      <c r="O10" s="26"/>
      <c r="P10" s="27"/>
      <c r="Q10" s="28"/>
      <c r="R10" s="28"/>
      <c r="S10" s="26"/>
    </row>
    <row r="11" customFormat="false" ht="15" hidden="false" customHeight="false" outlineLevel="0" collapsed="false">
      <c r="A11" s="7" t="n">
        <v>7</v>
      </c>
      <c r="B11" s="9" t="s">
        <v>13</v>
      </c>
      <c r="C11" s="22" t="s">
        <v>97</v>
      </c>
      <c r="D11" s="9" t="s">
        <v>98</v>
      </c>
      <c r="E11" s="9" t="s">
        <v>47</v>
      </c>
      <c r="F11" s="9" t="s">
        <v>99</v>
      </c>
      <c r="G11" s="22" t="s">
        <v>4320</v>
      </c>
      <c r="H11" s="9" t="s">
        <v>4298</v>
      </c>
      <c r="I11" s="7"/>
      <c r="J11" s="23" t="s">
        <v>4321</v>
      </c>
      <c r="K11" s="24" t="s">
        <v>4322</v>
      </c>
      <c r="L11" s="22" t="s">
        <v>4323</v>
      </c>
      <c r="M11" s="25"/>
      <c r="N11" s="25"/>
      <c r="O11" s="26"/>
      <c r="P11" s="27"/>
      <c r="Q11" s="28"/>
      <c r="R11" s="28"/>
      <c r="S11" s="26"/>
    </row>
    <row r="12" customFormat="false" ht="15" hidden="false" customHeight="false" outlineLevel="0" collapsed="false">
      <c r="A12" s="7" t="n">
        <v>8</v>
      </c>
      <c r="B12" s="9" t="s">
        <v>13</v>
      </c>
      <c r="C12" s="22" t="s">
        <v>97</v>
      </c>
      <c r="D12" s="9" t="s">
        <v>98</v>
      </c>
      <c r="E12" s="9" t="s">
        <v>48</v>
      </c>
      <c r="F12" s="9" t="s">
        <v>99</v>
      </c>
      <c r="G12" s="22" t="s">
        <v>4324</v>
      </c>
      <c r="H12" s="9" t="s">
        <v>4298</v>
      </c>
      <c r="I12" s="7"/>
      <c r="J12" s="23" t="s">
        <v>4325</v>
      </c>
      <c r="K12" s="24" t="s">
        <v>4326</v>
      </c>
      <c r="L12" s="22" t="s">
        <v>4327</v>
      </c>
      <c r="M12" s="25"/>
      <c r="N12" s="25"/>
      <c r="O12" s="26"/>
      <c r="P12" s="27"/>
      <c r="Q12" s="28"/>
      <c r="R12" s="28"/>
      <c r="S12" s="26"/>
    </row>
    <row r="13" customFormat="false" ht="15" hidden="false" customHeight="false" outlineLevel="0" collapsed="false">
      <c r="A13" s="7" t="n">
        <v>9</v>
      </c>
      <c r="B13" s="9" t="s">
        <v>13</v>
      </c>
      <c r="C13" s="22" t="s">
        <v>97</v>
      </c>
      <c r="D13" s="9" t="s">
        <v>98</v>
      </c>
      <c r="E13" s="9" t="s">
        <v>48</v>
      </c>
      <c r="F13" s="9" t="s">
        <v>99</v>
      </c>
      <c r="G13" s="22" t="s">
        <v>4328</v>
      </c>
      <c r="H13" s="9" t="s">
        <v>4298</v>
      </c>
      <c r="I13" s="7"/>
      <c r="J13" s="23" t="s">
        <v>4329</v>
      </c>
      <c r="K13" s="24" t="s">
        <v>4330</v>
      </c>
      <c r="L13" s="22" t="s">
        <v>4331</v>
      </c>
      <c r="M13" s="25"/>
      <c r="N13" s="25"/>
      <c r="O13" s="26"/>
      <c r="P13" s="27"/>
      <c r="Q13" s="28"/>
      <c r="R13" s="28"/>
      <c r="S13" s="26"/>
    </row>
    <row r="14" customFormat="false" ht="15" hidden="false" customHeight="false" outlineLevel="0" collapsed="false">
      <c r="A14" s="7" t="n">
        <v>10</v>
      </c>
      <c r="B14" s="9" t="s">
        <v>13</v>
      </c>
      <c r="C14" s="22" t="s">
        <v>97</v>
      </c>
      <c r="D14" s="9" t="s">
        <v>98</v>
      </c>
      <c r="E14" s="9" t="s">
        <v>48</v>
      </c>
      <c r="F14" s="9" t="s">
        <v>99</v>
      </c>
      <c r="G14" s="22" t="s">
        <v>4332</v>
      </c>
      <c r="H14" s="9" t="s">
        <v>4298</v>
      </c>
      <c r="I14" s="7"/>
      <c r="J14" s="23" t="s">
        <v>4333</v>
      </c>
      <c r="K14" s="24" t="s">
        <v>4334</v>
      </c>
      <c r="L14" s="22" t="s">
        <v>4335</v>
      </c>
      <c r="M14" s="25"/>
      <c r="N14" s="25"/>
      <c r="O14" s="26"/>
      <c r="P14" s="27"/>
      <c r="Q14" s="28"/>
      <c r="R14" s="28"/>
      <c r="S14" s="26"/>
    </row>
    <row r="15" customFormat="false" ht="15" hidden="false" customHeight="false" outlineLevel="0" collapsed="false">
      <c r="A15" s="7" t="n">
        <v>11</v>
      </c>
      <c r="B15" s="9" t="s">
        <v>13</v>
      </c>
      <c r="C15" s="22" t="s">
        <v>97</v>
      </c>
      <c r="D15" s="9" t="s">
        <v>129</v>
      </c>
      <c r="E15" s="9" t="s">
        <v>47</v>
      </c>
      <c r="F15" s="9" t="s">
        <v>99</v>
      </c>
      <c r="G15" s="22" t="s">
        <v>4336</v>
      </c>
      <c r="H15" s="9" t="s">
        <v>4298</v>
      </c>
      <c r="I15" s="7"/>
      <c r="J15" s="23" t="s">
        <v>4337</v>
      </c>
      <c r="K15" s="24" t="s">
        <v>4338</v>
      </c>
      <c r="L15" s="22" t="s">
        <v>4339</v>
      </c>
      <c r="M15" s="25"/>
      <c r="N15" s="25"/>
      <c r="O15" s="26"/>
      <c r="P15" s="27"/>
      <c r="Q15" s="28"/>
      <c r="R15" s="28"/>
      <c r="S15" s="26"/>
    </row>
    <row r="16" customFormat="false" ht="15" hidden="false" customHeight="false" outlineLevel="0" collapsed="false">
      <c r="A16" s="7" t="n">
        <v>12</v>
      </c>
      <c r="B16" s="9" t="s">
        <v>13</v>
      </c>
      <c r="C16" s="22" t="s">
        <v>97</v>
      </c>
      <c r="D16" s="9" t="s">
        <v>129</v>
      </c>
      <c r="E16" s="9" t="s">
        <v>47</v>
      </c>
      <c r="F16" s="9" t="s">
        <v>99</v>
      </c>
      <c r="G16" s="22" t="s">
        <v>4340</v>
      </c>
      <c r="H16" s="9" t="s">
        <v>4298</v>
      </c>
      <c r="I16" s="7"/>
      <c r="J16" s="23" t="s">
        <v>4341</v>
      </c>
      <c r="K16" s="24" t="s">
        <v>4342</v>
      </c>
      <c r="L16" s="22" t="s">
        <v>4343</v>
      </c>
      <c r="M16" s="25"/>
      <c r="N16" s="25"/>
      <c r="O16" s="26"/>
      <c r="P16" s="27"/>
      <c r="Q16" s="28"/>
      <c r="R16" s="28"/>
      <c r="S16" s="26"/>
    </row>
    <row r="17" customFormat="false" ht="15" hidden="false" customHeight="false" outlineLevel="0" collapsed="false">
      <c r="A17" s="7" t="n">
        <v>13</v>
      </c>
      <c r="B17" s="9" t="s">
        <v>13</v>
      </c>
      <c r="C17" s="22" t="s">
        <v>97</v>
      </c>
      <c r="D17" s="9" t="s">
        <v>129</v>
      </c>
      <c r="E17" s="9" t="s">
        <v>48</v>
      </c>
      <c r="F17" s="9" t="s">
        <v>99</v>
      </c>
      <c r="G17" s="22" t="s">
        <v>4344</v>
      </c>
      <c r="H17" s="9" t="s">
        <v>4298</v>
      </c>
      <c r="I17" s="7"/>
      <c r="J17" s="23" t="s">
        <v>4345</v>
      </c>
      <c r="K17" s="24" t="s">
        <v>4346</v>
      </c>
      <c r="L17" s="22" t="s">
        <v>4347</v>
      </c>
      <c r="M17" s="25"/>
      <c r="N17" s="25"/>
      <c r="O17" s="26"/>
      <c r="P17" s="27"/>
      <c r="Q17" s="28"/>
      <c r="R17" s="28"/>
      <c r="S17" s="26"/>
    </row>
    <row r="18" customFormat="false" ht="15" hidden="false" customHeight="false" outlineLevel="0" collapsed="false">
      <c r="A18" s="7" t="n">
        <v>14</v>
      </c>
      <c r="B18" s="9" t="s">
        <v>13</v>
      </c>
      <c r="C18" s="22" t="s">
        <v>97</v>
      </c>
      <c r="D18" s="9" t="s">
        <v>129</v>
      </c>
      <c r="E18" s="9" t="s">
        <v>48</v>
      </c>
      <c r="F18" s="9" t="s">
        <v>124</v>
      </c>
      <c r="G18" s="22" t="s">
        <v>4348</v>
      </c>
      <c r="H18" s="9" t="s">
        <v>4298</v>
      </c>
      <c r="I18" s="7"/>
      <c r="J18" s="23" t="s">
        <v>4349</v>
      </c>
      <c r="K18" s="24" t="s">
        <v>4350</v>
      </c>
      <c r="L18" s="22" t="s">
        <v>432</v>
      </c>
      <c r="M18" s="25"/>
      <c r="N18" s="25"/>
      <c r="O18" s="26"/>
      <c r="P18" s="27"/>
      <c r="Q18" s="28"/>
      <c r="R18" s="28"/>
      <c r="S18" s="26"/>
    </row>
    <row r="19" customFormat="false" ht="15" hidden="false" customHeight="false" outlineLevel="0" collapsed="false">
      <c r="A19" s="7" t="n">
        <v>15</v>
      </c>
      <c r="B19" s="9" t="s">
        <v>13</v>
      </c>
      <c r="C19" s="22" t="s">
        <v>97</v>
      </c>
      <c r="D19" s="9" t="s">
        <v>129</v>
      </c>
      <c r="E19" s="9" t="s">
        <v>48</v>
      </c>
      <c r="F19" s="9" t="s">
        <v>99</v>
      </c>
      <c r="G19" s="22" t="s">
        <v>4351</v>
      </c>
      <c r="H19" s="9" t="s">
        <v>4298</v>
      </c>
      <c r="I19" s="7"/>
      <c r="J19" s="23" t="s">
        <v>4352</v>
      </c>
      <c r="K19" s="24" t="s">
        <v>4353</v>
      </c>
      <c r="L19" s="22" t="s">
        <v>4354</v>
      </c>
      <c r="M19" s="25"/>
      <c r="N19" s="25"/>
      <c r="O19" s="26"/>
      <c r="P19" s="27"/>
      <c r="Q19" s="28"/>
      <c r="R19" s="28"/>
      <c r="S19" s="26"/>
    </row>
    <row r="20" customFormat="false" ht="15" hidden="false" customHeight="false" outlineLevel="0" collapsed="false">
      <c r="A20" s="7" t="n">
        <v>16</v>
      </c>
      <c r="B20" s="9" t="s">
        <v>13</v>
      </c>
      <c r="C20" s="22" t="s">
        <v>97</v>
      </c>
      <c r="D20" s="9" t="s">
        <v>129</v>
      </c>
      <c r="E20" s="9" t="s">
        <v>48</v>
      </c>
      <c r="F20" s="9" t="s">
        <v>99</v>
      </c>
      <c r="G20" s="22" t="s">
        <v>4355</v>
      </c>
      <c r="H20" s="9" t="s">
        <v>4298</v>
      </c>
      <c r="I20" s="7"/>
      <c r="J20" s="23" t="s">
        <v>4356</v>
      </c>
      <c r="K20" s="24" t="s">
        <v>4357</v>
      </c>
      <c r="L20" s="22" t="s">
        <v>4358</v>
      </c>
      <c r="M20" s="25"/>
      <c r="N20" s="25"/>
      <c r="O20" s="26"/>
      <c r="P20" s="27"/>
      <c r="Q20" s="28"/>
      <c r="R20" s="28"/>
      <c r="S20" s="26"/>
    </row>
    <row r="21" customFormat="false" ht="15" hidden="false" customHeight="false" outlineLevel="0" collapsed="false">
      <c r="A21" s="7" t="n">
        <v>17</v>
      </c>
      <c r="B21" s="9" t="s">
        <v>13</v>
      </c>
      <c r="C21" s="22" t="s">
        <v>97</v>
      </c>
      <c r="D21" s="9" t="s">
        <v>129</v>
      </c>
      <c r="E21" s="9" t="s">
        <v>48</v>
      </c>
      <c r="F21" s="9" t="s">
        <v>99</v>
      </c>
      <c r="G21" s="22" t="s">
        <v>4359</v>
      </c>
      <c r="H21" s="9" t="s">
        <v>4298</v>
      </c>
      <c r="I21" s="7"/>
      <c r="J21" s="23" t="s">
        <v>4360</v>
      </c>
      <c r="K21" s="24" t="s">
        <v>4361</v>
      </c>
      <c r="L21" s="22" t="s">
        <v>4362</v>
      </c>
      <c r="M21" s="25"/>
      <c r="N21" s="25"/>
      <c r="O21" s="26"/>
      <c r="P21" s="27"/>
      <c r="Q21" s="28"/>
      <c r="R21" s="28"/>
      <c r="S21" s="26"/>
    </row>
    <row r="22" customFormat="false" ht="15" hidden="false" customHeight="false" outlineLevel="0" collapsed="false">
      <c r="A22" s="7" t="n">
        <v>18</v>
      </c>
      <c r="B22" s="9" t="s">
        <v>13</v>
      </c>
      <c r="C22" s="22" t="s">
        <v>97</v>
      </c>
      <c r="D22" s="9" t="s">
        <v>129</v>
      </c>
      <c r="E22" s="9" t="s">
        <v>48</v>
      </c>
      <c r="F22" s="9" t="s">
        <v>99</v>
      </c>
      <c r="G22" s="22" t="s">
        <v>4363</v>
      </c>
      <c r="H22" s="9" t="s">
        <v>4298</v>
      </c>
      <c r="I22" s="7"/>
      <c r="J22" s="23" t="s">
        <v>4364</v>
      </c>
      <c r="K22" s="24" t="s">
        <v>4365</v>
      </c>
      <c r="L22" s="22" t="s">
        <v>4366</v>
      </c>
      <c r="M22" s="25"/>
      <c r="N22" s="25"/>
      <c r="O22" s="26"/>
      <c r="P22" s="27"/>
      <c r="Q22" s="28"/>
      <c r="R22" s="28"/>
      <c r="S22" s="26"/>
    </row>
    <row r="23" customFormat="false" ht="15" hidden="false" customHeight="false" outlineLevel="0" collapsed="false">
      <c r="A23" s="7" t="n">
        <v>19</v>
      </c>
      <c r="B23" s="9" t="s">
        <v>13</v>
      </c>
      <c r="C23" s="22" t="s">
        <v>158</v>
      </c>
      <c r="D23" s="9" t="s">
        <v>159</v>
      </c>
      <c r="E23" s="9" t="s">
        <v>47</v>
      </c>
      <c r="F23" s="9" t="s">
        <v>99</v>
      </c>
      <c r="G23" s="22" t="s">
        <v>4367</v>
      </c>
      <c r="H23" s="9" t="s">
        <v>4298</v>
      </c>
      <c r="I23" s="7"/>
      <c r="J23" s="23" t="s">
        <v>4368</v>
      </c>
      <c r="K23" s="24" t="s">
        <v>4369</v>
      </c>
      <c r="L23" s="22" t="s">
        <v>4370</v>
      </c>
      <c r="M23" s="25"/>
      <c r="N23" s="25"/>
      <c r="O23" s="26"/>
      <c r="P23" s="27"/>
      <c r="Q23" s="28"/>
      <c r="R23" s="28"/>
      <c r="S23" s="26"/>
    </row>
    <row r="24" customFormat="false" ht="15" hidden="false" customHeight="false" outlineLevel="0" collapsed="false">
      <c r="A24" s="7" t="n">
        <v>20</v>
      </c>
      <c r="B24" s="9" t="s">
        <v>13</v>
      </c>
      <c r="C24" s="22" t="s">
        <v>158</v>
      </c>
      <c r="D24" s="9" t="s">
        <v>159</v>
      </c>
      <c r="E24" s="9" t="s">
        <v>47</v>
      </c>
      <c r="F24" s="9" t="s">
        <v>99</v>
      </c>
      <c r="G24" s="22" t="s">
        <v>4371</v>
      </c>
      <c r="H24" s="9" t="s">
        <v>4298</v>
      </c>
      <c r="I24" s="7"/>
      <c r="J24" s="23" t="s">
        <v>4372</v>
      </c>
      <c r="K24" s="24" t="s">
        <v>4373</v>
      </c>
      <c r="L24" s="22" t="s">
        <v>4374</v>
      </c>
      <c r="M24" s="25"/>
      <c r="N24" s="25"/>
      <c r="O24" s="26"/>
      <c r="P24" s="27"/>
      <c r="Q24" s="28"/>
      <c r="R24" s="28"/>
      <c r="S24" s="26"/>
    </row>
    <row r="25" customFormat="false" ht="15" hidden="false" customHeight="false" outlineLevel="0" collapsed="false">
      <c r="A25" s="7" t="n">
        <v>21</v>
      </c>
      <c r="B25" s="9" t="s">
        <v>13</v>
      </c>
      <c r="C25" s="22" t="s">
        <v>158</v>
      </c>
      <c r="D25" s="9" t="s">
        <v>159</v>
      </c>
      <c r="E25" s="9" t="s">
        <v>47</v>
      </c>
      <c r="F25" s="9" t="s">
        <v>99</v>
      </c>
      <c r="G25" s="22" t="s">
        <v>4375</v>
      </c>
      <c r="H25" s="9" t="s">
        <v>4298</v>
      </c>
      <c r="I25" s="7"/>
      <c r="J25" s="23" t="s">
        <v>4376</v>
      </c>
      <c r="K25" s="24" t="s">
        <v>4377</v>
      </c>
      <c r="L25" s="22" t="s">
        <v>4378</v>
      </c>
      <c r="M25" s="25"/>
      <c r="N25" s="25"/>
      <c r="O25" s="26"/>
      <c r="P25" s="27"/>
      <c r="Q25" s="28"/>
      <c r="R25" s="28"/>
      <c r="S25" s="26"/>
    </row>
    <row r="26" customFormat="false" ht="15" hidden="false" customHeight="false" outlineLevel="0" collapsed="false">
      <c r="A26" s="7" t="n">
        <v>22</v>
      </c>
      <c r="B26" s="9" t="s">
        <v>13</v>
      </c>
      <c r="C26" s="22" t="s">
        <v>158</v>
      </c>
      <c r="D26" s="9" t="s">
        <v>159</v>
      </c>
      <c r="E26" s="9" t="s">
        <v>47</v>
      </c>
      <c r="F26" s="9" t="s">
        <v>99</v>
      </c>
      <c r="G26" s="22" t="s">
        <v>4379</v>
      </c>
      <c r="H26" s="9" t="s">
        <v>4298</v>
      </c>
      <c r="I26" s="7"/>
      <c r="J26" s="23" t="s">
        <v>4380</v>
      </c>
      <c r="K26" s="24" t="s">
        <v>4381</v>
      </c>
      <c r="L26" s="22" t="s">
        <v>4382</v>
      </c>
      <c r="M26" s="25"/>
      <c r="N26" s="25"/>
      <c r="O26" s="26"/>
      <c r="P26" s="27"/>
      <c r="Q26" s="28"/>
      <c r="R26" s="28"/>
      <c r="S26" s="26"/>
    </row>
    <row r="27" customFormat="false" ht="15" hidden="false" customHeight="false" outlineLevel="0" collapsed="false">
      <c r="A27" s="7" t="n">
        <v>23</v>
      </c>
      <c r="B27" s="9" t="s">
        <v>13</v>
      </c>
      <c r="C27" s="22" t="s">
        <v>158</v>
      </c>
      <c r="D27" s="9" t="s">
        <v>159</v>
      </c>
      <c r="E27" s="9" t="s">
        <v>47</v>
      </c>
      <c r="F27" s="9" t="s">
        <v>99</v>
      </c>
      <c r="G27" s="22" t="s">
        <v>4383</v>
      </c>
      <c r="H27" s="9" t="s">
        <v>4298</v>
      </c>
      <c r="I27" s="7"/>
      <c r="J27" s="23" t="s">
        <v>4384</v>
      </c>
      <c r="K27" s="24" t="s">
        <v>4385</v>
      </c>
      <c r="L27" s="22" t="s">
        <v>4386</v>
      </c>
      <c r="M27" s="25"/>
      <c r="N27" s="25"/>
      <c r="O27" s="26"/>
      <c r="P27" s="27"/>
      <c r="Q27" s="28"/>
      <c r="R27" s="28"/>
      <c r="S27" s="26"/>
    </row>
    <row r="28" customFormat="false" ht="15" hidden="false" customHeight="false" outlineLevel="0" collapsed="false">
      <c r="A28" s="7" t="n">
        <v>24</v>
      </c>
      <c r="B28" s="9" t="s">
        <v>13</v>
      </c>
      <c r="C28" s="22" t="s">
        <v>158</v>
      </c>
      <c r="D28" s="9" t="s">
        <v>159</v>
      </c>
      <c r="E28" s="9" t="s">
        <v>47</v>
      </c>
      <c r="F28" s="9" t="s">
        <v>99</v>
      </c>
      <c r="G28" s="22" t="s">
        <v>4387</v>
      </c>
      <c r="H28" s="9" t="s">
        <v>4298</v>
      </c>
      <c r="I28" s="7"/>
      <c r="J28" s="23" t="s">
        <v>4388</v>
      </c>
      <c r="K28" s="24" t="s">
        <v>4389</v>
      </c>
      <c r="L28" s="22" t="s">
        <v>4390</v>
      </c>
      <c r="M28" s="25"/>
      <c r="N28" s="25"/>
      <c r="O28" s="26"/>
      <c r="P28" s="27"/>
      <c r="Q28" s="28"/>
      <c r="R28" s="28"/>
      <c r="S28" s="26"/>
    </row>
    <row r="29" customFormat="false" ht="15" hidden="false" customHeight="false" outlineLevel="0" collapsed="false">
      <c r="A29" s="7" t="n">
        <v>25</v>
      </c>
      <c r="B29" s="9" t="s">
        <v>13</v>
      </c>
      <c r="C29" s="22" t="s">
        <v>158</v>
      </c>
      <c r="D29" s="9" t="s">
        <v>159</v>
      </c>
      <c r="E29" s="9" t="s">
        <v>47</v>
      </c>
      <c r="F29" s="9" t="s">
        <v>99</v>
      </c>
      <c r="G29" s="22" t="s">
        <v>4391</v>
      </c>
      <c r="H29" s="9" t="s">
        <v>4298</v>
      </c>
      <c r="I29" s="7"/>
      <c r="J29" s="23" t="s">
        <v>4392</v>
      </c>
      <c r="K29" s="24" t="s">
        <v>4393</v>
      </c>
      <c r="L29" s="22" t="s">
        <v>4394</v>
      </c>
      <c r="M29" s="25"/>
      <c r="N29" s="25"/>
      <c r="O29" s="26"/>
      <c r="P29" s="27"/>
      <c r="Q29" s="28"/>
      <c r="R29" s="28"/>
      <c r="S29" s="26"/>
    </row>
    <row r="30" customFormat="false" ht="15" hidden="false" customHeight="false" outlineLevel="0" collapsed="false">
      <c r="A30" s="7" t="n">
        <v>26</v>
      </c>
      <c r="B30" s="9" t="s">
        <v>13</v>
      </c>
      <c r="C30" s="22" t="s">
        <v>158</v>
      </c>
      <c r="D30" s="9" t="s">
        <v>159</v>
      </c>
      <c r="E30" s="9" t="s">
        <v>48</v>
      </c>
      <c r="F30" s="9" t="s">
        <v>124</v>
      </c>
      <c r="G30" s="22" t="s">
        <v>4395</v>
      </c>
      <c r="H30" s="9" t="s">
        <v>4298</v>
      </c>
      <c r="I30" s="7"/>
      <c r="J30" s="23" t="s">
        <v>4396</v>
      </c>
      <c r="K30" s="24" t="s">
        <v>4397</v>
      </c>
      <c r="L30" s="22" t="s">
        <v>4398</v>
      </c>
      <c r="M30" s="25"/>
      <c r="N30" s="25"/>
      <c r="O30" s="26"/>
      <c r="P30" s="27"/>
      <c r="Q30" s="28"/>
      <c r="R30" s="28"/>
      <c r="S30" s="26"/>
    </row>
    <row r="31" customFormat="false" ht="15" hidden="false" customHeight="false" outlineLevel="0" collapsed="false">
      <c r="A31" s="7" t="n">
        <v>27</v>
      </c>
      <c r="B31" s="9" t="s">
        <v>13</v>
      </c>
      <c r="C31" s="22" t="s">
        <v>158</v>
      </c>
      <c r="D31" s="9" t="s">
        <v>159</v>
      </c>
      <c r="E31" s="9" t="s">
        <v>48</v>
      </c>
      <c r="F31" s="9" t="s">
        <v>99</v>
      </c>
      <c r="G31" s="22" t="s">
        <v>3031</v>
      </c>
      <c r="H31" s="9" t="s">
        <v>4298</v>
      </c>
      <c r="I31" s="7"/>
      <c r="J31" s="23" t="s">
        <v>4399</v>
      </c>
      <c r="K31" s="24" t="s">
        <v>4400</v>
      </c>
      <c r="L31" s="22" t="s">
        <v>4401</v>
      </c>
      <c r="M31" s="25"/>
      <c r="N31" s="25"/>
      <c r="O31" s="26"/>
      <c r="P31" s="27"/>
      <c r="Q31" s="28"/>
      <c r="R31" s="28"/>
      <c r="S31" s="26"/>
    </row>
    <row r="32" customFormat="false" ht="15" hidden="false" customHeight="false" outlineLevel="0" collapsed="false">
      <c r="A32" s="7" t="n">
        <v>28</v>
      </c>
      <c r="B32" s="9" t="s">
        <v>13</v>
      </c>
      <c r="C32" s="22" t="s">
        <v>158</v>
      </c>
      <c r="D32" s="9" t="s">
        <v>159</v>
      </c>
      <c r="E32" s="9" t="s">
        <v>48</v>
      </c>
      <c r="F32" s="9" t="s">
        <v>124</v>
      </c>
      <c r="G32" s="22" t="s">
        <v>4402</v>
      </c>
      <c r="H32" s="9" t="s">
        <v>4298</v>
      </c>
      <c r="I32" s="7"/>
      <c r="J32" s="23" t="s">
        <v>4403</v>
      </c>
      <c r="K32" s="24" t="s">
        <v>4404</v>
      </c>
      <c r="L32" s="22" t="s">
        <v>4405</v>
      </c>
      <c r="M32" s="25"/>
      <c r="N32" s="25"/>
      <c r="O32" s="26"/>
      <c r="P32" s="27"/>
      <c r="Q32" s="28"/>
      <c r="R32" s="28"/>
      <c r="S32" s="26"/>
    </row>
    <row r="33" customFormat="false" ht="15" hidden="false" customHeight="false" outlineLevel="0" collapsed="false">
      <c r="A33" s="7" t="n">
        <v>29</v>
      </c>
      <c r="B33" s="9" t="s">
        <v>13</v>
      </c>
      <c r="C33" s="22" t="s">
        <v>158</v>
      </c>
      <c r="D33" s="9" t="s">
        <v>192</v>
      </c>
      <c r="E33" s="9" t="s">
        <v>47</v>
      </c>
      <c r="F33" s="9" t="s">
        <v>99</v>
      </c>
      <c r="G33" s="22" t="s">
        <v>4406</v>
      </c>
      <c r="H33" s="9" t="s">
        <v>4298</v>
      </c>
      <c r="I33" s="7"/>
      <c r="J33" s="23" t="s">
        <v>4407</v>
      </c>
      <c r="K33" s="24" t="s">
        <v>4408</v>
      </c>
      <c r="L33" s="22" t="s">
        <v>4409</v>
      </c>
      <c r="M33" s="25"/>
      <c r="N33" s="25"/>
      <c r="O33" s="26"/>
      <c r="P33" s="27"/>
      <c r="Q33" s="28"/>
      <c r="R33" s="28"/>
      <c r="S33" s="26"/>
    </row>
    <row r="34" customFormat="false" ht="15" hidden="false" customHeight="false" outlineLevel="0" collapsed="false">
      <c r="A34" s="7" t="n">
        <v>30</v>
      </c>
      <c r="B34" s="9" t="s">
        <v>13</v>
      </c>
      <c r="C34" s="22" t="s">
        <v>158</v>
      </c>
      <c r="D34" s="9" t="s">
        <v>192</v>
      </c>
      <c r="E34" s="9" t="s">
        <v>47</v>
      </c>
      <c r="F34" s="9" t="s">
        <v>99</v>
      </c>
      <c r="G34" s="22" t="s">
        <v>4410</v>
      </c>
      <c r="H34" s="9" t="s">
        <v>4298</v>
      </c>
      <c r="I34" s="7"/>
      <c r="J34" s="23" t="s">
        <v>4411</v>
      </c>
      <c r="K34" s="24" t="s">
        <v>4412</v>
      </c>
      <c r="L34" s="22" t="s">
        <v>4413</v>
      </c>
      <c r="M34" s="25"/>
      <c r="N34" s="25"/>
      <c r="O34" s="26"/>
      <c r="P34" s="27"/>
      <c r="Q34" s="28"/>
      <c r="R34" s="28"/>
      <c r="S34" s="26"/>
    </row>
    <row r="35" customFormat="false" ht="15" hidden="false" customHeight="false" outlineLevel="0" collapsed="false">
      <c r="A35" s="7" t="n">
        <v>31</v>
      </c>
      <c r="B35" s="9" t="s">
        <v>13</v>
      </c>
      <c r="C35" s="22" t="s">
        <v>158</v>
      </c>
      <c r="D35" s="9" t="s">
        <v>192</v>
      </c>
      <c r="E35" s="9" t="s">
        <v>47</v>
      </c>
      <c r="F35" s="9" t="s">
        <v>99</v>
      </c>
      <c r="G35" s="22" t="s">
        <v>4414</v>
      </c>
      <c r="H35" s="9" t="s">
        <v>4298</v>
      </c>
      <c r="I35" s="7"/>
      <c r="J35" s="23" t="s">
        <v>4415</v>
      </c>
      <c r="K35" s="24" t="s">
        <v>4416</v>
      </c>
      <c r="L35" s="22" t="s">
        <v>4417</v>
      </c>
      <c r="M35" s="25"/>
      <c r="N35" s="25"/>
      <c r="O35" s="26"/>
      <c r="P35" s="27"/>
      <c r="Q35" s="28"/>
      <c r="R35" s="28"/>
      <c r="S35" s="26"/>
    </row>
    <row r="36" customFormat="false" ht="15" hidden="false" customHeight="false" outlineLevel="0" collapsed="false">
      <c r="A36" s="7" t="n">
        <v>32</v>
      </c>
      <c r="B36" s="9" t="s">
        <v>13</v>
      </c>
      <c r="C36" s="22" t="s">
        <v>158</v>
      </c>
      <c r="D36" s="9" t="s">
        <v>192</v>
      </c>
      <c r="E36" s="9" t="s">
        <v>47</v>
      </c>
      <c r="F36" s="9" t="s">
        <v>99</v>
      </c>
      <c r="G36" s="22" t="s">
        <v>4418</v>
      </c>
      <c r="H36" s="9" t="s">
        <v>4298</v>
      </c>
      <c r="I36" s="7"/>
      <c r="J36" s="23" t="s">
        <v>4419</v>
      </c>
      <c r="K36" s="24" t="s">
        <v>4420</v>
      </c>
      <c r="L36" s="22" t="s">
        <v>4421</v>
      </c>
      <c r="M36" s="25"/>
      <c r="N36" s="25"/>
      <c r="O36" s="26"/>
      <c r="P36" s="27"/>
      <c r="Q36" s="28"/>
      <c r="R36" s="28"/>
      <c r="S36" s="26"/>
    </row>
    <row r="37" customFormat="false" ht="15" hidden="false" customHeight="false" outlineLevel="0" collapsed="false">
      <c r="A37" s="7" t="n">
        <v>33</v>
      </c>
      <c r="B37" s="9" t="s">
        <v>13</v>
      </c>
      <c r="C37" s="22" t="s">
        <v>158</v>
      </c>
      <c r="D37" s="9" t="s">
        <v>192</v>
      </c>
      <c r="E37" s="9" t="s">
        <v>48</v>
      </c>
      <c r="F37" s="9" t="s">
        <v>99</v>
      </c>
      <c r="G37" s="22" t="s">
        <v>4422</v>
      </c>
      <c r="H37" s="9" t="s">
        <v>4298</v>
      </c>
      <c r="I37" s="7"/>
      <c r="J37" s="23" t="s">
        <v>4423</v>
      </c>
      <c r="K37" s="24" t="s">
        <v>4424</v>
      </c>
      <c r="L37" s="22" t="s">
        <v>4425</v>
      </c>
      <c r="M37" s="25"/>
      <c r="N37" s="25"/>
      <c r="O37" s="26"/>
      <c r="P37" s="27"/>
      <c r="Q37" s="28"/>
      <c r="R37" s="28"/>
      <c r="S37" s="26"/>
    </row>
    <row r="38" customFormat="false" ht="15" hidden="false" customHeight="false" outlineLevel="0" collapsed="false">
      <c r="A38" s="7" t="n">
        <v>34</v>
      </c>
      <c r="B38" s="9" t="s">
        <v>13</v>
      </c>
      <c r="C38" s="22" t="s">
        <v>158</v>
      </c>
      <c r="D38" s="9" t="s">
        <v>192</v>
      </c>
      <c r="E38" s="9" t="s">
        <v>48</v>
      </c>
      <c r="F38" s="9" t="s">
        <v>99</v>
      </c>
      <c r="G38" s="22" t="s">
        <v>4426</v>
      </c>
      <c r="H38" s="9" t="s">
        <v>4298</v>
      </c>
      <c r="I38" s="7"/>
      <c r="J38" s="23" t="s">
        <v>4427</v>
      </c>
      <c r="K38" s="24" t="s">
        <v>4428</v>
      </c>
      <c r="L38" s="22" t="s">
        <v>4429</v>
      </c>
      <c r="M38" s="25"/>
      <c r="N38" s="25"/>
      <c r="O38" s="26"/>
      <c r="P38" s="27"/>
      <c r="Q38" s="28"/>
      <c r="R38" s="28"/>
      <c r="S38" s="26"/>
    </row>
    <row r="39" customFormat="false" ht="15" hidden="false" customHeight="false" outlineLevel="0" collapsed="false">
      <c r="A39" s="7" t="n">
        <v>35</v>
      </c>
      <c r="B39" s="9" t="s">
        <v>13</v>
      </c>
      <c r="C39" s="22" t="s">
        <v>158</v>
      </c>
      <c r="D39" s="9" t="s">
        <v>192</v>
      </c>
      <c r="E39" s="9" t="s">
        <v>48</v>
      </c>
      <c r="F39" s="9" t="s">
        <v>124</v>
      </c>
      <c r="G39" s="22" t="s">
        <v>4430</v>
      </c>
      <c r="H39" s="9" t="s">
        <v>4298</v>
      </c>
      <c r="I39" s="7"/>
      <c r="J39" s="23" t="s">
        <v>4431</v>
      </c>
      <c r="K39" s="24" t="s">
        <v>4432</v>
      </c>
      <c r="L39" s="22" t="s">
        <v>4433</v>
      </c>
      <c r="M39" s="25"/>
      <c r="N39" s="25"/>
      <c r="O39" s="26"/>
      <c r="P39" s="27"/>
      <c r="Q39" s="28"/>
      <c r="R39" s="28"/>
      <c r="S39" s="26"/>
    </row>
    <row r="40" customFormat="false" ht="15" hidden="false" customHeight="false" outlineLevel="0" collapsed="false">
      <c r="A40" s="7" t="n">
        <v>36</v>
      </c>
      <c r="B40" s="9" t="s">
        <v>13</v>
      </c>
      <c r="C40" s="22" t="s">
        <v>158</v>
      </c>
      <c r="D40" s="9" t="s">
        <v>192</v>
      </c>
      <c r="E40" s="9" t="s">
        <v>48</v>
      </c>
      <c r="F40" s="9" t="s">
        <v>99</v>
      </c>
      <c r="G40" s="22" t="s">
        <v>4434</v>
      </c>
      <c r="H40" s="9" t="s">
        <v>4298</v>
      </c>
      <c r="I40" s="7"/>
      <c r="J40" s="23" t="s">
        <v>4435</v>
      </c>
      <c r="K40" s="24" t="s">
        <v>4436</v>
      </c>
      <c r="L40" s="22" t="s">
        <v>4437</v>
      </c>
      <c r="M40" s="25"/>
      <c r="N40" s="25"/>
      <c r="O40" s="26"/>
      <c r="P40" s="27"/>
      <c r="Q40" s="28"/>
      <c r="R40" s="28"/>
      <c r="S40" s="26"/>
    </row>
    <row r="41" customFormat="false" ht="15" hidden="false" customHeight="false" outlineLevel="0" collapsed="false">
      <c r="A41" s="7" t="n">
        <v>37</v>
      </c>
      <c r="B41" s="9" t="s">
        <v>13</v>
      </c>
      <c r="C41" s="22" t="s">
        <v>158</v>
      </c>
      <c r="D41" s="9" t="s">
        <v>192</v>
      </c>
      <c r="E41" s="9" t="s">
        <v>48</v>
      </c>
      <c r="F41" s="9" t="s">
        <v>99</v>
      </c>
      <c r="G41" s="22" t="s">
        <v>4438</v>
      </c>
      <c r="H41" s="9" t="s">
        <v>4298</v>
      </c>
      <c r="I41" s="7"/>
      <c r="J41" s="23" t="s">
        <v>4439</v>
      </c>
      <c r="K41" s="24" t="s">
        <v>4440</v>
      </c>
      <c r="L41" s="22" t="s">
        <v>4441</v>
      </c>
      <c r="M41" s="25"/>
      <c r="N41" s="25"/>
      <c r="O41" s="26"/>
      <c r="P41" s="27"/>
      <c r="Q41" s="28"/>
      <c r="R41" s="28"/>
      <c r="S41" s="26"/>
    </row>
    <row r="42" customFormat="false" ht="15" hidden="false" customHeight="false" outlineLevel="0" collapsed="false">
      <c r="A42" s="7" t="n">
        <v>38</v>
      </c>
      <c r="B42" s="9" t="s">
        <v>13</v>
      </c>
      <c r="C42" s="22" t="s">
        <v>241</v>
      </c>
      <c r="D42" s="9" t="s">
        <v>242</v>
      </c>
      <c r="E42" s="9" t="s">
        <v>47</v>
      </c>
      <c r="F42" s="9" t="s">
        <v>99</v>
      </c>
      <c r="G42" s="22" t="s">
        <v>4442</v>
      </c>
      <c r="H42" s="9" t="s">
        <v>4298</v>
      </c>
      <c r="I42" s="7"/>
      <c r="J42" s="23" t="s">
        <v>4443</v>
      </c>
      <c r="K42" s="24" t="s">
        <v>4444</v>
      </c>
      <c r="L42" s="22" t="s">
        <v>4445</v>
      </c>
      <c r="M42" s="25"/>
      <c r="N42" s="25"/>
      <c r="O42" s="26"/>
      <c r="P42" s="27"/>
      <c r="Q42" s="28"/>
      <c r="R42" s="28"/>
      <c r="S42" s="26"/>
    </row>
    <row r="43" customFormat="false" ht="15" hidden="false" customHeight="false" outlineLevel="0" collapsed="false">
      <c r="A43" s="7" t="n">
        <v>39</v>
      </c>
      <c r="B43" s="9" t="s">
        <v>13</v>
      </c>
      <c r="C43" s="22" t="s">
        <v>241</v>
      </c>
      <c r="D43" s="9" t="s">
        <v>242</v>
      </c>
      <c r="E43" s="9" t="s">
        <v>47</v>
      </c>
      <c r="F43" s="9" t="s">
        <v>99</v>
      </c>
      <c r="G43" s="22" t="s">
        <v>4446</v>
      </c>
      <c r="H43" s="9" t="s">
        <v>4298</v>
      </c>
      <c r="I43" s="7"/>
      <c r="J43" s="23" t="s">
        <v>4447</v>
      </c>
      <c r="K43" s="24" t="s">
        <v>4448</v>
      </c>
      <c r="L43" s="22" t="s">
        <v>4449</v>
      </c>
      <c r="M43" s="25"/>
      <c r="N43" s="25"/>
      <c r="O43" s="26"/>
      <c r="P43" s="27"/>
      <c r="Q43" s="28"/>
      <c r="R43" s="28"/>
      <c r="S43" s="26"/>
    </row>
    <row r="44" customFormat="false" ht="15" hidden="false" customHeight="false" outlineLevel="0" collapsed="false">
      <c r="A44" s="7" t="n">
        <v>40</v>
      </c>
      <c r="B44" s="9" t="s">
        <v>13</v>
      </c>
      <c r="C44" s="22" t="s">
        <v>241</v>
      </c>
      <c r="D44" s="9" t="s">
        <v>242</v>
      </c>
      <c r="E44" s="9" t="s">
        <v>47</v>
      </c>
      <c r="F44" s="9" t="s">
        <v>99</v>
      </c>
      <c r="G44" s="22" t="s">
        <v>4450</v>
      </c>
      <c r="H44" s="9" t="s">
        <v>4298</v>
      </c>
      <c r="I44" s="7"/>
      <c r="J44" s="23" t="s">
        <v>4451</v>
      </c>
      <c r="K44" s="24" t="s">
        <v>4452</v>
      </c>
      <c r="L44" s="22" t="s">
        <v>4453</v>
      </c>
      <c r="M44" s="25"/>
      <c r="N44" s="25"/>
      <c r="O44" s="26"/>
      <c r="P44" s="27"/>
      <c r="Q44" s="28"/>
      <c r="R44" s="28"/>
      <c r="S44" s="26"/>
    </row>
    <row r="45" customFormat="false" ht="15" hidden="false" customHeight="false" outlineLevel="0" collapsed="false">
      <c r="A45" s="7" t="n">
        <v>41</v>
      </c>
      <c r="B45" s="9" t="s">
        <v>13</v>
      </c>
      <c r="C45" s="22" t="s">
        <v>241</v>
      </c>
      <c r="D45" s="9" t="s">
        <v>242</v>
      </c>
      <c r="E45" s="9" t="s">
        <v>47</v>
      </c>
      <c r="F45" s="9" t="s">
        <v>99</v>
      </c>
      <c r="G45" s="22" t="s">
        <v>4454</v>
      </c>
      <c r="H45" s="9" t="s">
        <v>4298</v>
      </c>
      <c r="I45" s="7"/>
      <c r="J45" s="23" t="s">
        <v>4455</v>
      </c>
      <c r="K45" s="24" t="s">
        <v>4456</v>
      </c>
      <c r="L45" s="22" t="s">
        <v>4457</v>
      </c>
      <c r="M45" s="25"/>
      <c r="N45" s="25"/>
      <c r="O45" s="26"/>
      <c r="P45" s="27"/>
      <c r="Q45" s="28"/>
      <c r="R45" s="28"/>
      <c r="S45" s="26"/>
    </row>
    <row r="46" customFormat="false" ht="15" hidden="false" customHeight="false" outlineLevel="0" collapsed="false">
      <c r="A46" s="7" t="n">
        <v>42</v>
      </c>
      <c r="B46" s="9" t="s">
        <v>13</v>
      </c>
      <c r="C46" s="22" t="s">
        <v>241</v>
      </c>
      <c r="D46" s="9" t="s">
        <v>242</v>
      </c>
      <c r="E46" s="9" t="s">
        <v>47</v>
      </c>
      <c r="F46" s="9" t="s">
        <v>99</v>
      </c>
      <c r="G46" s="22" t="s">
        <v>4458</v>
      </c>
      <c r="H46" s="9" t="s">
        <v>4298</v>
      </c>
      <c r="I46" s="7"/>
      <c r="J46" s="23" t="s">
        <v>4459</v>
      </c>
      <c r="K46" s="24" t="s">
        <v>4460</v>
      </c>
      <c r="L46" s="22" t="s">
        <v>4461</v>
      </c>
      <c r="M46" s="25"/>
      <c r="N46" s="25"/>
      <c r="O46" s="26"/>
      <c r="P46" s="27"/>
      <c r="Q46" s="28"/>
      <c r="R46" s="28"/>
      <c r="S46" s="26"/>
    </row>
    <row r="47" customFormat="false" ht="15" hidden="false" customHeight="false" outlineLevel="0" collapsed="false">
      <c r="A47" s="7" t="n">
        <v>43</v>
      </c>
      <c r="B47" s="9" t="s">
        <v>13</v>
      </c>
      <c r="C47" s="22" t="s">
        <v>241</v>
      </c>
      <c r="D47" s="9" t="s">
        <v>242</v>
      </c>
      <c r="E47" s="9" t="s">
        <v>47</v>
      </c>
      <c r="F47" s="9" t="s">
        <v>99</v>
      </c>
      <c r="G47" s="22" t="s">
        <v>4462</v>
      </c>
      <c r="H47" s="9" t="s">
        <v>4298</v>
      </c>
      <c r="I47" s="7"/>
      <c r="J47" s="23" t="s">
        <v>4463</v>
      </c>
      <c r="K47" s="24" t="s">
        <v>4464</v>
      </c>
      <c r="L47" s="22" t="s">
        <v>4465</v>
      </c>
      <c r="M47" s="25"/>
      <c r="N47" s="25"/>
      <c r="O47" s="26"/>
      <c r="P47" s="27"/>
      <c r="Q47" s="28"/>
      <c r="R47" s="28"/>
      <c r="S47" s="26"/>
    </row>
    <row r="48" customFormat="false" ht="15" hidden="false" customHeight="false" outlineLevel="0" collapsed="false">
      <c r="A48" s="7" t="n">
        <v>44</v>
      </c>
      <c r="B48" s="9" t="s">
        <v>13</v>
      </c>
      <c r="C48" s="22" t="s">
        <v>241</v>
      </c>
      <c r="D48" s="9" t="s">
        <v>242</v>
      </c>
      <c r="E48" s="9" t="s">
        <v>47</v>
      </c>
      <c r="F48" s="9" t="s">
        <v>99</v>
      </c>
      <c r="G48" s="22" t="s">
        <v>4466</v>
      </c>
      <c r="H48" s="9" t="s">
        <v>4298</v>
      </c>
      <c r="I48" s="7"/>
      <c r="J48" s="23" t="s">
        <v>4467</v>
      </c>
      <c r="K48" s="24" t="s">
        <v>4468</v>
      </c>
      <c r="L48" s="22" t="s">
        <v>4469</v>
      </c>
      <c r="M48" s="25"/>
      <c r="N48" s="25"/>
      <c r="O48" s="26"/>
      <c r="P48" s="27"/>
      <c r="Q48" s="28"/>
      <c r="R48" s="28"/>
      <c r="S48" s="26"/>
    </row>
    <row r="49" customFormat="false" ht="15" hidden="false" customHeight="false" outlineLevel="0" collapsed="false">
      <c r="A49" s="7" t="n">
        <v>45</v>
      </c>
      <c r="B49" s="9" t="s">
        <v>13</v>
      </c>
      <c r="C49" s="22" t="s">
        <v>241</v>
      </c>
      <c r="D49" s="9" t="s">
        <v>242</v>
      </c>
      <c r="E49" s="9" t="s">
        <v>47</v>
      </c>
      <c r="F49" s="9" t="s">
        <v>99</v>
      </c>
      <c r="G49" s="22" t="s">
        <v>4470</v>
      </c>
      <c r="H49" s="9" t="s">
        <v>4298</v>
      </c>
      <c r="I49" s="7"/>
      <c r="J49" s="23" t="s">
        <v>4471</v>
      </c>
      <c r="K49" s="24" t="s">
        <v>4472</v>
      </c>
      <c r="L49" s="22" t="s">
        <v>4473</v>
      </c>
      <c r="M49" s="25"/>
      <c r="N49" s="25"/>
      <c r="O49" s="26"/>
      <c r="P49" s="27"/>
      <c r="Q49" s="28"/>
      <c r="R49" s="28"/>
      <c r="S49" s="26"/>
    </row>
    <row r="50" customFormat="false" ht="15" hidden="false" customHeight="false" outlineLevel="0" collapsed="false">
      <c r="A50" s="7" t="n">
        <v>46</v>
      </c>
      <c r="B50" s="9" t="s">
        <v>13</v>
      </c>
      <c r="C50" s="22" t="s">
        <v>241</v>
      </c>
      <c r="D50" s="9" t="s">
        <v>242</v>
      </c>
      <c r="E50" s="9" t="s">
        <v>48</v>
      </c>
      <c r="F50" s="9" t="s">
        <v>99</v>
      </c>
      <c r="G50" s="22" t="s">
        <v>4474</v>
      </c>
      <c r="H50" s="9" t="s">
        <v>4298</v>
      </c>
      <c r="I50" s="7"/>
      <c r="J50" s="23" t="s">
        <v>4475</v>
      </c>
      <c r="K50" s="24" t="s">
        <v>4476</v>
      </c>
      <c r="L50" s="22" t="s">
        <v>4477</v>
      </c>
      <c r="M50" s="25"/>
      <c r="N50" s="25"/>
      <c r="O50" s="26"/>
      <c r="P50" s="27"/>
      <c r="Q50" s="28"/>
      <c r="R50" s="28"/>
      <c r="S50" s="26"/>
    </row>
    <row r="51" customFormat="false" ht="15" hidden="false" customHeight="false" outlineLevel="0" collapsed="false">
      <c r="A51" s="7" t="n">
        <v>47</v>
      </c>
      <c r="B51" s="9" t="s">
        <v>13</v>
      </c>
      <c r="C51" s="22" t="s">
        <v>241</v>
      </c>
      <c r="D51" s="9" t="s">
        <v>242</v>
      </c>
      <c r="E51" s="9" t="s">
        <v>48</v>
      </c>
      <c r="F51" s="9" t="s">
        <v>99</v>
      </c>
      <c r="G51" s="22" t="s">
        <v>4478</v>
      </c>
      <c r="H51" s="9" t="s">
        <v>4298</v>
      </c>
      <c r="I51" s="7"/>
      <c r="J51" s="23" t="s">
        <v>4479</v>
      </c>
      <c r="K51" s="24" t="s">
        <v>4480</v>
      </c>
      <c r="L51" s="22" t="s">
        <v>4481</v>
      </c>
      <c r="M51" s="25"/>
      <c r="N51" s="25"/>
      <c r="O51" s="26"/>
      <c r="P51" s="27"/>
      <c r="Q51" s="28"/>
      <c r="R51" s="28"/>
      <c r="S51" s="26"/>
    </row>
    <row r="52" customFormat="false" ht="15" hidden="false" customHeight="false" outlineLevel="0" collapsed="false">
      <c r="A52" s="7" t="n">
        <v>48</v>
      </c>
      <c r="B52" s="9" t="s">
        <v>13</v>
      </c>
      <c r="C52" s="22" t="s">
        <v>241</v>
      </c>
      <c r="D52" s="9" t="s">
        <v>242</v>
      </c>
      <c r="E52" s="9" t="s">
        <v>48</v>
      </c>
      <c r="F52" s="9" t="s">
        <v>99</v>
      </c>
      <c r="G52" s="22" t="s">
        <v>4482</v>
      </c>
      <c r="H52" s="9" t="s">
        <v>4298</v>
      </c>
      <c r="I52" s="7"/>
      <c r="J52" s="23" t="s">
        <v>4483</v>
      </c>
      <c r="K52" s="24" t="s">
        <v>4484</v>
      </c>
      <c r="L52" s="22" t="s">
        <v>4485</v>
      </c>
      <c r="M52" s="25"/>
      <c r="N52" s="25"/>
      <c r="O52" s="26"/>
      <c r="P52" s="27"/>
      <c r="Q52" s="28"/>
      <c r="R52" s="28"/>
      <c r="S52" s="26"/>
    </row>
    <row r="53" customFormat="false" ht="15" hidden="false" customHeight="false" outlineLevel="0" collapsed="false">
      <c r="A53" s="7" t="n">
        <v>49</v>
      </c>
      <c r="B53" s="9" t="s">
        <v>13</v>
      </c>
      <c r="C53" s="22" t="s">
        <v>241</v>
      </c>
      <c r="D53" s="9" t="s">
        <v>275</v>
      </c>
      <c r="E53" s="9" t="s">
        <v>47</v>
      </c>
      <c r="F53" s="9" t="s">
        <v>99</v>
      </c>
      <c r="G53" s="22" t="s">
        <v>4486</v>
      </c>
      <c r="H53" s="9" t="s">
        <v>4298</v>
      </c>
      <c r="I53" s="7"/>
      <c r="J53" s="23" t="s">
        <v>4487</v>
      </c>
      <c r="K53" s="24" t="s">
        <v>4488</v>
      </c>
      <c r="L53" s="22" t="s">
        <v>4489</v>
      </c>
      <c r="M53" s="25"/>
      <c r="N53" s="25"/>
      <c r="O53" s="26"/>
      <c r="P53" s="27"/>
      <c r="Q53" s="28"/>
      <c r="R53" s="28"/>
      <c r="S53" s="26"/>
    </row>
    <row r="54" customFormat="false" ht="15" hidden="false" customHeight="false" outlineLevel="0" collapsed="false">
      <c r="A54" s="7" t="n">
        <v>50</v>
      </c>
      <c r="B54" s="9" t="s">
        <v>13</v>
      </c>
      <c r="C54" s="22" t="s">
        <v>241</v>
      </c>
      <c r="D54" s="9" t="s">
        <v>275</v>
      </c>
      <c r="E54" s="9" t="s">
        <v>47</v>
      </c>
      <c r="F54" s="9" t="s">
        <v>99</v>
      </c>
      <c r="G54" s="22" t="s">
        <v>4490</v>
      </c>
      <c r="H54" s="9" t="s">
        <v>4298</v>
      </c>
      <c r="I54" s="7"/>
      <c r="J54" s="23" t="s">
        <v>4491</v>
      </c>
      <c r="K54" s="24" t="s">
        <v>4492</v>
      </c>
      <c r="L54" s="22" t="s">
        <v>4493</v>
      </c>
      <c r="M54" s="25"/>
      <c r="N54" s="25"/>
      <c r="O54" s="26"/>
      <c r="P54" s="27"/>
      <c r="Q54" s="28"/>
      <c r="R54" s="28"/>
      <c r="S54" s="26"/>
    </row>
    <row r="55" customFormat="false" ht="15" hidden="false" customHeight="false" outlineLevel="0" collapsed="false">
      <c r="A55" s="7" t="n">
        <v>51</v>
      </c>
      <c r="B55" s="9" t="s">
        <v>13</v>
      </c>
      <c r="C55" s="22" t="s">
        <v>241</v>
      </c>
      <c r="D55" s="9" t="s">
        <v>275</v>
      </c>
      <c r="E55" s="9" t="s">
        <v>47</v>
      </c>
      <c r="F55" s="9" t="s">
        <v>99</v>
      </c>
      <c r="G55" s="22" t="s">
        <v>4494</v>
      </c>
      <c r="H55" s="9" t="s">
        <v>4298</v>
      </c>
      <c r="I55" s="7"/>
      <c r="J55" s="23" t="s">
        <v>4495</v>
      </c>
      <c r="K55" s="24" t="s">
        <v>4496</v>
      </c>
      <c r="L55" s="22" t="s">
        <v>4497</v>
      </c>
      <c r="M55" s="25"/>
      <c r="N55" s="25"/>
      <c r="O55" s="26"/>
      <c r="P55" s="27"/>
      <c r="Q55" s="28"/>
      <c r="R55" s="28"/>
      <c r="S55" s="26"/>
    </row>
    <row r="56" customFormat="false" ht="15" hidden="false" customHeight="false" outlineLevel="0" collapsed="false">
      <c r="A56" s="7" t="n">
        <v>52</v>
      </c>
      <c r="B56" s="9" t="s">
        <v>13</v>
      </c>
      <c r="C56" s="22" t="s">
        <v>241</v>
      </c>
      <c r="D56" s="9" t="s">
        <v>275</v>
      </c>
      <c r="E56" s="9" t="s">
        <v>47</v>
      </c>
      <c r="F56" s="9" t="s">
        <v>99</v>
      </c>
      <c r="G56" s="22" t="s">
        <v>4498</v>
      </c>
      <c r="H56" s="9" t="s">
        <v>4298</v>
      </c>
      <c r="I56" s="7"/>
      <c r="J56" s="23" t="s">
        <v>4499</v>
      </c>
      <c r="K56" s="24" t="s">
        <v>4500</v>
      </c>
      <c r="L56" s="22" t="s">
        <v>4501</v>
      </c>
      <c r="M56" s="25"/>
      <c r="N56" s="25"/>
      <c r="O56" s="26"/>
      <c r="P56" s="27"/>
      <c r="Q56" s="28"/>
      <c r="R56" s="28"/>
      <c r="S56" s="26"/>
    </row>
    <row r="57" customFormat="false" ht="15" hidden="false" customHeight="false" outlineLevel="0" collapsed="false">
      <c r="A57" s="7" t="n">
        <v>53</v>
      </c>
      <c r="B57" s="9" t="s">
        <v>13</v>
      </c>
      <c r="C57" s="22" t="s">
        <v>241</v>
      </c>
      <c r="D57" s="9" t="s">
        <v>275</v>
      </c>
      <c r="E57" s="9" t="s">
        <v>48</v>
      </c>
      <c r="F57" s="9" t="s">
        <v>99</v>
      </c>
      <c r="G57" s="22" t="s">
        <v>4502</v>
      </c>
      <c r="H57" s="9" t="s">
        <v>4298</v>
      </c>
      <c r="I57" s="7"/>
      <c r="J57" s="23" t="s">
        <v>4503</v>
      </c>
      <c r="K57" s="24" t="s">
        <v>4504</v>
      </c>
      <c r="L57" s="22" t="s">
        <v>4505</v>
      </c>
      <c r="M57" s="25"/>
      <c r="N57" s="25"/>
      <c r="O57" s="26"/>
      <c r="P57" s="27"/>
      <c r="Q57" s="28"/>
      <c r="R57" s="28"/>
      <c r="S57" s="26"/>
    </row>
    <row r="58" customFormat="false" ht="15" hidden="false" customHeight="false" outlineLevel="0" collapsed="false">
      <c r="A58" s="7" t="n">
        <v>54</v>
      </c>
      <c r="B58" s="9" t="s">
        <v>13</v>
      </c>
      <c r="C58" s="22" t="s">
        <v>241</v>
      </c>
      <c r="D58" s="9" t="s">
        <v>275</v>
      </c>
      <c r="E58" s="9" t="s">
        <v>48</v>
      </c>
      <c r="F58" s="9" t="s">
        <v>99</v>
      </c>
      <c r="G58" s="22" t="s">
        <v>4506</v>
      </c>
      <c r="H58" s="9" t="s">
        <v>4298</v>
      </c>
      <c r="I58" s="7"/>
      <c r="J58" s="23" t="s">
        <v>4507</v>
      </c>
      <c r="K58" s="24" t="s">
        <v>4508</v>
      </c>
      <c r="L58" s="22" t="s">
        <v>4509</v>
      </c>
      <c r="M58" s="25"/>
      <c r="N58" s="25"/>
      <c r="O58" s="26"/>
      <c r="P58" s="27"/>
      <c r="Q58" s="28"/>
      <c r="R58" s="28"/>
      <c r="S58" s="26"/>
    </row>
    <row r="59" customFormat="false" ht="15" hidden="false" customHeight="false" outlineLevel="0" collapsed="false">
      <c r="A59" s="7" t="n">
        <v>55</v>
      </c>
      <c r="B59" s="9" t="s">
        <v>13</v>
      </c>
      <c r="C59" s="22" t="s">
        <v>300</v>
      </c>
      <c r="D59" s="9" t="s">
        <v>159</v>
      </c>
      <c r="E59" s="9" t="s">
        <v>49</v>
      </c>
      <c r="F59" s="9" t="s">
        <v>124</v>
      </c>
      <c r="G59" s="22" t="s">
        <v>4510</v>
      </c>
      <c r="H59" s="9" t="s">
        <v>4298</v>
      </c>
      <c r="I59" s="7"/>
      <c r="J59" s="23" t="s">
        <v>4511</v>
      </c>
      <c r="K59" s="24" t="s">
        <v>4512</v>
      </c>
      <c r="L59" s="22" t="s">
        <v>191</v>
      </c>
      <c r="M59" s="25"/>
      <c r="N59" s="25"/>
      <c r="O59" s="26"/>
      <c r="P59" s="27"/>
      <c r="Q59" s="28"/>
      <c r="R59" s="28"/>
      <c r="S59" s="26"/>
    </row>
    <row r="60" customFormat="false" ht="15" hidden="false" customHeight="false" outlineLevel="0" collapsed="false">
      <c r="A60" s="7" t="n">
        <v>56</v>
      </c>
      <c r="B60" s="9" t="s">
        <v>13</v>
      </c>
      <c r="C60" s="22" t="s">
        <v>300</v>
      </c>
      <c r="D60" s="9" t="s">
        <v>242</v>
      </c>
      <c r="E60" s="9" t="s">
        <v>49</v>
      </c>
      <c r="F60" s="9" t="s">
        <v>124</v>
      </c>
      <c r="G60" s="22" t="s">
        <v>4513</v>
      </c>
      <c r="H60" s="9" t="s">
        <v>4298</v>
      </c>
      <c r="I60" s="7"/>
      <c r="J60" s="23" t="s">
        <v>4514</v>
      </c>
      <c r="K60" s="24" t="s">
        <v>4515</v>
      </c>
      <c r="L60" s="22" t="s">
        <v>4516</v>
      </c>
      <c r="M60" s="25"/>
      <c r="N60" s="25"/>
      <c r="O60" s="26"/>
      <c r="P60" s="27"/>
      <c r="Q60" s="28"/>
      <c r="R60" s="28"/>
      <c r="S60" s="26"/>
    </row>
    <row r="61" customFormat="false" ht="15" hidden="false" customHeight="false" outlineLevel="0" collapsed="false">
      <c r="A61" s="7" t="n">
        <v>57</v>
      </c>
      <c r="B61" s="9" t="s">
        <v>13</v>
      </c>
      <c r="C61" s="22" t="s">
        <v>300</v>
      </c>
      <c r="D61" s="9" t="s">
        <v>331</v>
      </c>
      <c r="E61" s="9" t="s">
        <v>49</v>
      </c>
      <c r="F61" s="9" t="s">
        <v>124</v>
      </c>
      <c r="G61" s="22" t="s">
        <v>4517</v>
      </c>
      <c r="H61" s="9" t="s">
        <v>4298</v>
      </c>
      <c r="I61" s="7"/>
      <c r="J61" s="23" t="s">
        <v>4518</v>
      </c>
      <c r="K61" s="24" t="s">
        <v>4519</v>
      </c>
      <c r="L61" s="22" t="s">
        <v>4520</v>
      </c>
      <c r="M61" s="25"/>
      <c r="N61" s="25"/>
      <c r="O61" s="26"/>
      <c r="P61" s="27"/>
      <c r="Q61" s="28"/>
      <c r="R61" s="28"/>
      <c r="S61" s="26"/>
    </row>
    <row r="62" customFormat="false" ht="15" hidden="false" customHeight="false" outlineLevel="0" collapsed="false">
      <c r="A62" s="7" t="n">
        <v>58</v>
      </c>
      <c r="B62" s="9" t="s">
        <v>13</v>
      </c>
      <c r="C62" s="22" t="s">
        <v>300</v>
      </c>
      <c r="D62" s="9" t="s">
        <v>331</v>
      </c>
      <c r="E62" s="9" t="s">
        <v>49</v>
      </c>
      <c r="F62" s="9" t="s">
        <v>124</v>
      </c>
      <c r="G62" s="22" t="s">
        <v>4521</v>
      </c>
      <c r="H62" s="9" t="s">
        <v>4298</v>
      </c>
      <c r="I62" s="7"/>
      <c r="J62" s="23" t="s">
        <v>4522</v>
      </c>
      <c r="K62" s="24" t="s">
        <v>4523</v>
      </c>
      <c r="L62" s="22" t="s">
        <v>4524</v>
      </c>
      <c r="M62" s="25"/>
      <c r="N62" s="25"/>
      <c r="O62" s="26"/>
      <c r="P62" s="27"/>
      <c r="Q62" s="28"/>
      <c r="R62" s="28"/>
      <c r="S62" s="26"/>
    </row>
    <row r="63" customFormat="false" ht="15" hidden="false" customHeight="false" outlineLevel="0" collapsed="false">
      <c r="A63" s="7" t="n">
        <v>59</v>
      </c>
      <c r="B63" s="9" t="s">
        <v>13</v>
      </c>
      <c r="C63" s="22" t="s">
        <v>300</v>
      </c>
      <c r="D63" s="9" t="s">
        <v>331</v>
      </c>
      <c r="E63" s="9" t="s">
        <v>49</v>
      </c>
      <c r="F63" s="9" t="s">
        <v>124</v>
      </c>
      <c r="G63" s="22" t="s">
        <v>4525</v>
      </c>
      <c r="H63" s="9" t="s">
        <v>4298</v>
      </c>
      <c r="I63" s="7"/>
      <c r="J63" s="23" t="s">
        <v>4526</v>
      </c>
      <c r="K63" s="24" t="s">
        <v>4527</v>
      </c>
      <c r="L63" s="22" t="s">
        <v>4528</v>
      </c>
      <c r="M63" s="25"/>
      <c r="N63" s="25"/>
      <c r="O63" s="26"/>
      <c r="P63" s="27"/>
      <c r="Q63" s="28"/>
      <c r="R63" s="28"/>
      <c r="S63" s="26"/>
    </row>
    <row r="64" customFormat="false" ht="15" hidden="false" customHeight="false" outlineLevel="0" collapsed="false">
      <c r="A64" s="7" t="n">
        <v>60</v>
      </c>
      <c r="B64" s="9" t="s">
        <v>13</v>
      </c>
      <c r="C64" s="22" t="s">
        <v>300</v>
      </c>
      <c r="D64" s="9" t="s">
        <v>331</v>
      </c>
      <c r="E64" s="9" t="s">
        <v>49</v>
      </c>
      <c r="F64" s="9" t="s">
        <v>124</v>
      </c>
      <c r="G64" s="22" t="s">
        <v>4529</v>
      </c>
      <c r="H64" s="9" t="s">
        <v>4298</v>
      </c>
      <c r="I64" s="7"/>
      <c r="J64" s="23" t="s">
        <v>4530</v>
      </c>
      <c r="K64" s="24" t="s">
        <v>4531</v>
      </c>
      <c r="L64" s="22" t="s">
        <v>4532</v>
      </c>
      <c r="M64" s="25"/>
      <c r="N64" s="25"/>
      <c r="O64" s="26"/>
      <c r="P64" s="27"/>
      <c r="Q64" s="28"/>
      <c r="R64" s="28"/>
      <c r="S64" s="26"/>
    </row>
    <row r="65" customFormat="false" ht="15" hidden="false" customHeight="false" outlineLevel="0" collapsed="false">
      <c r="A65" s="7" t="n">
        <v>61</v>
      </c>
      <c r="B65" s="9" t="s">
        <v>13</v>
      </c>
      <c r="C65" s="22" t="s">
        <v>300</v>
      </c>
      <c r="D65" s="9" t="s">
        <v>336</v>
      </c>
      <c r="E65" s="9" t="s">
        <v>49</v>
      </c>
      <c r="F65" s="9" t="s">
        <v>124</v>
      </c>
      <c r="G65" s="22" t="s">
        <v>4533</v>
      </c>
      <c r="H65" s="9" t="s">
        <v>4298</v>
      </c>
      <c r="I65" s="7"/>
      <c r="J65" s="23" t="s">
        <v>4534</v>
      </c>
      <c r="K65" s="24" t="s">
        <v>4535</v>
      </c>
      <c r="L65" s="22" t="s">
        <v>4536</v>
      </c>
      <c r="M65" s="25"/>
      <c r="N65" s="25"/>
      <c r="O65" s="26"/>
      <c r="P65" s="27"/>
      <c r="Q65" s="28"/>
      <c r="R65" s="28"/>
      <c r="S65" s="26"/>
    </row>
    <row r="66" customFormat="false" ht="15" hidden="false" customHeight="false" outlineLevel="0" collapsed="false">
      <c r="A66" s="7" t="n">
        <v>62</v>
      </c>
      <c r="B66" s="9" t="s">
        <v>13</v>
      </c>
      <c r="C66" s="22" t="s">
        <v>300</v>
      </c>
      <c r="D66" s="9" t="s">
        <v>336</v>
      </c>
      <c r="E66" s="9" t="s">
        <v>49</v>
      </c>
      <c r="F66" s="9" t="s">
        <v>124</v>
      </c>
      <c r="G66" s="22" t="s">
        <v>4537</v>
      </c>
      <c r="H66" s="9" t="s">
        <v>4298</v>
      </c>
      <c r="I66" s="7"/>
      <c r="J66" s="23" t="s">
        <v>4538</v>
      </c>
      <c r="K66" s="24" t="s">
        <v>4539</v>
      </c>
      <c r="L66" s="22" t="s">
        <v>340</v>
      </c>
      <c r="M66" s="25"/>
      <c r="N66" s="25"/>
      <c r="O66" s="26"/>
      <c r="P66" s="27"/>
      <c r="Q66" s="28"/>
      <c r="R66" s="28"/>
      <c r="S66" s="26"/>
    </row>
    <row r="67" customFormat="false" ht="15" hidden="false" customHeight="false" outlineLevel="0" collapsed="false">
      <c r="A67" s="7" t="n">
        <v>63</v>
      </c>
      <c r="B67" s="9" t="s">
        <v>13</v>
      </c>
      <c r="C67" s="22" t="s">
        <v>300</v>
      </c>
      <c r="D67" s="9" t="s">
        <v>345</v>
      </c>
      <c r="E67" s="9" t="s">
        <v>49</v>
      </c>
      <c r="F67" s="9" t="s">
        <v>124</v>
      </c>
      <c r="G67" s="22" t="s">
        <v>4540</v>
      </c>
      <c r="H67" s="9" t="s">
        <v>4298</v>
      </c>
      <c r="I67" s="7"/>
      <c r="J67" s="23" t="s">
        <v>4541</v>
      </c>
      <c r="K67" s="24" t="s">
        <v>4542</v>
      </c>
      <c r="L67" s="22" t="s">
        <v>4543</v>
      </c>
      <c r="M67" s="25"/>
      <c r="N67" s="25"/>
      <c r="O67" s="26"/>
      <c r="P67" s="27"/>
      <c r="Q67" s="28"/>
      <c r="R67" s="28"/>
      <c r="S67" s="26"/>
    </row>
    <row r="68" customFormat="false" ht="15" hidden="false" customHeight="false" outlineLevel="0" collapsed="false">
      <c r="A68" s="7" t="n">
        <v>64</v>
      </c>
      <c r="B68" s="9" t="s">
        <v>13</v>
      </c>
      <c r="C68" s="22" t="s">
        <v>300</v>
      </c>
      <c r="D68" s="9" t="s">
        <v>345</v>
      </c>
      <c r="E68" s="9" t="s">
        <v>49</v>
      </c>
      <c r="F68" s="9" t="s">
        <v>124</v>
      </c>
      <c r="G68" s="22" t="s">
        <v>4544</v>
      </c>
      <c r="H68" s="9" t="s">
        <v>4298</v>
      </c>
      <c r="I68" s="7"/>
      <c r="J68" s="23" t="s">
        <v>4545</v>
      </c>
      <c r="K68" s="24" t="s">
        <v>4546</v>
      </c>
      <c r="L68" s="22" t="s">
        <v>4547</v>
      </c>
      <c r="M68" s="25"/>
      <c r="N68" s="25"/>
      <c r="O68" s="26"/>
      <c r="P68" s="27"/>
      <c r="Q68" s="28"/>
      <c r="R68" s="28"/>
      <c r="S68" s="26"/>
    </row>
    <row r="69" customFormat="false" ht="15" hidden="false" customHeight="false" outlineLevel="0" collapsed="false">
      <c r="A69" s="7" t="n">
        <v>65</v>
      </c>
      <c r="B69" s="9" t="s">
        <v>13</v>
      </c>
      <c r="C69" s="22" t="s">
        <v>300</v>
      </c>
      <c r="D69" s="9" t="s">
        <v>345</v>
      </c>
      <c r="E69" s="9" t="s">
        <v>49</v>
      </c>
      <c r="F69" s="9" t="s">
        <v>124</v>
      </c>
      <c r="G69" s="22" t="s">
        <v>4548</v>
      </c>
      <c r="H69" s="9" t="s">
        <v>4298</v>
      </c>
      <c r="I69" s="7"/>
      <c r="J69" s="23" t="s">
        <v>4549</v>
      </c>
      <c r="K69" s="24" t="s">
        <v>4550</v>
      </c>
      <c r="L69" s="22" t="s">
        <v>4551</v>
      </c>
      <c r="M69" s="25"/>
      <c r="N69" s="25"/>
      <c r="O69" s="26"/>
      <c r="P69" s="27"/>
      <c r="Q69" s="28"/>
      <c r="R69" s="28"/>
      <c r="S69" s="26"/>
    </row>
    <row r="70" customFormat="false" ht="15" hidden="false" customHeight="false" outlineLevel="0" collapsed="false">
      <c r="A70" s="7" t="n">
        <v>66</v>
      </c>
      <c r="B70" s="9" t="s">
        <v>13</v>
      </c>
      <c r="C70" s="22" t="s">
        <v>300</v>
      </c>
      <c r="D70" s="9" t="s">
        <v>362</v>
      </c>
      <c r="E70" s="9" t="s">
        <v>49</v>
      </c>
      <c r="F70" s="9" t="s">
        <v>99</v>
      </c>
      <c r="G70" s="22" t="s">
        <v>2883</v>
      </c>
      <c r="H70" s="9" t="s">
        <v>4298</v>
      </c>
      <c r="I70" s="7"/>
      <c r="J70" s="23" t="s">
        <v>4552</v>
      </c>
      <c r="K70" s="24" t="s">
        <v>4553</v>
      </c>
      <c r="L70" s="22" t="s">
        <v>4554</v>
      </c>
      <c r="M70" s="25"/>
      <c r="N70" s="25"/>
      <c r="O70" s="26"/>
      <c r="P70" s="27"/>
      <c r="Q70" s="28"/>
      <c r="R70" s="28"/>
      <c r="S70" s="26"/>
    </row>
    <row r="71" customFormat="false" ht="15" hidden="false" customHeight="false" outlineLevel="0" collapsed="false">
      <c r="A71" s="7" t="n">
        <v>67</v>
      </c>
      <c r="B71" s="9" t="s">
        <v>13</v>
      </c>
      <c r="C71" s="22" t="s">
        <v>300</v>
      </c>
      <c r="D71" s="9" t="s">
        <v>362</v>
      </c>
      <c r="E71" s="9" t="s">
        <v>49</v>
      </c>
      <c r="F71" s="9" t="s">
        <v>124</v>
      </c>
      <c r="G71" s="22" t="s">
        <v>4555</v>
      </c>
      <c r="H71" s="9" t="s">
        <v>4298</v>
      </c>
      <c r="I71" s="7"/>
      <c r="J71" s="23" t="s">
        <v>4556</v>
      </c>
      <c r="K71" s="24" t="s">
        <v>4557</v>
      </c>
      <c r="L71" s="22" t="s">
        <v>366</v>
      </c>
      <c r="M71" s="25"/>
      <c r="N71" s="25"/>
      <c r="O71" s="26"/>
      <c r="P71" s="27"/>
      <c r="Q71" s="28"/>
      <c r="R71" s="28"/>
      <c r="S71" s="26"/>
    </row>
    <row r="72" customFormat="false" ht="15" hidden="false" customHeight="false" outlineLevel="0" collapsed="false">
      <c r="A72" s="7" t="n">
        <v>68</v>
      </c>
      <c r="B72" s="9" t="s">
        <v>13</v>
      </c>
      <c r="C72" s="22" t="s">
        <v>300</v>
      </c>
      <c r="D72" s="9" t="s">
        <v>367</v>
      </c>
      <c r="E72" s="9" t="s">
        <v>49</v>
      </c>
      <c r="F72" s="9" t="s">
        <v>124</v>
      </c>
      <c r="G72" s="22" t="s">
        <v>4558</v>
      </c>
      <c r="H72" s="9" t="s">
        <v>4298</v>
      </c>
      <c r="I72" s="7"/>
      <c r="J72" s="23" t="s">
        <v>4559</v>
      </c>
      <c r="K72" s="24" t="s">
        <v>4560</v>
      </c>
      <c r="L72" s="22" t="s">
        <v>4561</v>
      </c>
      <c r="M72" s="25"/>
      <c r="N72" s="25"/>
      <c r="O72" s="26"/>
      <c r="P72" s="27"/>
      <c r="Q72" s="28"/>
      <c r="R72" s="28"/>
      <c r="S72" s="26"/>
    </row>
    <row r="73" customFormat="false" ht="15" hidden="false" customHeight="false" outlineLevel="0" collapsed="false">
      <c r="A73" s="7" t="n">
        <v>69</v>
      </c>
      <c r="B73" s="9" t="s">
        <v>13</v>
      </c>
      <c r="C73" s="22" t="s">
        <v>300</v>
      </c>
      <c r="D73" s="9" t="s">
        <v>367</v>
      </c>
      <c r="E73" s="9" t="s">
        <v>49</v>
      </c>
      <c r="F73" s="9" t="s">
        <v>124</v>
      </c>
      <c r="G73" s="22" t="s">
        <v>4562</v>
      </c>
      <c r="H73" s="9" t="s">
        <v>4298</v>
      </c>
      <c r="I73" s="7"/>
      <c r="J73" s="23" t="s">
        <v>4563</v>
      </c>
      <c r="K73" s="24" t="s">
        <v>4564</v>
      </c>
      <c r="L73" s="22" t="s">
        <v>4565</v>
      </c>
      <c r="M73" s="25"/>
      <c r="N73" s="25"/>
      <c r="O73" s="26"/>
      <c r="P73" s="27"/>
      <c r="Q73" s="28"/>
      <c r="R73" s="28"/>
      <c r="S73" s="26"/>
    </row>
    <row r="74" customFormat="false" ht="15" hidden="false" customHeight="false" outlineLevel="0" collapsed="false">
      <c r="A74" s="7" t="n">
        <v>70</v>
      </c>
      <c r="B74" s="9" t="s">
        <v>13</v>
      </c>
      <c r="C74" s="22" t="s">
        <v>300</v>
      </c>
      <c r="D74" s="9" t="s">
        <v>367</v>
      </c>
      <c r="E74" s="9" t="s">
        <v>49</v>
      </c>
      <c r="F74" s="9" t="s">
        <v>124</v>
      </c>
      <c r="G74" s="22" t="s">
        <v>4566</v>
      </c>
      <c r="H74" s="9" t="s">
        <v>4298</v>
      </c>
      <c r="I74" s="7"/>
      <c r="J74" s="23" t="s">
        <v>4567</v>
      </c>
      <c r="K74" s="24" t="s">
        <v>4568</v>
      </c>
      <c r="L74" s="22" t="s">
        <v>4569</v>
      </c>
      <c r="M74" s="25"/>
      <c r="N74" s="25"/>
      <c r="O74" s="26"/>
      <c r="P74" s="27"/>
      <c r="Q74" s="28"/>
      <c r="R74" s="28"/>
      <c r="S74" s="26"/>
    </row>
    <row r="75" customFormat="false" ht="15" hidden="false" customHeight="false" outlineLevel="0" collapsed="false">
      <c r="A75" s="7" t="n">
        <v>71</v>
      </c>
      <c r="B75" s="9" t="s">
        <v>13</v>
      </c>
      <c r="C75" s="22" t="s">
        <v>300</v>
      </c>
      <c r="D75" s="9" t="s">
        <v>367</v>
      </c>
      <c r="E75" s="9" t="s">
        <v>49</v>
      </c>
      <c r="F75" s="9" t="s">
        <v>124</v>
      </c>
      <c r="G75" s="22" t="s">
        <v>4570</v>
      </c>
      <c r="H75" s="9" t="s">
        <v>4298</v>
      </c>
      <c r="I75" s="7"/>
      <c r="J75" s="23" t="s">
        <v>4571</v>
      </c>
      <c r="K75" s="24" t="s">
        <v>4572</v>
      </c>
      <c r="L75" s="22" t="s">
        <v>4573</v>
      </c>
      <c r="M75" s="25"/>
      <c r="N75" s="25"/>
      <c r="O75" s="26"/>
      <c r="P75" s="27"/>
      <c r="Q75" s="28"/>
      <c r="R75" s="28"/>
      <c r="S75" s="26"/>
    </row>
    <row r="76" customFormat="false" ht="15" hidden="false" customHeight="false" outlineLevel="0" collapsed="false">
      <c r="A76" s="7" t="n">
        <v>72</v>
      </c>
      <c r="B76" s="9" t="s">
        <v>13</v>
      </c>
      <c r="C76" s="22" t="s">
        <v>300</v>
      </c>
      <c r="D76" s="9" t="s">
        <v>367</v>
      </c>
      <c r="E76" s="9" t="s">
        <v>49</v>
      </c>
      <c r="F76" s="9" t="s">
        <v>124</v>
      </c>
      <c r="G76" s="22" t="s">
        <v>4574</v>
      </c>
      <c r="H76" s="9" t="s">
        <v>4298</v>
      </c>
      <c r="I76" s="7"/>
      <c r="J76" s="23" t="s">
        <v>4575</v>
      </c>
      <c r="K76" s="24" t="s">
        <v>4576</v>
      </c>
      <c r="L76" s="22" t="s">
        <v>708</v>
      </c>
      <c r="M76" s="25"/>
      <c r="N76" s="25"/>
      <c r="O76" s="26"/>
      <c r="P76" s="27"/>
      <c r="Q76" s="28"/>
      <c r="R76" s="28"/>
      <c r="S76" s="26"/>
    </row>
    <row r="77" customFormat="false" ht="15" hidden="false" customHeight="false" outlineLevel="0" collapsed="false">
      <c r="A77" s="7" t="n">
        <v>73</v>
      </c>
      <c r="B77" s="9" t="s">
        <v>13</v>
      </c>
      <c r="C77" s="22" t="s">
        <v>300</v>
      </c>
      <c r="D77" s="9" t="s">
        <v>367</v>
      </c>
      <c r="E77" s="9" t="s">
        <v>49</v>
      </c>
      <c r="F77" s="9" t="s">
        <v>124</v>
      </c>
      <c r="G77" s="22" t="s">
        <v>4577</v>
      </c>
      <c r="H77" s="9" t="s">
        <v>4298</v>
      </c>
      <c r="I77" s="7"/>
      <c r="J77" s="23" t="s">
        <v>4578</v>
      </c>
      <c r="K77" s="24" t="s">
        <v>4579</v>
      </c>
      <c r="L77" s="22" t="s">
        <v>387</v>
      </c>
      <c r="M77" s="25"/>
      <c r="N77" s="25"/>
      <c r="O77" s="26"/>
      <c r="P77" s="27"/>
      <c r="Q77" s="28"/>
      <c r="R77" s="28"/>
      <c r="S77" s="26"/>
    </row>
    <row r="78" customFormat="false" ht="15" hidden="false" customHeight="false" outlineLevel="0" collapsed="false">
      <c r="A78" s="7" t="n">
        <v>74</v>
      </c>
      <c r="B78" s="9" t="s">
        <v>13</v>
      </c>
      <c r="C78" s="22" t="s">
        <v>300</v>
      </c>
      <c r="D78" s="9" t="s">
        <v>367</v>
      </c>
      <c r="E78" s="9" t="s">
        <v>49</v>
      </c>
      <c r="F78" s="9" t="s">
        <v>124</v>
      </c>
      <c r="G78" s="22" t="s">
        <v>4580</v>
      </c>
      <c r="H78" s="9" t="s">
        <v>4298</v>
      </c>
      <c r="I78" s="7"/>
      <c r="J78" s="23" t="s">
        <v>4581</v>
      </c>
      <c r="K78" s="24" t="s">
        <v>4582</v>
      </c>
      <c r="L78" s="22" t="s">
        <v>4583</v>
      </c>
      <c r="M78" s="25"/>
      <c r="N78" s="25"/>
      <c r="O78" s="26"/>
      <c r="P78" s="27"/>
      <c r="Q78" s="28"/>
      <c r="R78" s="28"/>
      <c r="S78" s="26"/>
    </row>
    <row r="79" customFormat="false" ht="15" hidden="false" customHeight="false" outlineLevel="0" collapsed="false">
      <c r="A79" s="7" t="n">
        <v>75</v>
      </c>
      <c r="B79" s="9" t="s">
        <v>13</v>
      </c>
      <c r="C79" s="22" t="s">
        <v>300</v>
      </c>
      <c r="D79" s="9" t="s">
        <v>393</v>
      </c>
      <c r="E79" s="9" t="s">
        <v>49</v>
      </c>
      <c r="F79" s="9" t="s">
        <v>124</v>
      </c>
      <c r="G79" s="22" t="s">
        <v>4584</v>
      </c>
      <c r="H79" s="9" t="s">
        <v>4298</v>
      </c>
      <c r="I79" s="7"/>
      <c r="J79" s="23" t="s">
        <v>4585</v>
      </c>
      <c r="K79" s="24" t="s">
        <v>4586</v>
      </c>
      <c r="L79" s="22" t="s">
        <v>4587</v>
      </c>
      <c r="M79" s="25"/>
      <c r="N79" s="25"/>
      <c r="O79" s="26"/>
      <c r="P79" s="27"/>
      <c r="Q79" s="28"/>
      <c r="R79" s="28"/>
      <c r="S79" s="26"/>
    </row>
    <row r="80" customFormat="false" ht="15" hidden="false" customHeight="false" outlineLevel="0" collapsed="false">
      <c r="A80" s="7" t="n">
        <v>76</v>
      </c>
      <c r="B80" s="9" t="s">
        <v>13</v>
      </c>
      <c r="C80" s="22" t="s">
        <v>300</v>
      </c>
      <c r="D80" s="9" t="s">
        <v>393</v>
      </c>
      <c r="E80" s="9" t="s">
        <v>49</v>
      </c>
      <c r="F80" s="9" t="s">
        <v>124</v>
      </c>
      <c r="G80" s="22" t="s">
        <v>4588</v>
      </c>
      <c r="H80" s="9" t="s">
        <v>4298</v>
      </c>
      <c r="I80" s="7"/>
      <c r="J80" s="23" t="s">
        <v>4589</v>
      </c>
      <c r="K80" s="24" t="s">
        <v>4590</v>
      </c>
      <c r="L80" s="22" t="s">
        <v>4591</v>
      </c>
      <c r="M80" s="25"/>
      <c r="N80" s="25"/>
      <c r="O80" s="26"/>
      <c r="P80" s="27"/>
      <c r="Q80" s="28"/>
      <c r="R80" s="28"/>
      <c r="S80" s="26"/>
    </row>
    <row r="81" customFormat="false" ht="15" hidden="false" customHeight="false" outlineLevel="0" collapsed="false">
      <c r="A81" s="7" t="n">
        <v>77</v>
      </c>
      <c r="B81" s="9" t="s">
        <v>13</v>
      </c>
      <c r="C81" s="22" t="s">
        <v>300</v>
      </c>
      <c r="D81" s="9" t="s">
        <v>415</v>
      </c>
      <c r="E81" s="9" t="s">
        <v>49</v>
      </c>
      <c r="F81" s="9" t="s">
        <v>124</v>
      </c>
      <c r="G81" s="22" t="s">
        <v>4592</v>
      </c>
      <c r="H81" s="9" t="s">
        <v>4298</v>
      </c>
      <c r="I81" s="7"/>
      <c r="J81" s="23" t="s">
        <v>4593</v>
      </c>
      <c r="K81" s="24" t="s">
        <v>4594</v>
      </c>
      <c r="L81" s="22" t="s">
        <v>4595</v>
      </c>
      <c r="M81" s="25"/>
      <c r="N81" s="25"/>
      <c r="O81" s="26"/>
      <c r="P81" s="27"/>
      <c r="Q81" s="28"/>
      <c r="R81" s="28"/>
      <c r="S81" s="26"/>
    </row>
    <row r="82" customFormat="false" ht="15" hidden="false" customHeight="false" outlineLevel="0" collapsed="false">
      <c r="A82" s="7" t="n">
        <v>78</v>
      </c>
      <c r="B82" s="9" t="s">
        <v>13</v>
      </c>
      <c r="C82" s="22" t="s">
        <v>300</v>
      </c>
      <c r="D82" s="9" t="s">
        <v>424</v>
      </c>
      <c r="E82" s="9" t="s">
        <v>49</v>
      </c>
      <c r="F82" s="9" t="s">
        <v>99</v>
      </c>
      <c r="G82" s="22" t="s">
        <v>4596</v>
      </c>
      <c r="H82" s="9" t="s">
        <v>4298</v>
      </c>
      <c r="I82" s="7"/>
      <c r="J82" s="23" t="s">
        <v>4597</v>
      </c>
      <c r="K82" s="24" t="s">
        <v>4598</v>
      </c>
      <c r="L82" s="22" t="s">
        <v>4599</v>
      </c>
      <c r="M82" s="25"/>
      <c r="N82" s="25"/>
      <c r="O82" s="26"/>
      <c r="P82" s="27"/>
      <c r="Q82" s="28"/>
      <c r="R82" s="28"/>
      <c r="S82" s="26"/>
    </row>
    <row r="83" customFormat="false" ht="15" hidden="false" customHeight="false" outlineLevel="0" collapsed="false">
      <c r="A83" s="7" t="n">
        <v>79</v>
      </c>
      <c r="B83" s="9" t="s">
        <v>13</v>
      </c>
      <c r="C83" s="22" t="s">
        <v>300</v>
      </c>
      <c r="D83" s="9" t="s">
        <v>129</v>
      </c>
      <c r="E83" s="9" t="s">
        <v>49</v>
      </c>
      <c r="F83" s="9" t="s">
        <v>99</v>
      </c>
      <c r="G83" s="22" t="s">
        <v>4600</v>
      </c>
      <c r="H83" s="9" t="s">
        <v>4298</v>
      </c>
      <c r="I83" s="7"/>
      <c r="J83" s="23" t="s">
        <v>4601</v>
      </c>
      <c r="K83" s="24" t="s">
        <v>4602</v>
      </c>
      <c r="L83" s="22" t="s">
        <v>4603</v>
      </c>
      <c r="M83" s="25"/>
      <c r="N83" s="25"/>
      <c r="O83" s="26"/>
      <c r="P83" s="27"/>
      <c r="Q83" s="28"/>
      <c r="R83" s="28"/>
      <c r="S83" s="26"/>
    </row>
    <row r="84" customFormat="false" ht="15" hidden="false" customHeight="false" outlineLevel="0" collapsed="false">
      <c r="A84" s="7" t="n">
        <v>80</v>
      </c>
      <c r="B84" s="9" t="s">
        <v>13</v>
      </c>
      <c r="C84" s="22" t="s">
        <v>300</v>
      </c>
      <c r="D84" s="9" t="s">
        <v>129</v>
      </c>
      <c r="E84" s="9" t="s">
        <v>49</v>
      </c>
      <c r="F84" s="9" t="s">
        <v>99</v>
      </c>
      <c r="G84" s="22" t="s">
        <v>4604</v>
      </c>
      <c r="H84" s="9" t="s">
        <v>4298</v>
      </c>
      <c r="I84" s="7"/>
      <c r="J84" s="23" t="s">
        <v>4605</v>
      </c>
      <c r="K84" s="24" t="s">
        <v>4606</v>
      </c>
      <c r="L84" s="22" t="s">
        <v>4607</v>
      </c>
      <c r="M84" s="25"/>
      <c r="N84" s="25"/>
      <c r="O84" s="26"/>
      <c r="P84" s="27"/>
      <c r="Q84" s="28"/>
      <c r="R84" s="28"/>
      <c r="S84" s="26"/>
    </row>
    <row r="85" customFormat="false" ht="15" hidden="false" customHeight="false" outlineLevel="0" collapsed="false">
      <c r="A85" s="7" t="n">
        <v>81</v>
      </c>
      <c r="B85" s="9" t="s">
        <v>13</v>
      </c>
      <c r="C85" s="22" t="s">
        <v>300</v>
      </c>
      <c r="D85" s="9" t="s">
        <v>454</v>
      </c>
      <c r="E85" s="9" t="s">
        <v>49</v>
      </c>
      <c r="F85" s="9" t="s">
        <v>124</v>
      </c>
      <c r="G85" s="22" t="s">
        <v>4608</v>
      </c>
      <c r="H85" s="9" t="s">
        <v>4298</v>
      </c>
      <c r="I85" s="7"/>
      <c r="J85" s="23" t="s">
        <v>4609</v>
      </c>
      <c r="K85" s="24" t="s">
        <v>4610</v>
      </c>
      <c r="L85" s="22" t="s">
        <v>823</v>
      </c>
      <c r="M85" s="25"/>
      <c r="N85" s="25"/>
      <c r="O85" s="26"/>
      <c r="P85" s="27"/>
      <c r="Q85" s="28"/>
      <c r="R85" s="28"/>
      <c r="S85" s="26"/>
    </row>
    <row r="86" customFormat="false" ht="15" hidden="false" customHeight="false" outlineLevel="0" collapsed="false">
      <c r="A86" s="7" t="n">
        <v>82</v>
      </c>
      <c r="B86" s="9" t="s">
        <v>13</v>
      </c>
      <c r="C86" s="22" t="s">
        <v>300</v>
      </c>
      <c r="D86" s="9" t="s">
        <v>454</v>
      </c>
      <c r="E86" s="9" t="s">
        <v>49</v>
      </c>
      <c r="F86" s="9" t="s">
        <v>124</v>
      </c>
      <c r="G86" s="22" t="s">
        <v>4611</v>
      </c>
      <c r="H86" s="9" t="s">
        <v>4298</v>
      </c>
      <c r="I86" s="7"/>
      <c r="J86" s="23" t="s">
        <v>4612</v>
      </c>
      <c r="K86" s="24" t="s">
        <v>4613</v>
      </c>
      <c r="L86" s="22" t="s">
        <v>4614</v>
      </c>
      <c r="M86" s="25"/>
      <c r="N86" s="25"/>
      <c r="O86" s="26"/>
      <c r="P86" s="27"/>
      <c r="Q86" s="28"/>
      <c r="R86" s="28"/>
      <c r="S86" s="26"/>
    </row>
    <row r="87" customFormat="false" ht="15" hidden="false" customHeight="false" outlineLevel="0" collapsed="false">
      <c r="A87" s="7" t="n">
        <v>83</v>
      </c>
      <c r="B87" s="9" t="s">
        <v>13</v>
      </c>
      <c r="C87" s="22" t="s">
        <v>300</v>
      </c>
      <c r="D87" s="9" t="s">
        <v>454</v>
      </c>
      <c r="E87" s="9" t="s">
        <v>49</v>
      </c>
      <c r="F87" s="9" t="s">
        <v>124</v>
      </c>
      <c r="G87" s="22" t="s">
        <v>4615</v>
      </c>
      <c r="H87" s="9" t="s">
        <v>4298</v>
      </c>
      <c r="I87" s="7"/>
      <c r="J87" s="23" t="s">
        <v>4616</v>
      </c>
      <c r="K87" s="24" t="s">
        <v>4617</v>
      </c>
      <c r="L87" s="22" t="s">
        <v>4618</v>
      </c>
      <c r="M87" s="25"/>
      <c r="N87" s="25"/>
      <c r="O87" s="26"/>
      <c r="P87" s="27"/>
      <c r="Q87" s="28"/>
      <c r="R87" s="28"/>
      <c r="S87" s="26"/>
    </row>
    <row r="88" customFormat="false" ht="15" hidden="false" customHeight="false" outlineLevel="0" collapsed="false">
      <c r="A88" s="7" t="n">
        <v>84</v>
      </c>
      <c r="B88" s="9" t="s">
        <v>13</v>
      </c>
      <c r="C88" s="22" t="s">
        <v>300</v>
      </c>
      <c r="D88" s="9" t="s">
        <v>192</v>
      </c>
      <c r="E88" s="9" t="s">
        <v>49</v>
      </c>
      <c r="F88" s="9" t="s">
        <v>99</v>
      </c>
      <c r="G88" s="22" t="s">
        <v>4619</v>
      </c>
      <c r="H88" s="9" t="s">
        <v>4298</v>
      </c>
      <c r="I88" s="7"/>
      <c r="J88" s="23" t="s">
        <v>4620</v>
      </c>
      <c r="K88" s="24" t="s">
        <v>4621</v>
      </c>
      <c r="L88" s="22" t="s">
        <v>4622</v>
      </c>
      <c r="M88" s="25"/>
      <c r="N88" s="25"/>
      <c r="O88" s="26"/>
      <c r="P88" s="27"/>
      <c r="Q88" s="28"/>
      <c r="R88" s="28"/>
      <c r="S88" s="26"/>
    </row>
    <row r="89" customFormat="false" ht="15" hidden="false" customHeight="false" outlineLevel="0" collapsed="false">
      <c r="A89" s="7" t="n">
        <v>85</v>
      </c>
      <c r="B89" s="9" t="s">
        <v>13</v>
      </c>
      <c r="C89" s="22" t="s">
        <v>300</v>
      </c>
      <c r="D89" s="9" t="s">
        <v>192</v>
      </c>
      <c r="E89" s="9" t="s">
        <v>49</v>
      </c>
      <c r="F89" s="9" t="s">
        <v>124</v>
      </c>
      <c r="G89" s="22" t="s">
        <v>4623</v>
      </c>
      <c r="H89" s="9" t="s">
        <v>4298</v>
      </c>
      <c r="I89" s="7"/>
      <c r="J89" s="23" t="s">
        <v>4624</v>
      </c>
      <c r="K89" s="24" t="s">
        <v>4625</v>
      </c>
      <c r="L89" s="22" t="s">
        <v>4626</v>
      </c>
      <c r="M89" s="25"/>
      <c r="N89" s="25"/>
      <c r="O89" s="26"/>
      <c r="P89" s="27"/>
      <c r="Q89" s="28"/>
      <c r="R89" s="28"/>
      <c r="S89" s="26"/>
    </row>
    <row r="90" customFormat="false" ht="15" hidden="false" customHeight="false" outlineLevel="0" collapsed="false">
      <c r="A90" s="7" t="n">
        <v>86</v>
      </c>
      <c r="B90" s="9" t="s">
        <v>13</v>
      </c>
      <c r="C90" s="22" t="s">
        <v>300</v>
      </c>
      <c r="D90" s="9" t="s">
        <v>275</v>
      </c>
      <c r="E90" s="9" t="s">
        <v>49</v>
      </c>
      <c r="F90" s="9" t="s">
        <v>99</v>
      </c>
      <c r="G90" s="22" t="s">
        <v>4627</v>
      </c>
      <c r="H90" s="9" t="s">
        <v>4298</v>
      </c>
      <c r="I90" s="7"/>
      <c r="J90" s="23" t="s">
        <v>4628</v>
      </c>
      <c r="K90" s="24" t="s">
        <v>4629</v>
      </c>
      <c r="L90" s="22" t="s">
        <v>4630</v>
      </c>
      <c r="M90" s="25"/>
      <c r="N90" s="25"/>
      <c r="O90" s="26"/>
      <c r="P90" s="27"/>
      <c r="Q90" s="28"/>
      <c r="R90" s="28"/>
      <c r="S90" s="26"/>
    </row>
    <row r="91" customFormat="false" ht="15" hidden="false" customHeight="false" outlineLevel="0" collapsed="false">
      <c r="A91" s="7" t="n">
        <v>87</v>
      </c>
      <c r="B91" s="9" t="s">
        <v>13</v>
      </c>
      <c r="C91" s="22" t="s">
        <v>300</v>
      </c>
      <c r="D91" s="9" t="s">
        <v>275</v>
      </c>
      <c r="E91" s="9" t="s">
        <v>49</v>
      </c>
      <c r="F91" s="9" t="s">
        <v>124</v>
      </c>
      <c r="G91" s="22" t="s">
        <v>4631</v>
      </c>
      <c r="H91" s="9" t="s">
        <v>4298</v>
      </c>
      <c r="I91" s="7"/>
      <c r="J91" s="23" t="s">
        <v>4632</v>
      </c>
      <c r="K91" s="24" t="s">
        <v>4633</v>
      </c>
      <c r="L91" s="22" t="s">
        <v>4634</v>
      </c>
      <c r="M91" s="25"/>
      <c r="N91" s="25"/>
      <c r="O91" s="26"/>
      <c r="P91" s="27"/>
      <c r="Q91" s="28"/>
      <c r="R91" s="28"/>
      <c r="S91" s="26"/>
    </row>
    <row r="92" customFormat="false" ht="15" hidden="false" customHeight="false" outlineLevel="0" collapsed="false">
      <c r="A92" s="7" t="n">
        <v>88</v>
      </c>
      <c r="B92" s="9" t="s">
        <v>13</v>
      </c>
      <c r="C92" s="22" t="s">
        <v>300</v>
      </c>
      <c r="D92" s="9" t="s">
        <v>496</v>
      </c>
      <c r="E92" s="9" t="s">
        <v>49</v>
      </c>
      <c r="F92" s="9" t="s">
        <v>99</v>
      </c>
      <c r="G92" s="22" t="s">
        <v>4635</v>
      </c>
      <c r="H92" s="9" t="s">
        <v>4298</v>
      </c>
      <c r="I92" s="7"/>
      <c r="J92" s="23" t="s">
        <v>4636</v>
      </c>
      <c r="K92" s="24" t="s">
        <v>4637</v>
      </c>
      <c r="L92" s="22" t="s">
        <v>4638</v>
      </c>
      <c r="M92" s="25"/>
      <c r="N92" s="25"/>
      <c r="O92" s="26"/>
      <c r="P92" s="27"/>
      <c r="Q92" s="28"/>
      <c r="R92" s="28"/>
      <c r="S92" s="26"/>
    </row>
    <row r="93" customFormat="false" ht="15" hidden="false" customHeight="false" outlineLevel="0" collapsed="false">
      <c r="A93" s="7" t="n">
        <v>89</v>
      </c>
      <c r="B93" s="9" t="s">
        <v>13</v>
      </c>
      <c r="C93" s="22" t="s">
        <v>300</v>
      </c>
      <c r="D93" s="9" t="s">
        <v>496</v>
      </c>
      <c r="E93" s="9" t="s">
        <v>49</v>
      </c>
      <c r="F93" s="9" t="s">
        <v>124</v>
      </c>
      <c r="G93" s="22" t="s">
        <v>4639</v>
      </c>
      <c r="H93" s="9" t="s">
        <v>4298</v>
      </c>
      <c r="I93" s="7"/>
      <c r="J93" s="23" t="s">
        <v>4640</v>
      </c>
      <c r="K93" s="24" t="s">
        <v>4641</v>
      </c>
      <c r="L93" s="22" t="s">
        <v>4642</v>
      </c>
      <c r="M93" s="25"/>
      <c r="N93" s="25"/>
      <c r="O93" s="26"/>
      <c r="P93" s="27"/>
      <c r="Q93" s="28"/>
      <c r="R93" s="28"/>
      <c r="S93" s="26"/>
    </row>
    <row r="94" customFormat="false" ht="15" hidden="false" customHeight="false" outlineLevel="0" collapsed="false">
      <c r="A94" s="7" t="n">
        <v>90</v>
      </c>
      <c r="B94" s="9" t="s">
        <v>13</v>
      </c>
      <c r="C94" s="22" t="s">
        <v>300</v>
      </c>
      <c r="D94" s="9" t="s">
        <v>496</v>
      </c>
      <c r="E94" s="9" t="s">
        <v>49</v>
      </c>
      <c r="F94" s="9" t="s">
        <v>99</v>
      </c>
      <c r="G94" s="22" t="s">
        <v>4643</v>
      </c>
      <c r="H94" s="9" t="s">
        <v>4298</v>
      </c>
      <c r="I94" s="7"/>
      <c r="J94" s="23" t="s">
        <v>4644</v>
      </c>
      <c r="K94" s="24" t="s">
        <v>4645</v>
      </c>
      <c r="L94" s="22" t="s">
        <v>4646</v>
      </c>
      <c r="M94" s="25"/>
      <c r="N94" s="25"/>
      <c r="O94" s="26"/>
      <c r="P94" s="27"/>
      <c r="Q94" s="28"/>
      <c r="R94" s="28"/>
      <c r="S94" s="26"/>
    </row>
    <row r="95" customFormat="false" ht="15" hidden="false" customHeight="false" outlineLevel="0" collapsed="false">
      <c r="A95" s="7" t="n">
        <v>91</v>
      </c>
      <c r="B95" s="9" t="s">
        <v>13</v>
      </c>
      <c r="C95" s="22" t="s">
        <v>300</v>
      </c>
      <c r="D95" s="9" t="s">
        <v>737</v>
      </c>
      <c r="E95" s="9" t="s">
        <v>49</v>
      </c>
      <c r="F95" s="9" t="s">
        <v>124</v>
      </c>
      <c r="G95" s="22" t="s">
        <v>4647</v>
      </c>
      <c r="H95" s="9" t="s">
        <v>4298</v>
      </c>
      <c r="I95" s="7"/>
      <c r="J95" s="23" t="s">
        <v>4648</v>
      </c>
      <c r="K95" s="24" t="s">
        <v>4649</v>
      </c>
      <c r="L95" s="22" t="s">
        <v>4650</v>
      </c>
      <c r="M95" s="25"/>
      <c r="N95" s="25"/>
      <c r="O95" s="26"/>
      <c r="P95" s="27"/>
      <c r="Q95" s="28"/>
      <c r="R95" s="28"/>
      <c r="S95" s="26"/>
    </row>
    <row r="96" customFormat="false" ht="15" hidden="false" customHeight="false" outlineLevel="0" collapsed="false">
      <c r="A96" s="7" t="n">
        <v>92</v>
      </c>
      <c r="B96" s="9" t="s">
        <v>13</v>
      </c>
      <c r="C96" s="22" t="s">
        <v>300</v>
      </c>
      <c r="D96" s="9" t="s">
        <v>737</v>
      </c>
      <c r="E96" s="9" t="s">
        <v>49</v>
      </c>
      <c r="F96" s="9" t="s">
        <v>124</v>
      </c>
      <c r="G96" s="22" t="s">
        <v>4651</v>
      </c>
      <c r="H96" s="9" t="s">
        <v>4298</v>
      </c>
      <c r="I96" s="7"/>
      <c r="J96" s="23" t="s">
        <v>4652</v>
      </c>
      <c r="K96" s="24" t="s">
        <v>4653</v>
      </c>
      <c r="L96" s="22" t="s">
        <v>4654</v>
      </c>
      <c r="M96" s="25"/>
      <c r="N96" s="25"/>
      <c r="O96" s="26"/>
      <c r="P96" s="27"/>
      <c r="Q96" s="28"/>
      <c r="R96" s="28"/>
      <c r="S96" s="26"/>
    </row>
    <row r="97" customFormat="false" ht="15" hidden="false" customHeight="false" outlineLevel="0" collapsed="false">
      <c r="A97" s="7" t="n">
        <v>93</v>
      </c>
      <c r="B97" s="9" t="s">
        <v>13</v>
      </c>
      <c r="C97" s="22" t="s">
        <v>300</v>
      </c>
      <c r="D97" s="9" t="s">
        <v>737</v>
      </c>
      <c r="E97" s="9" t="s">
        <v>49</v>
      </c>
      <c r="F97" s="9" t="s">
        <v>99</v>
      </c>
      <c r="G97" s="22" t="s">
        <v>4655</v>
      </c>
      <c r="H97" s="9" t="s">
        <v>4298</v>
      </c>
      <c r="I97" s="7"/>
      <c r="J97" s="23" t="s">
        <v>4656</v>
      </c>
      <c r="K97" s="24" t="s">
        <v>4657</v>
      </c>
      <c r="L97" s="22" t="s">
        <v>4658</v>
      </c>
      <c r="M97" s="25"/>
      <c r="N97" s="25"/>
      <c r="O97" s="26"/>
      <c r="P97" s="27"/>
      <c r="Q97" s="28"/>
      <c r="R97" s="28"/>
      <c r="S97" s="26"/>
    </row>
    <row r="98" customFormat="false" ht="15" hidden="false" customHeight="false" outlineLevel="0" collapsed="false">
      <c r="A98" s="7" t="n">
        <v>94</v>
      </c>
      <c r="B98" s="9" t="s">
        <v>13</v>
      </c>
      <c r="C98" s="22" t="s">
        <v>300</v>
      </c>
      <c r="D98" s="9" t="s">
        <v>526</v>
      </c>
      <c r="E98" s="9" t="s">
        <v>49</v>
      </c>
      <c r="F98" s="9" t="s">
        <v>99</v>
      </c>
      <c r="G98" s="22" t="s">
        <v>4659</v>
      </c>
      <c r="H98" s="9" t="s">
        <v>4298</v>
      </c>
      <c r="I98" s="7"/>
      <c r="J98" s="23" t="s">
        <v>4660</v>
      </c>
      <c r="K98" s="24" t="s">
        <v>4661</v>
      </c>
      <c r="L98" s="22" t="s">
        <v>4662</v>
      </c>
      <c r="M98" s="25"/>
      <c r="N98" s="25"/>
      <c r="O98" s="26"/>
      <c r="P98" s="27"/>
      <c r="Q98" s="28"/>
      <c r="R98" s="28"/>
      <c r="S98" s="26"/>
    </row>
    <row r="99" customFormat="false" ht="15" hidden="false" customHeight="false" outlineLevel="0" collapsed="false">
      <c r="A99" s="7" t="n">
        <v>95</v>
      </c>
      <c r="B99" s="9" t="s">
        <v>13</v>
      </c>
      <c r="C99" s="22" t="s">
        <v>300</v>
      </c>
      <c r="D99" s="9" t="s">
        <v>526</v>
      </c>
      <c r="E99" s="9" t="s">
        <v>49</v>
      </c>
      <c r="F99" s="9" t="s">
        <v>124</v>
      </c>
      <c r="G99" s="22" t="s">
        <v>4663</v>
      </c>
      <c r="H99" s="9" t="s">
        <v>4298</v>
      </c>
      <c r="I99" s="7"/>
      <c r="J99" s="23" t="s">
        <v>4664</v>
      </c>
      <c r="K99" s="24" t="s">
        <v>4665</v>
      </c>
      <c r="L99" s="22" t="s">
        <v>4666</v>
      </c>
      <c r="M99" s="25"/>
      <c r="N99" s="25"/>
      <c r="O99" s="26"/>
      <c r="P99" s="27"/>
      <c r="Q99" s="28"/>
      <c r="R99" s="28"/>
      <c r="S99" s="26"/>
    </row>
    <row r="100" customFormat="false" ht="15" hidden="false" customHeight="false" outlineLevel="0" collapsed="false">
      <c r="A100" s="7" t="n">
        <v>96</v>
      </c>
      <c r="B100" s="9" t="s">
        <v>13</v>
      </c>
      <c r="C100" s="22" t="s">
        <v>300</v>
      </c>
      <c r="D100" s="9" t="s">
        <v>535</v>
      </c>
      <c r="E100" s="9" t="s">
        <v>49</v>
      </c>
      <c r="F100" s="9" t="s">
        <v>99</v>
      </c>
      <c r="G100" s="22" t="s">
        <v>4667</v>
      </c>
      <c r="H100" s="9" t="s">
        <v>4298</v>
      </c>
      <c r="I100" s="7"/>
      <c r="J100" s="23" t="s">
        <v>4668</v>
      </c>
      <c r="K100" s="24" t="s">
        <v>4669</v>
      </c>
      <c r="L100" s="22" t="s">
        <v>4670</v>
      </c>
      <c r="M100" s="25"/>
      <c r="N100" s="25"/>
      <c r="O100" s="26"/>
      <c r="P100" s="27"/>
      <c r="Q100" s="28"/>
      <c r="R100" s="28"/>
      <c r="S100" s="26"/>
    </row>
    <row r="101" customFormat="false" ht="15" hidden="false" customHeight="false" outlineLevel="0" collapsed="false">
      <c r="A101" s="7" t="n">
        <v>97</v>
      </c>
      <c r="B101" s="9" t="s">
        <v>13</v>
      </c>
      <c r="C101" s="22" t="s">
        <v>552</v>
      </c>
      <c r="D101" s="9" t="s">
        <v>129</v>
      </c>
      <c r="E101" s="9" t="s">
        <v>47</v>
      </c>
      <c r="F101" s="9" t="s">
        <v>553</v>
      </c>
      <c r="G101" s="22" t="s">
        <v>4671</v>
      </c>
      <c r="H101" s="9" t="s">
        <v>4298</v>
      </c>
      <c r="I101" s="7"/>
      <c r="J101" s="23" t="s">
        <v>4672</v>
      </c>
      <c r="K101" s="24" t="s">
        <v>4673</v>
      </c>
      <c r="L101" s="22" t="s">
        <v>4674</v>
      </c>
      <c r="M101" s="25"/>
      <c r="N101" s="25"/>
      <c r="O101" s="26"/>
      <c r="P101" s="27"/>
      <c r="Q101" s="28"/>
      <c r="R101" s="28"/>
      <c r="S101" s="26"/>
    </row>
    <row r="102" customFormat="false" ht="15" hidden="false" customHeight="false" outlineLevel="0" collapsed="false">
      <c r="A102" s="7" t="n">
        <v>98</v>
      </c>
      <c r="B102" s="9" t="s">
        <v>13</v>
      </c>
      <c r="C102" s="22" t="s">
        <v>562</v>
      </c>
      <c r="D102" s="9" t="s">
        <v>345</v>
      </c>
      <c r="E102" s="9" t="s">
        <v>47</v>
      </c>
      <c r="F102" s="9" t="s">
        <v>99</v>
      </c>
      <c r="G102" s="22" t="s">
        <v>4675</v>
      </c>
      <c r="H102" s="9" t="s">
        <v>4298</v>
      </c>
      <c r="I102" s="7"/>
      <c r="J102" s="23" t="s">
        <v>4676</v>
      </c>
      <c r="K102" s="24" t="s">
        <v>4677</v>
      </c>
      <c r="L102" s="22" t="s">
        <v>4678</v>
      </c>
      <c r="M102" s="25"/>
      <c r="N102" s="25"/>
      <c r="O102" s="26"/>
      <c r="P102" s="27"/>
      <c r="Q102" s="28"/>
      <c r="R102" s="28"/>
      <c r="S102" s="26"/>
    </row>
    <row r="103" customFormat="false" ht="15" hidden="false" customHeight="false" outlineLevel="0" collapsed="false">
      <c r="A103" s="7" t="n">
        <v>99</v>
      </c>
      <c r="B103" s="9" t="s">
        <v>13</v>
      </c>
      <c r="C103" s="22" t="s">
        <v>562</v>
      </c>
      <c r="D103" s="9" t="s">
        <v>345</v>
      </c>
      <c r="E103" s="9" t="s">
        <v>47</v>
      </c>
      <c r="F103" s="9" t="s">
        <v>99</v>
      </c>
      <c r="G103" s="22" t="s">
        <v>4679</v>
      </c>
      <c r="H103" s="9" t="s">
        <v>4298</v>
      </c>
      <c r="I103" s="7"/>
      <c r="J103" s="23" t="s">
        <v>4680</v>
      </c>
      <c r="K103" s="24" t="s">
        <v>4681</v>
      </c>
      <c r="L103" s="22" t="s">
        <v>4682</v>
      </c>
      <c r="M103" s="25"/>
      <c r="N103" s="25"/>
      <c r="O103" s="26"/>
      <c r="P103" s="27"/>
      <c r="Q103" s="28"/>
      <c r="R103" s="28"/>
      <c r="S103" s="26"/>
    </row>
    <row r="104" customFormat="false" ht="15" hidden="false" customHeight="false" outlineLevel="0" collapsed="false">
      <c r="A104" s="7" t="n">
        <v>100</v>
      </c>
      <c r="B104" s="9" t="s">
        <v>13</v>
      </c>
      <c r="C104" s="22" t="s">
        <v>562</v>
      </c>
      <c r="D104" s="9" t="s">
        <v>345</v>
      </c>
      <c r="E104" s="9" t="s">
        <v>47</v>
      </c>
      <c r="F104" s="9" t="s">
        <v>99</v>
      </c>
      <c r="G104" s="22" t="s">
        <v>4683</v>
      </c>
      <c r="H104" s="9" t="s">
        <v>4298</v>
      </c>
      <c r="I104" s="7"/>
      <c r="J104" s="23" t="s">
        <v>4684</v>
      </c>
      <c r="K104" s="24" t="s">
        <v>4685</v>
      </c>
      <c r="L104" s="22" t="s">
        <v>4686</v>
      </c>
      <c r="M104" s="25"/>
      <c r="N104" s="25"/>
      <c r="O104" s="26"/>
      <c r="P104" s="27"/>
      <c r="Q104" s="28"/>
      <c r="R104" s="28"/>
      <c r="S104" s="26"/>
    </row>
    <row r="105" customFormat="false" ht="15" hidden="false" customHeight="false" outlineLevel="0" collapsed="false">
      <c r="A105" s="7" t="n">
        <v>101</v>
      </c>
      <c r="B105" s="9" t="s">
        <v>13</v>
      </c>
      <c r="C105" s="22" t="s">
        <v>562</v>
      </c>
      <c r="D105" s="9" t="s">
        <v>345</v>
      </c>
      <c r="E105" s="9" t="s">
        <v>47</v>
      </c>
      <c r="F105" s="9" t="s">
        <v>99</v>
      </c>
      <c r="G105" s="22" t="s">
        <v>4687</v>
      </c>
      <c r="H105" s="9" t="s">
        <v>4298</v>
      </c>
      <c r="I105" s="7"/>
      <c r="J105" s="23" t="s">
        <v>4688</v>
      </c>
      <c r="K105" s="24" t="s">
        <v>4689</v>
      </c>
      <c r="L105" s="22" t="s">
        <v>4690</v>
      </c>
      <c r="M105" s="25"/>
      <c r="N105" s="25"/>
      <c r="O105" s="26"/>
      <c r="P105" s="27"/>
      <c r="Q105" s="28"/>
      <c r="R105" s="28"/>
      <c r="S105" s="26"/>
    </row>
    <row r="106" customFormat="false" ht="15" hidden="false" customHeight="false" outlineLevel="0" collapsed="false">
      <c r="A106" s="7" t="n">
        <v>102</v>
      </c>
      <c r="B106" s="9" t="s">
        <v>13</v>
      </c>
      <c r="C106" s="22" t="s">
        <v>562</v>
      </c>
      <c r="D106" s="9" t="s">
        <v>345</v>
      </c>
      <c r="E106" s="9" t="s">
        <v>48</v>
      </c>
      <c r="F106" s="9" t="s">
        <v>99</v>
      </c>
      <c r="G106" s="22" t="s">
        <v>4691</v>
      </c>
      <c r="H106" s="9" t="s">
        <v>4298</v>
      </c>
      <c r="I106" s="7"/>
      <c r="J106" s="23" t="s">
        <v>4692</v>
      </c>
      <c r="K106" s="24" t="s">
        <v>4693</v>
      </c>
      <c r="L106" s="22" t="s">
        <v>4694</v>
      </c>
      <c r="M106" s="25"/>
      <c r="N106" s="25"/>
      <c r="O106" s="26"/>
      <c r="P106" s="27"/>
      <c r="Q106" s="28"/>
      <c r="R106" s="28"/>
      <c r="S106" s="26"/>
    </row>
    <row r="107" customFormat="false" ht="15" hidden="false" customHeight="false" outlineLevel="0" collapsed="false">
      <c r="A107" s="7" t="n">
        <v>103</v>
      </c>
      <c r="B107" s="9" t="s">
        <v>13</v>
      </c>
      <c r="C107" s="22" t="s">
        <v>562</v>
      </c>
      <c r="D107" s="9" t="s">
        <v>345</v>
      </c>
      <c r="E107" s="9" t="s">
        <v>48</v>
      </c>
      <c r="F107" s="9" t="s">
        <v>99</v>
      </c>
      <c r="G107" s="22" t="s">
        <v>4695</v>
      </c>
      <c r="H107" s="9" t="s">
        <v>4298</v>
      </c>
      <c r="I107" s="7"/>
      <c r="J107" s="23" t="s">
        <v>4696</v>
      </c>
      <c r="K107" s="24" t="s">
        <v>4697</v>
      </c>
      <c r="L107" s="22" t="s">
        <v>4698</v>
      </c>
      <c r="M107" s="25"/>
      <c r="N107" s="25"/>
      <c r="O107" s="26"/>
      <c r="P107" s="27"/>
      <c r="Q107" s="28"/>
      <c r="R107" s="28"/>
      <c r="S107" s="26"/>
    </row>
    <row r="108" customFormat="false" ht="15" hidden="false" customHeight="false" outlineLevel="0" collapsed="false">
      <c r="A108" s="7" t="n">
        <v>104</v>
      </c>
      <c r="B108" s="9" t="s">
        <v>13</v>
      </c>
      <c r="C108" s="22" t="s">
        <v>562</v>
      </c>
      <c r="D108" s="9" t="s">
        <v>362</v>
      </c>
      <c r="E108" s="9" t="s">
        <v>47</v>
      </c>
      <c r="F108" s="9" t="s">
        <v>124</v>
      </c>
      <c r="G108" s="22" t="s">
        <v>4699</v>
      </c>
      <c r="H108" s="9" t="s">
        <v>4298</v>
      </c>
      <c r="I108" s="7"/>
      <c r="J108" s="23" t="s">
        <v>4700</v>
      </c>
      <c r="K108" s="24" t="s">
        <v>4701</v>
      </c>
      <c r="L108" s="22" t="s">
        <v>366</v>
      </c>
      <c r="M108" s="25"/>
      <c r="N108" s="25"/>
      <c r="O108" s="26"/>
      <c r="P108" s="27"/>
      <c r="Q108" s="28"/>
      <c r="R108" s="28"/>
      <c r="S108" s="26"/>
    </row>
    <row r="109" customFormat="false" ht="15" hidden="false" customHeight="false" outlineLevel="0" collapsed="false">
      <c r="A109" s="7" t="n">
        <v>105</v>
      </c>
      <c r="B109" s="9" t="s">
        <v>13</v>
      </c>
      <c r="C109" s="22" t="s">
        <v>562</v>
      </c>
      <c r="D109" s="9" t="s">
        <v>362</v>
      </c>
      <c r="E109" s="9" t="s">
        <v>47</v>
      </c>
      <c r="F109" s="9" t="s">
        <v>99</v>
      </c>
      <c r="G109" s="22" t="s">
        <v>4702</v>
      </c>
      <c r="H109" s="9" t="s">
        <v>4298</v>
      </c>
      <c r="I109" s="7"/>
      <c r="J109" s="23" t="s">
        <v>4703</v>
      </c>
      <c r="K109" s="24" t="s">
        <v>4704</v>
      </c>
      <c r="L109" s="22" t="s">
        <v>4705</v>
      </c>
      <c r="M109" s="25"/>
      <c r="N109" s="25"/>
      <c r="O109" s="26"/>
      <c r="P109" s="27"/>
      <c r="Q109" s="28"/>
      <c r="R109" s="28"/>
      <c r="S109" s="26"/>
    </row>
    <row r="110" customFormat="false" ht="15" hidden="false" customHeight="false" outlineLevel="0" collapsed="false">
      <c r="A110" s="7" t="n">
        <v>106</v>
      </c>
      <c r="B110" s="9" t="s">
        <v>13</v>
      </c>
      <c r="C110" s="22" t="s">
        <v>562</v>
      </c>
      <c r="D110" s="9" t="s">
        <v>362</v>
      </c>
      <c r="E110" s="9" t="s">
        <v>47</v>
      </c>
      <c r="F110" s="9" t="s">
        <v>99</v>
      </c>
      <c r="G110" s="22" t="s">
        <v>4706</v>
      </c>
      <c r="H110" s="9" t="s">
        <v>4298</v>
      </c>
      <c r="I110" s="7"/>
      <c r="J110" s="23" t="s">
        <v>4707</v>
      </c>
      <c r="K110" s="24" t="s">
        <v>4708</v>
      </c>
      <c r="L110" s="22" t="s">
        <v>4709</v>
      </c>
      <c r="M110" s="25"/>
      <c r="N110" s="25"/>
      <c r="O110" s="26"/>
      <c r="P110" s="27"/>
      <c r="Q110" s="28"/>
      <c r="R110" s="28"/>
      <c r="S110" s="26"/>
    </row>
    <row r="111" customFormat="false" ht="15" hidden="false" customHeight="false" outlineLevel="0" collapsed="false">
      <c r="A111" s="7" t="n">
        <v>107</v>
      </c>
      <c r="B111" s="9" t="s">
        <v>13</v>
      </c>
      <c r="C111" s="22" t="s">
        <v>562</v>
      </c>
      <c r="D111" s="9" t="s">
        <v>491</v>
      </c>
      <c r="E111" s="9" t="s">
        <v>47</v>
      </c>
      <c r="F111" s="9" t="s">
        <v>99</v>
      </c>
      <c r="G111" s="22" t="s">
        <v>4710</v>
      </c>
      <c r="H111" s="9" t="s">
        <v>4298</v>
      </c>
      <c r="I111" s="7"/>
      <c r="J111" s="23" t="s">
        <v>4711</v>
      </c>
      <c r="K111" s="24" t="s">
        <v>4712</v>
      </c>
      <c r="L111" s="22" t="s">
        <v>4713</v>
      </c>
      <c r="M111" s="25"/>
      <c r="N111" s="25"/>
      <c r="O111" s="26"/>
      <c r="P111" s="27"/>
      <c r="Q111" s="28"/>
      <c r="R111" s="28"/>
      <c r="S111" s="26"/>
    </row>
    <row r="112" customFormat="false" ht="15" hidden="false" customHeight="false" outlineLevel="0" collapsed="false">
      <c r="A112" s="7" t="n">
        <v>108</v>
      </c>
      <c r="B112" s="9" t="s">
        <v>13</v>
      </c>
      <c r="C112" s="22" t="s">
        <v>611</v>
      </c>
      <c r="D112" s="9" t="s">
        <v>393</v>
      </c>
      <c r="E112" s="9" t="s">
        <v>47</v>
      </c>
      <c r="F112" s="9" t="s">
        <v>99</v>
      </c>
      <c r="G112" s="22" t="s">
        <v>4714</v>
      </c>
      <c r="H112" s="9" t="s">
        <v>4298</v>
      </c>
      <c r="I112" s="7"/>
      <c r="J112" s="23" t="s">
        <v>4715</v>
      </c>
      <c r="K112" s="24" t="s">
        <v>4716</v>
      </c>
      <c r="L112" s="22" t="s">
        <v>4717</v>
      </c>
      <c r="M112" s="25"/>
      <c r="N112" s="25"/>
      <c r="O112" s="26"/>
      <c r="P112" s="27"/>
      <c r="Q112" s="28"/>
      <c r="R112" s="28"/>
      <c r="S112" s="26"/>
    </row>
    <row r="113" customFormat="false" ht="15" hidden="false" customHeight="false" outlineLevel="0" collapsed="false">
      <c r="A113" s="7" t="n">
        <v>109</v>
      </c>
      <c r="B113" s="9" t="s">
        <v>13</v>
      </c>
      <c r="C113" s="22" t="s">
        <v>611</v>
      </c>
      <c r="D113" s="9" t="s">
        <v>393</v>
      </c>
      <c r="E113" s="9" t="s">
        <v>47</v>
      </c>
      <c r="F113" s="9" t="s">
        <v>99</v>
      </c>
      <c r="G113" s="22" t="s">
        <v>4718</v>
      </c>
      <c r="H113" s="9" t="s">
        <v>4298</v>
      </c>
      <c r="I113" s="7"/>
      <c r="J113" s="23" t="s">
        <v>4719</v>
      </c>
      <c r="K113" s="24" t="s">
        <v>4720</v>
      </c>
      <c r="L113" s="22" t="s">
        <v>4721</v>
      </c>
      <c r="M113" s="25"/>
      <c r="N113" s="25"/>
      <c r="O113" s="26"/>
      <c r="P113" s="27"/>
      <c r="Q113" s="28"/>
      <c r="R113" s="28"/>
      <c r="S113" s="26"/>
    </row>
    <row r="114" customFormat="false" ht="15" hidden="false" customHeight="false" outlineLevel="0" collapsed="false">
      <c r="A114" s="7" t="n">
        <v>110</v>
      </c>
      <c r="B114" s="9" t="s">
        <v>13</v>
      </c>
      <c r="C114" s="22" t="s">
        <v>611</v>
      </c>
      <c r="D114" s="9" t="s">
        <v>393</v>
      </c>
      <c r="E114" s="9" t="s">
        <v>47</v>
      </c>
      <c r="F114" s="9" t="s">
        <v>99</v>
      </c>
      <c r="G114" s="22" t="s">
        <v>4722</v>
      </c>
      <c r="H114" s="9" t="s">
        <v>4298</v>
      </c>
      <c r="I114" s="7"/>
      <c r="J114" s="23" t="s">
        <v>4723</v>
      </c>
      <c r="K114" s="24" t="s">
        <v>4724</v>
      </c>
      <c r="L114" s="22" t="s">
        <v>4725</v>
      </c>
      <c r="M114" s="25"/>
      <c r="N114" s="25"/>
      <c r="O114" s="26"/>
      <c r="P114" s="27"/>
      <c r="Q114" s="28"/>
      <c r="R114" s="28"/>
      <c r="S114" s="26"/>
    </row>
    <row r="115" customFormat="false" ht="15" hidden="false" customHeight="false" outlineLevel="0" collapsed="false">
      <c r="A115" s="7" t="n">
        <v>111</v>
      </c>
      <c r="B115" s="9" t="s">
        <v>13</v>
      </c>
      <c r="C115" s="22" t="s">
        <v>611</v>
      </c>
      <c r="D115" s="9" t="s">
        <v>393</v>
      </c>
      <c r="E115" s="9" t="s">
        <v>47</v>
      </c>
      <c r="F115" s="9" t="s">
        <v>99</v>
      </c>
      <c r="G115" s="22" t="s">
        <v>4726</v>
      </c>
      <c r="H115" s="9" t="s">
        <v>4298</v>
      </c>
      <c r="I115" s="7"/>
      <c r="J115" s="23" t="s">
        <v>4727</v>
      </c>
      <c r="K115" s="24" t="s">
        <v>4728</v>
      </c>
      <c r="L115" s="22" t="s">
        <v>4729</v>
      </c>
      <c r="M115" s="25"/>
      <c r="N115" s="25"/>
      <c r="O115" s="26"/>
      <c r="P115" s="27"/>
      <c r="Q115" s="28"/>
      <c r="R115" s="28"/>
      <c r="S115" s="26"/>
    </row>
    <row r="116" customFormat="false" ht="15" hidden="false" customHeight="false" outlineLevel="0" collapsed="false">
      <c r="A116" s="7" t="n">
        <v>112</v>
      </c>
      <c r="B116" s="9" t="s">
        <v>13</v>
      </c>
      <c r="C116" s="22" t="s">
        <v>611</v>
      </c>
      <c r="D116" s="9" t="s">
        <v>393</v>
      </c>
      <c r="E116" s="9" t="s">
        <v>48</v>
      </c>
      <c r="F116" s="9" t="s">
        <v>124</v>
      </c>
      <c r="G116" s="22" t="s">
        <v>4730</v>
      </c>
      <c r="H116" s="9" t="s">
        <v>4298</v>
      </c>
      <c r="I116" s="7"/>
      <c r="J116" s="23" t="s">
        <v>4731</v>
      </c>
      <c r="K116" s="24" t="s">
        <v>4732</v>
      </c>
      <c r="L116" s="22" t="s">
        <v>619</v>
      </c>
      <c r="M116" s="25"/>
      <c r="N116" s="25"/>
      <c r="O116" s="26"/>
      <c r="P116" s="27"/>
      <c r="Q116" s="28"/>
      <c r="R116" s="28"/>
      <c r="S116" s="26"/>
    </row>
    <row r="117" customFormat="false" ht="15" hidden="false" customHeight="false" outlineLevel="0" collapsed="false">
      <c r="A117" s="7" t="n">
        <v>113</v>
      </c>
      <c r="B117" s="9" t="s">
        <v>13</v>
      </c>
      <c r="C117" s="22" t="s">
        <v>611</v>
      </c>
      <c r="D117" s="9" t="s">
        <v>393</v>
      </c>
      <c r="E117" s="9" t="s">
        <v>48</v>
      </c>
      <c r="F117" s="9" t="s">
        <v>124</v>
      </c>
      <c r="G117" s="22" t="s">
        <v>4733</v>
      </c>
      <c r="H117" s="9" t="s">
        <v>4298</v>
      </c>
      <c r="I117" s="7"/>
      <c r="J117" s="23" t="s">
        <v>4734</v>
      </c>
      <c r="K117" s="24" t="s">
        <v>4735</v>
      </c>
      <c r="L117" s="22" t="s">
        <v>397</v>
      </c>
      <c r="M117" s="25"/>
      <c r="N117" s="25"/>
      <c r="O117" s="26"/>
      <c r="P117" s="27"/>
      <c r="Q117" s="28"/>
      <c r="R117" s="28"/>
      <c r="S117" s="26"/>
    </row>
    <row r="118" customFormat="false" ht="15" hidden="false" customHeight="false" outlineLevel="0" collapsed="false">
      <c r="A118" s="7" t="n">
        <v>114</v>
      </c>
      <c r="B118" s="9" t="s">
        <v>13</v>
      </c>
      <c r="C118" s="22" t="s">
        <v>611</v>
      </c>
      <c r="D118" s="9" t="s">
        <v>393</v>
      </c>
      <c r="E118" s="9" t="s">
        <v>48</v>
      </c>
      <c r="F118" s="9" t="s">
        <v>124</v>
      </c>
      <c r="G118" s="22" t="s">
        <v>4736</v>
      </c>
      <c r="H118" s="9" t="s">
        <v>4298</v>
      </c>
      <c r="I118" s="7"/>
      <c r="J118" s="23" t="s">
        <v>4737</v>
      </c>
      <c r="K118" s="24" t="s">
        <v>4738</v>
      </c>
      <c r="L118" s="22" t="s">
        <v>4739</v>
      </c>
      <c r="M118" s="25"/>
      <c r="N118" s="25"/>
      <c r="O118" s="26"/>
      <c r="P118" s="27"/>
      <c r="Q118" s="28"/>
      <c r="R118" s="28"/>
      <c r="S118" s="26"/>
    </row>
    <row r="119" customFormat="false" ht="15" hidden="false" customHeight="false" outlineLevel="0" collapsed="false">
      <c r="A119" s="7" t="n">
        <v>115</v>
      </c>
      <c r="B119" s="9" t="s">
        <v>13</v>
      </c>
      <c r="C119" s="22" t="s">
        <v>611</v>
      </c>
      <c r="D119" s="9" t="s">
        <v>535</v>
      </c>
      <c r="E119" s="9" t="s">
        <v>48</v>
      </c>
      <c r="F119" s="9" t="s">
        <v>124</v>
      </c>
      <c r="G119" s="22" t="s">
        <v>4740</v>
      </c>
      <c r="H119" s="9" t="s">
        <v>4298</v>
      </c>
      <c r="I119" s="7"/>
      <c r="J119" s="23" t="s">
        <v>4741</v>
      </c>
      <c r="K119" s="24" t="s">
        <v>4742</v>
      </c>
      <c r="L119" s="22" t="s">
        <v>4743</v>
      </c>
      <c r="M119" s="25"/>
      <c r="N119" s="25"/>
      <c r="O119" s="26"/>
      <c r="P119" s="27"/>
      <c r="Q119" s="28"/>
      <c r="R119" s="28"/>
      <c r="S119" s="26"/>
    </row>
    <row r="120" customFormat="false" ht="15" hidden="false" customHeight="false" outlineLevel="0" collapsed="false">
      <c r="A120" s="7" t="n">
        <v>116</v>
      </c>
      <c r="B120" s="9" t="s">
        <v>13</v>
      </c>
      <c r="C120" s="22" t="s">
        <v>611</v>
      </c>
      <c r="D120" s="9" t="s">
        <v>535</v>
      </c>
      <c r="E120" s="9" t="s">
        <v>48</v>
      </c>
      <c r="F120" s="9" t="s">
        <v>99</v>
      </c>
      <c r="G120" s="22" t="s">
        <v>4744</v>
      </c>
      <c r="H120" s="9" t="s">
        <v>4298</v>
      </c>
      <c r="I120" s="7"/>
      <c r="J120" s="23" t="s">
        <v>4745</v>
      </c>
      <c r="K120" s="24" t="s">
        <v>4746</v>
      </c>
      <c r="L120" s="22" t="s">
        <v>4747</v>
      </c>
      <c r="M120" s="25"/>
      <c r="N120" s="25"/>
      <c r="O120" s="26"/>
      <c r="P120" s="27"/>
      <c r="Q120" s="28"/>
      <c r="R120" s="28"/>
      <c r="S120" s="26"/>
    </row>
    <row r="121" customFormat="false" ht="15" hidden="false" customHeight="false" outlineLevel="0" collapsed="false">
      <c r="A121" s="7" t="n">
        <v>117</v>
      </c>
      <c r="B121" s="9" t="s">
        <v>13</v>
      </c>
      <c r="C121" s="22" t="s">
        <v>632</v>
      </c>
      <c r="D121" s="9" t="s">
        <v>331</v>
      </c>
      <c r="E121" s="9" t="s">
        <v>47</v>
      </c>
      <c r="F121" s="9" t="s">
        <v>99</v>
      </c>
      <c r="G121" s="22" t="s">
        <v>4748</v>
      </c>
      <c r="H121" s="9" t="s">
        <v>4298</v>
      </c>
      <c r="I121" s="7"/>
      <c r="J121" s="23" t="s">
        <v>4749</v>
      </c>
      <c r="K121" s="24" t="s">
        <v>4750</v>
      </c>
      <c r="L121" s="22" t="s">
        <v>4751</v>
      </c>
      <c r="M121" s="25"/>
      <c r="N121" s="25"/>
      <c r="O121" s="26"/>
      <c r="P121" s="27"/>
      <c r="Q121" s="28"/>
      <c r="R121" s="28"/>
      <c r="S121" s="26"/>
    </row>
    <row r="122" customFormat="false" ht="15" hidden="false" customHeight="false" outlineLevel="0" collapsed="false">
      <c r="A122" s="7" t="n">
        <v>118</v>
      </c>
      <c r="B122" s="9" t="s">
        <v>13</v>
      </c>
      <c r="C122" s="22" t="s">
        <v>632</v>
      </c>
      <c r="D122" s="9" t="s">
        <v>331</v>
      </c>
      <c r="E122" s="9" t="s">
        <v>47</v>
      </c>
      <c r="F122" s="9" t="s">
        <v>99</v>
      </c>
      <c r="G122" s="22" t="s">
        <v>4752</v>
      </c>
      <c r="H122" s="9" t="s">
        <v>4298</v>
      </c>
      <c r="I122" s="7"/>
      <c r="J122" s="23" t="s">
        <v>4753</v>
      </c>
      <c r="K122" s="24" t="s">
        <v>4754</v>
      </c>
      <c r="L122" s="22" t="s">
        <v>4755</v>
      </c>
      <c r="M122" s="25"/>
      <c r="N122" s="25"/>
      <c r="O122" s="26"/>
      <c r="P122" s="27"/>
      <c r="Q122" s="28"/>
      <c r="R122" s="28"/>
      <c r="S122" s="26"/>
    </row>
    <row r="123" customFormat="false" ht="15" hidden="false" customHeight="false" outlineLevel="0" collapsed="false">
      <c r="A123" s="7" t="n">
        <v>119</v>
      </c>
      <c r="B123" s="9" t="s">
        <v>13</v>
      </c>
      <c r="C123" s="22" t="s">
        <v>632</v>
      </c>
      <c r="D123" s="9" t="s">
        <v>331</v>
      </c>
      <c r="E123" s="9" t="s">
        <v>48</v>
      </c>
      <c r="F123" s="9" t="s">
        <v>99</v>
      </c>
      <c r="G123" s="22" t="s">
        <v>4756</v>
      </c>
      <c r="H123" s="9" t="s">
        <v>4298</v>
      </c>
      <c r="I123" s="7"/>
      <c r="J123" s="23" t="s">
        <v>4757</v>
      </c>
      <c r="K123" s="24" t="s">
        <v>4758</v>
      </c>
      <c r="L123" s="22" t="s">
        <v>4759</v>
      </c>
      <c r="M123" s="25"/>
      <c r="N123" s="25"/>
      <c r="O123" s="26"/>
      <c r="P123" s="27"/>
      <c r="Q123" s="28"/>
      <c r="R123" s="28"/>
      <c r="S123" s="26"/>
    </row>
    <row r="124" customFormat="false" ht="15" hidden="false" customHeight="false" outlineLevel="0" collapsed="false">
      <c r="A124" s="7" t="n">
        <v>120</v>
      </c>
      <c r="B124" s="9" t="s">
        <v>13</v>
      </c>
      <c r="C124" s="22" t="s">
        <v>632</v>
      </c>
      <c r="D124" s="9" t="s">
        <v>331</v>
      </c>
      <c r="E124" s="9" t="s">
        <v>48</v>
      </c>
      <c r="F124" s="9" t="s">
        <v>99</v>
      </c>
      <c r="G124" s="22" t="s">
        <v>4760</v>
      </c>
      <c r="H124" s="9" t="s">
        <v>4298</v>
      </c>
      <c r="I124" s="7"/>
      <c r="J124" s="23" t="s">
        <v>4761</v>
      </c>
      <c r="K124" s="24" t="s">
        <v>4762</v>
      </c>
      <c r="L124" s="22" t="s">
        <v>4763</v>
      </c>
      <c r="M124" s="25"/>
      <c r="N124" s="25"/>
      <c r="O124" s="26"/>
      <c r="P124" s="27"/>
      <c r="Q124" s="28"/>
      <c r="R124" s="28"/>
      <c r="S124" s="26"/>
    </row>
    <row r="125" customFormat="false" ht="15" hidden="false" customHeight="false" outlineLevel="0" collapsed="false">
      <c r="A125" s="7" t="n">
        <v>121</v>
      </c>
      <c r="B125" s="9" t="s">
        <v>13</v>
      </c>
      <c r="C125" s="22" t="s">
        <v>632</v>
      </c>
      <c r="D125" s="9" t="s">
        <v>398</v>
      </c>
      <c r="E125" s="9" t="s">
        <v>47</v>
      </c>
      <c r="F125" s="9" t="s">
        <v>99</v>
      </c>
      <c r="G125" s="22" t="s">
        <v>4764</v>
      </c>
      <c r="H125" s="9" t="s">
        <v>4298</v>
      </c>
      <c r="I125" s="7"/>
      <c r="J125" s="23" t="s">
        <v>4765</v>
      </c>
      <c r="K125" s="24" t="s">
        <v>4766</v>
      </c>
      <c r="L125" s="22" t="s">
        <v>4767</v>
      </c>
      <c r="M125" s="25"/>
      <c r="N125" s="25"/>
      <c r="O125" s="26"/>
      <c r="P125" s="27"/>
      <c r="Q125" s="28"/>
      <c r="R125" s="28"/>
      <c r="S125" s="26"/>
    </row>
    <row r="126" customFormat="false" ht="15" hidden="false" customHeight="false" outlineLevel="0" collapsed="false">
      <c r="A126" s="7" t="n">
        <v>122</v>
      </c>
      <c r="B126" s="9" t="s">
        <v>13</v>
      </c>
      <c r="C126" s="22" t="s">
        <v>632</v>
      </c>
      <c r="D126" s="9" t="s">
        <v>398</v>
      </c>
      <c r="E126" s="9" t="s">
        <v>47</v>
      </c>
      <c r="F126" s="9" t="s">
        <v>99</v>
      </c>
      <c r="G126" s="22" t="s">
        <v>4768</v>
      </c>
      <c r="H126" s="9" t="s">
        <v>4298</v>
      </c>
      <c r="I126" s="7"/>
      <c r="J126" s="23" t="s">
        <v>4769</v>
      </c>
      <c r="K126" s="24" t="s">
        <v>4770</v>
      </c>
      <c r="L126" s="22" t="s">
        <v>4771</v>
      </c>
      <c r="M126" s="25"/>
      <c r="N126" s="25"/>
      <c r="O126" s="26"/>
      <c r="P126" s="27"/>
      <c r="Q126" s="28"/>
      <c r="R126" s="28"/>
      <c r="S126" s="26"/>
    </row>
    <row r="127" customFormat="false" ht="15" hidden="false" customHeight="false" outlineLevel="0" collapsed="false">
      <c r="A127" s="7" t="n">
        <v>123</v>
      </c>
      <c r="B127" s="9" t="s">
        <v>13</v>
      </c>
      <c r="C127" s="22" t="s">
        <v>632</v>
      </c>
      <c r="D127" s="9" t="s">
        <v>398</v>
      </c>
      <c r="E127" s="9" t="s">
        <v>47</v>
      </c>
      <c r="F127" s="9" t="s">
        <v>99</v>
      </c>
      <c r="G127" s="22" t="s">
        <v>4772</v>
      </c>
      <c r="H127" s="9" t="s">
        <v>4298</v>
      </c>
      <c r="I127" s="7"/>
      <c r="J127" s="23" t="s">
        <v>4773</v>
      </c>
      <c r="K127" s="24" t="s">
        <v>4774</v>
      </c>
      <c r="L127" s="22" t="s">
        <v>4775</v>
      </c>
      <c r="M127" s="25"/>
      <c r="N127" s="25"/>
      <c r="O127" s="26"/>
      <c r="P127" s="27"/>
      <c r="Q127" s="28"/>
      <c r="R127" s="28"/>
      <c r="S127" s="26"/>
    </row>
    <row r="128" customFormat="false" ht="15" hidden="false" customHeight="false" outlineLevel="0" collapsed="false">
      <c r="A128" s="7" t="n">
        <v>124</v>
      </c>
      <c r="B128" s="9" t="s">
        <v>13</v>
      </c>
      <c r="C128" s="22" t="s">
        <v>632</v>
      </c>
      <c r="D128" s="9" t="s">
        <v>398</v>
      </c>
      <c r="E128" s="9" t="s">
        <v>47</v>
      </c>
      <c r="F128" s="9" t="s">
        <v>99</v>
      </c>
      <c r="G128" s="22" t="s">
        <v>4776</v>
      </c>
      <c r="H128" s="9" t="s">
        <v>4298</v>
      </c>
      <c r="I128" s="7"/>
      <c r="J128" s="23" t="s">
        <v>4777</v>
      </c>
      <c r="K128" s="24" t="s">
        <v>4778</v>
      </c>
      <c r="L128" s="22" t="s">
        <v>4779</v>
      </c>
      <c r="M128" s="25"/>
      <c r="N128" s="25"/>
      <c r="O128" s="26"/>
      <c r="P128" s="27"/>
      <c r="Q128" s="28"/>
      <c r="R128" s="28"/>
      <c r="S128" s="26"/>
    </row>
    <row r="129" customFormat="false" ht="15" hidden="false" customHeight="false" outlineLevel="0" collapsed="false">
      <c r="A129" s="7" t="n">
        <v>125</v>
      </c>
      <c r="B129" s="9" t="s">
        <v>13</v>
      </c>
      <c r="C129" s="22" t="s">
        <v>632</v>
      </c>
      <c r="D129" s="9" t="s">
        <v>398</v>
      </c>
      <c r="E129" s="9" t="s">
        <v>47</v>
      </c>
      <c r="F129" s="9" t="s">
        <v>99</v>
      </c>
      <c r="G129" s="22" t="s">
        <v>4780</v>
      </c>
      <c r="H129" s="9" t="s">
        <v>4298</v>
      </c>
      <c r="I129" s="7"/>
      <c r="J129" s="23" t="s">
        <v>4781</v>
      </c>
      <c r="K129" s="24" t="s">
        <v>4782</v>
      </c>
      <c r="L129" s="22" t="s">
        <v>4783</v>
      </c>
      <c r="M129" s="25"/>
      <c r="N129" s="25"/>
      <c r="O129" s="26"/>
      <c r="P129" s="27"/>
      <c r="Q129" s="28"/>
      <c r="R129" s="28"/>
      <c r="S129" s="26"/>
    </row>
    <row r="130" customFormat="false" ht="15" hidden="false" customHeight="false" outlineLevel="0" collapsed="false">
      <c r="A130" s="7" t="n">
        <v>126</v>
      </c>
      <c r="B130" s="9" t="s">
        <v>13</v>
      </c>
      <c r="C130" s="22" t="s">
        <v>632</v>
      </c>
      <c r="D130" s="9" t="s">
        <v>398</v>
      </c>
      <c r="E130" s="9" t="s">
        <v>47</v>
      </c>
      <c r="F130" s="9" t="s">
        <v>124</v>
      </c>
      <c r="G130" s="22" t="s">
        <v>4784</v>
      </c>
      <c r="H130" s="9" t="s">
        <v>4298</v>
      </c>
      <c r="I130" s="7"/>
      <c r="J130" s="23" t="s">
        <v>4785</v>
      </c>
      <c r="K130" s="24" t="s">
        <v>4786</v>
      </c>
      <c r="L130" s="22" t="s">
        <v>4787</v>
      </c>
      <c r="M130" s="25"/>
      <c r="N130" s="25"/>
      <c r="O130" s="26"/>
      <c r="P130" s="27"/>
      <c r="Q130" s="28"/>
      <c r="R130" s="28"/>
      <c r="S130" s="26"/>
    </row>
    <row r="131" customFormat="false" ht="15" hidden="false" customHeight="false" outlineLevel="0" collapsed="false">
      <c r="A131" s="7" t="n">
        <v>127</v>
      </c>
      <c r="B131" s="9" t="s">
        <v>13</v>
      </c>
      <c r="C131" s="22" t="s">
        <v>632</v>
      </c>
      <c r="D131" s="9" t="s">
        <v>398</v>
      </c>
      <c r="E131" s="9" t="s">
        <v>48</v>
      </c>
      <c r="F131" s="9" t="s">
        <v>124</v>
      </c>
      <c r="G131" s="22" t="s">
        <v>4788</v>
      </c>
      <c r="H131" s="9" t="s">
        <v>4298</v>
      </c>
      <c r="I131" s="7"/>
      <c r="J131" s="23" t="s">
        <v>4789</v>
      </c>
      <c r="K131" s="24" t="s">
        <v>4790</v>
      </c>
      <c r="L131" s="22" t="s">
        <v>406</v>
      </c>
      <c r="M131" s="25"/>
      <c r="N131" s="25"/>
      <c r="O131" s="26"/>
      <c r="P131" s="27"/>
      <c r="Q131" s="28"/>
      <c r="R131" s="28"/>
      <c r="S131" s="26"/>
    </row>
    <row r="132" customFormat="false" ht="15" hidden="false" customHeight="false" outlineLevel="0" collapsed="false">
      <c r="A132" s="7" t="n">
        <v>128</v>
      </c>
      <c r="B132" s="9" t="s">
        <v>13</v>
      </c>
      <c r="C132" s="22" t="s">
        <v>669</v>
      </c>
      <c r="D132" s="9" t="s">
        <v>367</v>
      </c>
      <c r="E132" s="9" t="s">
        <v>47</v>
      </c>
      <c r="F132" s="9" t="s">
        <v>124</v>
      </c>
      <c r="G132" s="22" t="s">
        <v>4791</v>
      </c>
      <c r="H132" s="9" t="s">
        <v>4298</v>
      </c>
      <c r="I132" s="7"/>
      <c r="J132" s="23" t="s">
        <v>4792</v>
      </c>
      <c r="K132" s="24" t="s">
        <v>4793</v>
      </c>
      <c r="L132" s="22" t="s">
        <v>4794</v>
      </c>
      <c r="M132" s="25"/>
      <c r="N132" s="25"/>
      <c r="O132" s="26"/>
      <c r="P132" s="27"/>
      <c r="Q132" s="28"/>
      <c r="R132" s="28"/>
      <c r="S132" s="26"/>
    </row>
    <row r="133" customFormat="false" ht="15" hidden="false" customHeight="false" outlineLevel="0" collapsed="false">
      <c r="A133" s="7" t="n">
        <v>129</v>
      </c>
      <c r="B133" s="9" t="s">
        <v>13</v>
      </c>
      <c r="C133" s="22" t="s">
        <v>669</v>
      </c>
      <c r="D133" s="9" t="s">
        <v>367</v>
      </c>
      <c r="E133" s="9" t="s">
        <v>47</v>
      </c>
      <c r="F133" s="9" t="s">
        <v>99</v>
      </c>
      <c r="G133" s="22" t="s">
        <v>4795</v>
      </c>
      <c r="H133" s="9" t="s">
        <v>4298</v>
      </c>
      <c r="I133" s="7"/>
      <c r="J133" s="23" t="s">
        <v>4796</v>
      </c>
      <c r="K133" s="24" t="s">
        <v>4797</v>
      </c>
      <c r="L133" s="22" t="s">
        <v>4798</v>
      </c>
      <c r="M133" s="25"/>
      <c r="N133" s="25"/>
      <c r="O133" s="26"/>
      <c r="P133" s="27"/>
      <c r="Q133" s="28"/>
      <c r="R133" s="28"/>
      <c r="S133" s="26"/>
    </row>
    <row r="134" customFormat="false" ht="15" hidden="false" customHeight="false" outlineLevel="0" collapsed="false">
      <c r="A134" s="7" t="n">
        <v>130</v>
      </c>
      <c r="B134" s="9" t="s">
        <v>13</v>
      </c>
      <c r="C134" s="22" t="s">
        <v>669</v>
      </c>
      <c r="D134" s="9" t="s">
        <v>367</v>
      </c>
      <c r="E134" s="9" t="s">
        <v>47</v>
      </c>
      <c r="F134" s="9" t="s">
        <v>99</v>
      </c>
      <c r="G134" s="22" t="s">
        <v>4799</v>
      </c>
      <c r="H134" s="9" t="s">
        <v>4298</v>
      </c>
      <c r="I134" s="7"/>
      <c r="J134" s="23" t="s">
        <v>4800</v>
      </c>
      <c r="K134" s="24" t="s">
        <v>4801</v>
      </c>
      <c r="L134" s="22" t="s">
        <v>4802</v>
      </c>
      <c r="M134" s="25"/>
      <c r="N134" s="25"/>
      <c r="O134" s="26"/>
      <c r="P134" s="27"/>
      <c r="Q134" s="28"/>
      <c r="R134" s="28"/>
      <c r="S134" s="26"/>
    </row>
    <row r="135" customFormat="false" ht="15" hidden="false" customHeight="false" outlineLevel="0" collapsed="false">
      <c r="A135" s="7" t="n">
        <v>131</v>
      </c>
      <c r="B135" s="9" t="s">
        <v>13</v>
      </c>
      <c r="C135" s="22" t="s">
        <v>669</v>
      </c>
      <c r="D135" s="9" t="s">
        <v>367</v>
      </c>
      <c r="E135" s="9" t="s">
        <v>47</v>
      </c>
      <c r="F135" s="9" t="s">
        <v>99</v>
      </c>
      <c r="G135" s="22" t="s">
        <v>4803</v>
      </c>
      <c r="H135" s="9" t="s">
        <v>4298</v>
      </c>
      <c r="I135" s="7"/>
      <c r="J135" s="23" t="s">
        <v>4804</v>
      </c>
      <c r="K135" s="24" t="s">
        <v>4805</v>
      </c>
      <c r="L135" s="22" t="s">
        <v>4806</v>
      </c>
      <c r="M135" s="25"/>
      <c r="N135" s="25"/>
      <c r="O135" s="26"/>
      <c r="P135" s="27"/>
      <c r="Q135" s="28"/>
      <c r="R135" s="28"/>
      <c r="S135" s="26"/>
    </row>
    <row r="136" customFormat="false" ht="15" hidden="false" customHeight="false" outlineLevel="0" collapsed="false">
      <c r="A136" s="7" t="n">
        <v>132</v>
      </c>
      <c r="B136" s="9" t="s">
        <v>13</v>
      </c>
      <c r="C136" s="22" t="s">
        <v>669</v>
      </c>
      <c r="D136" s="9" t="s">
        <v>367</v>
      </c>
      <c r="E136" s="9" t="s">
        <v>47</v>
      </c>
      <c r="F136" s="9" t="s">
        <v>99</v>
      </c>
      <c r="G136" s="22" t="s">
        <v>4807</v>
      </c>
      <c r="H136" s="9" t="s">
        <v>4298</v>
      </c>
      <c r="I136" s="7"/>
      <c r="J136" s="23" t="s">
        <v>4808</v>
      </c>
      <c r="K136" s="24" t="s">
        <v>4809</v>
      </c>
      <c r="L136" s="22" t="s">
        <v>4810</v>
      </c>
      <c r="M136" s="25"/>
      <c r="N136" s="25"/>
      <c r="O136" s="26"/>
      <c r="P136" s="27"/>
      <c r="Q136" s="28"/>
      <c r="R136" s="28"/>
      <c r="S136" s="26"/>
    </row>
    <row r="137" customFormat="false" ht="15" hidden="false" customHeight="false" outlineLevel="0" collapsed="false">
      <c r="A137" s="7" t="n">
        <v>133</v>
      </c>
      <c r="B137" s="9" t="s">
        <v>13</v>
      </c>
      <c r="C137" s="22" t="s">
        <v>669</v>
      </c>
      <c r="D137" s="9" t="s">
        <v>367</v>
      </c>
      <c r="E137" s="9" t="s">
        <v>47</v>
      </c>
      <c r="F137" s="9" t="s">
        <v>99</v>
      </c>
      <c r="G137" s="22" t="s">
        <v>4811</v>
      </c>
      <c r="H137" s="9" t="s">
        <v>4298</v>
      </c>
      <c r="I137" s="7"/>
      <c r="J137" s="23" t="s">
        <v>4812</v>
      </c>
      <c r="K137" s="24" t="s">
        <v>4813</v>
      </c>
      <c r="L137" s="22" t="s">
        <v>4814</v>
      </c>
      <c r="M137" s="25"/>
      <c r="N137" s="25"/>
      <c r="O137" s="26"/>
      <c r="P137" s="27"/>
      <c r="Q137" s="28"/>
      <c r="R137" s="28"/>
      <c r="S137" s="26"/>
    </row>
    <row r="138" customFormat="false" ht="15" hidden="false" customHeight="false" outlineLevel="0" collapsed="false">
      <c r="A138" s="7" t="n">
        <v>134</v>
      </c>
      <c r="B138" s="9" t="s">
        <v>13</v>
      </c>
      <c r="C138" s="22" t="s">
        <v>669</v>
      </c>
      <c r="D138" s="9" t="s">
        <v>367</v>
      </c>
      <c r="E138" s="9" t="s">
        <v>47</v>
      </c>
      <c r="F138" s="9" t="s">
        <v>99</v>
      </c>
      <c r="G138" s="22" t="s">
        <v>4815</v>
      </c>
      <c r="H138" s="9" t="s">
        <v>4298</v>
      </c>
      <c r="I138" s="7"/>
      <c r="J138" s="23" t="s">
        <v>4816</v>
      </c>
      <c r="K138" s="24" t="s">
        <v>4817</v>
      </c>
      <c r="L138" s="22" t="s">
        <v>4818</v>
      </c>
      <c r="M138" s="25"/>
      <c r="N138" s="25"/>
      <c r="O138" s="26"/>
      <c r="P138" s="27"/>
      <c r="Q138" s="28"/>
      <c r="R138" s="28"/>
      <c r="S138" s="26"/>
    </row>
    <row r="139" customFormat="false" ht="15" hidden="false" customHeight="false" outlineLevel="0" collapsed="false">
      <c r="A139" s="7" t="n">
        <v>135</v>
      </c>
      <c r="B139" s="9" t="s">
        <v>13</v>
      </c>
      <c r="C139" s="22" t="s">
        <v>669</v>
      </c>
      <c r="D139" s="9" t="s">
        <v>367</v>
      </c>
      <c r="E139" s="9" t="s">
        <v>48</v>
      </c>
      <c r="F139" s="9" t="s">
        <v>99</v>
      </c>
      <c r="G139" s="22" t="s">
        <v>1143</v>
      </c>
      <c r="H139" s="9" t="s">
        <v>4298</v>
      </c>
      <c r="I139" s="7"/>
      <c r="J139" s="23" t="s">
        <v>4819</v>
      </c>
      <c r="K139" s="24" t="s">
        <v>4820</v>
      </c>
      <c r="L139" s="22" t="s">
        <v>4821</v>
      </c>
      <c r="M139" s="25"/>
      <c r="N139" s="25"/>
      <c r="O139" s="26"/>
      <c r="P139" s="27"/>
      <c r="Q139" s="28"/>
      <c r="R139" s="28"/>
      <c r="S139" s="26"/>
    </row>
    <row r="140" customFormat="false" ht="15" hidden="false" customHeight="false" outlineLevel="0" collapsed="false">
      <c r="A140" s="7" t="n">
        <v>136</v>
      </c>
      <c r="B140" s="9" t="s">
        <v>13</v>
      </c>
      <c r="C140" s="22" t="s">
        <v>669</v>
      </c>
      <c r="D140" s="9" t="s">
        <v>367</v>
      </c>
      <c r="E140" s="9" t="s">
        <v>48</v>
      </c>
      <c r="F140" s="9" t="s">
        <v>124</v>
      </c>
      <c r="G140" s="22" t="s">
        <v>4822</v>
      </c>
      <c r="H140" s="9" t="s">
        <v>4298</v>
      </c>
      <c r="I140" s="7"/>
      <c r="J140" s="23" t="s">
        <v>4823</v>
      </c>
      <c r="K140" s="24" t="s">
        <v>4824</v>
      </c>
      <c r="L140" s="22" t="s">
        <v>4573</v>
      </c>
      <c r="M140" s="25"/>
      <c r="N140" s="25"/>
      <c r="O140" s="26"/>
      <c r="P140" s="27"/>
      <c r="Q140" s="28"/>
      <c r="R140" s="28"/>
      <c r="S140" s="26"/>
    </row>
    <row r="141" customFormat="false" ht="15" hidden="false" customHeight="false" outlineLevel="0" collapsed="false">
      <c r="A141" s="7" t="n">
        <v>137</v>
      </c>
      <c r="B141" s="9" t="s">
        <v>13</v>
      </c>
      <c r="C141" s="22" t="s">
        <v>669</v>
      </c>
      <c r="D141" s="9" t="s">
        <v>367</v>
      </c>
      <c r="E141" s="9" t="s">
        <v>48</v>
      </c>
      <c r="F141" s="9" t="s">
        <v>99</v>
      </c>
      <c r="G141" s="22" t="s">
        <v>4825</v>
      </c>
      <c r="H141" s="9" t="s">
        <v>4298</v>
      </c>
      <c r="I141" s="7"/>
      <c r="J141" s="23" t="s">
        <v>4826</v>
      </c>
      <c r="K141" s="24" t="s">
        <v>4827</v>
      </c>
      <c r="L141" s="22" t="s">
        <v>4828</v>
      </c>
      <c r="M141" s="25"/>
      <c r="N141" s="25"/>
      <c r="O141" s="26"/>
      <c r="P141" s="27"/>
      <c r="Q141" s="28"/>
      <c r="R141" s="28"/>
      <c r="S141" s="26"/>
    </row>
    <row r="142" customFormat="false" ht="15" hidden="false" customHeight="false" outlineLevel="0" collapsed="false">
      <c r="A142" s="7" t="n">
        <v>138</v>
      </c>
      <c r="B142" s="9" t="s">
        <v>13</v>
      </c>
      <c r="C142" s="22" t="s">
        <v>669</v>
      </c>
      <c r="D142" s="9" t="s">
        <v>388</v>
      </c>
      <c r="E142" s="9" t="s">
        <v>47</v>
      </c>
      <c r="F142" s="9" t="s">
        <v>124</v>
      </c>
      <c r="G142" s="22" t="s">
        <v>4829</v>
      </c>
      <c r="H142" s="9" t="s">
        <v>4298</v>
      </c>
      <c r="I142" s="7"/>
      <c r="J142" s="23" t="s">
        <v>4830</v>
      </c>
      <c r="K142" s="24" t="s">
        <v>4831</v>
      </c>
      <c r="L142" s="22" t="s">
        <v>392</v>
      </c>
      <c r="M142" s="25"/>
      <c r="N142" s="25"/>
      <c r="O142" s="26"/>
      <c r="P142" s="27"/>
      <c r="Q142" s="28"/>
      <c r="R142" s="28"/>
      <c r="S142" s="26"/>
    </row>
    <row r="143" customFormat="false" ht="15" hidden="false" customHeight="false" outlineLevel="0" collapsed="false">
      <c r="A143" s="7" t="n">
        <v>139</v>
      </c>
      <c r="B143" s="9" t="s">
        <v>13</v>
      </c>
      <c r="C143" s="22" t="s">
        <v>669</v>
      </c>
      <c r="D143" s="9" t="s">
        <v>388</v>
      </c>
      <c r="E143" s="9" t="s">
        <v>47</v>
      </c>
      <c r="F143" s="9" t="s">
        <v>99</v>
      </c>
      <c r="G143" s="22" t="s">
        <v>4832</v>
      </c>
      <c r="H143" s="9" t="s">
        <v>4298</v>
      </c>
      <c r="I143" s="7"/>
      <c r="J143" s="23" t="s">
        <v>4833</v>
      </c>
      <c r="K143" s="24" t="s">
        <v>4834</v>
      </c>
      <c r="L143" s="22" t="s">
        <v>4835</v>
      </c>
      <c r="M143" s="25"/>
      <c r="N143" s="25"/>
      <c r="O143" s="26"/>
      <c r="P143" s="27"/>
      <c r="Q143" s="28"/>
      <c r="R143" s="28"/>
      <c r="S143" s="26"/>
    </row>
    <row r="144" customFormat="false" ht="15" hidden="false" customHeight="false" outlineLevel="0" collapsed="false">
      <c r="A144" s="7" t="n">
        <v>140</v>
      </c>
      <c r="B144" s="9" t="s">
        <v>13</v>
      </c>
      <c r="C144" s="22" t="s">
        <v>669</v>
      </c>
      <c r="D144" s="9" t="s">
        <v>388</v>
      </c>
      <c r="E144" s="9" t="s">
        <v>47</v>
      </c>
      <c r="F144" s="9" t="s">
        <v>99</v>
      </c>
      <c r="G144" s="22" t="s">
        <v>4836</v>
      </c>
      <c r="H144" s="9" t="s">
        <v>4298</v>
      </c>
      <c r="I144" s="7"/>
      <c r="J144" s="23" t="s">
        <v>4837</v>
      </c>
      <c r="K144" s="24" t="s">
        <v>4838</v>
      </c>
      <c r="L144" s="22" t="s">
        <v>4839</v>
      </c>
      <c r="M144" s="25"/>
      <c r="N144" s="25"/>
      <c r="O144" s="26"/>
      <c r="P144" s="27"/>
      <c r="Q144" s="28"/>
      <c r="R144" s="28"/>
      <c r="S144" s="26"/>
    </row>
    <row r="145" customFormat="false" ht="15" hidden="false" customHeight="false" outlineLevel="0" collapsed="false">
      <c r="A145" s="7" t="n">
        <v>141</v>
      </c>
      <c r="B145" s="9" t="s">
        <v>13</v>
      </c>
      <c r="C145" s="22" t="s">
        <v>669</v>
      </c>
      <c r="D145" s="9" t="s">
        <v>388</v>
      </c>
      <c r="E145" s="9" t="s">
        <v>47</v>
      </c>
      <c r="F145" s="9" t="s">
        <v>99</v>
      </c>
      <c r="G145" s="22" t="s">
        <v>4840</v>
      </c>
      <c r="H145" s="9" t="s">
        <v>4298</v>
      </c>
      <c r="I145" s="7"/>
      <c r="J145" s="23" t="s">
        <v>4841</v>
      </c>
      <c r="K145" s="24" t="s">
        <v>4842</v>
      </c>
      <c r="L145" s="22" t="s">
        <v>4843</v>
      </c>
      <c r="M145" s="25"/>
      <c r="N145" s="25"/>
      <c r="O145" s="26"/>
      <c r="P145" s="27"/>
      <c r="Q145" s="28"/>
      <c r="R145" s="28"/>
      <c r="S145" s="26"/>
    </row>
    <row r="146" customFormat="false" ht="15" hidden="false" customHeight="false" outlineLevel="0" collapsed="false">
      <c r="A146" s="7" t="n">
        <v>142</v>
      </c>
      <c r="B146" s="9" t="s">
        <v>13</v>
      </c>
      <c r="C146" s="22" t="s">
        <v>669</v>
      </c>
      <c r="D146" s="9" t="s">
        <v>388</v>
      </c>
      <c r="E146" s="9" t="s">
        <v>47</v>
      </c>
      <c r="F146" s="9" t="s">
        <v>99</v>
      </c>
      <c r="G146" s="22" t="s">
        <v>4844</v>
      </c>
      <c r="H146" s="9" t="s">
        <v>4298</v>
      </c>
      <c r="I146" s="7"/>
      <c r="J146" s="23" t="s">
        <v>4845</v>
      </c>
      <c r="K146" s="24" t="s">
        <v>4846</v>
      </c>
      <c r="L146" s="22" t="s">
        <v>4847</v>
      </c>
      <c r="M146" s="25"/>
      <c r="N146" s="25"/>
      <c r="O146" s="26"/>
      <c r="P146" s="27"/>
      <c r="Q146" s="28"/>
      <c r="R146" s="28"/>
      <c r="S146" s="26"/>
    </row>
    <row r="147" customFormat="false" ht="15" hidden="false" customHeight="false" outlineLevel="0" collapsed="false">
      <c r="A147" s="7" t="n">
        <v>143</v>
      </c>
      <c r="B147" s="9" t="s">
        <v>13</v>
      </c>
      <c r="C147" s="22" t="s">
        <v>669</v>
      </c>
      <c r="D147" s="9" t="s">
        <v>388</v>
      </c>
      <c r="E147" s="9" t="s">
        <v>48</v>
      </c>
      <c r="F147" s="9" t="s">
        <v>99</v>
      </c>
      <c r="G147" s="22" t="s">
        <v>4848</v>
      </c>
      <c r="H147" s="9" t="s">
        <v>4298</v>
      </c>
      <c r="I147" s="7"/>
      <c r="J147" s="23" t="s">
        <v>4849</v>
      </c>
      <c r="K147" s="24" t="s">
        <v>4850</v>
      </c>
      <c r="L147" s="22" t="s">
        <v>4851</v>
      </c>
      <c r="M147" s="25"/>
      <c r="N147" s="25"/>
      <c r="O147" s="26"/>
      <c r="P147" s="27"/>
      <c r="Q147" s="28"/>
      <c r="R147" s="28"/>
      <c r="S147" s="26"/>
    </row>
    <row r="148" customFormat="false" ht="15" hidden="false" customHeight="false" outlineLevel="0" collapsed="false">
      <c r="A148" s="7" t="n">
        <v>144</v>
      </c>
      <c r="B148" s="9" t="s">
        <v>13</v>
      </c>
      <c r="C148" s="22" t="s">
        <v>725</v>
      </c>
      <c r="D148" s="9" t="s">
        <v>415</v>
      </c>
      <c r="E148" s="9" t="s">
        <v>47</v>
      </c>
      <c r="F148" s="9" t="s">
        <v>99</v>
      </c>
      <c r="G148" s="22" t="s">
        <v>4852</v>
      </c>
      <c r="H148" s="9" t="s">
        <v>4298</v>
      </c>
      <c r="I148" s="7"/>
      <c r="J148" s="23" t="s">
        <v>4853</v>
      </c>
      <c r="K148" s="24" t="s">
        <v>4854</v>
      </c>
      <c r="L148" s="22" t="s">
        <v>4855</v>
      </c>
      <c r="M148" s="25"/>
      <c r="N148" s="25"/>
      <c r="O148" s="26"/>
      <c r="P148" s="27"/>
      <c r="Q148" s="28"/>
      <c r="R148" s="28"/>
      <c r="S148" s="26"/>
    </row>
    <row r="149" customFormat="false" ht="15" hidden="false" customHeight="false" outlineLevel="0" collapsed="false">
      <c r="A149" s="7" t="n">
        <v>145</v>
      </c>
      <c r="B149" s="9" t="s">
        <v>13</v>
      </c>
      <c r="C149" s="22" t="s">
        <v>725</v>
      </c>
      <c r="D149" s="9" t="s">
        <v>415</v>
      </c>
      <c r="E149" s="9" t="s">
        <v>47</v>
      </c>
      <c r="F149" s="9" t="s">
        <v>99</v>
      </c>
      <c r="G149" s="22" t="s">
        <v>4856</v>
      </c>
      <c r="H149" s="9" t="s">
        <v>4298</v>
      </c>
      <c r="I149" s="7"/>
      <c r="J149" s="23" t="s">
        <v>4857</v>
      </c>
      <c r="K149" s="24" t="s">
        <v>4858</v>
      </c>
      <c r="L149" s="22" t="s">
        <v>4859</v>
      </c>
      <c r="M149" s="25"/>
      <c r="N149" s="25"/>
      <c r="O149" s="26"/>
      <c r="P149" s="27"/>
      <c r="Q149" s="28"/>
      <c r="R149" s="28"/>
      <c r="S149" s="26"/>
    </row>
    <row r="150" customFormat="false" ht="15" hidden="false" customHeight="false" outlineLevel="0" collapsed="false">
      <c r="A150" s="7" t="n">
        <v>146</v>
      </c>
      <c r="B150" s="9" t="s">
        <v>13</v>
      </c>
      <c r="C150" s="22" t="s">
        <v>725</v>
      </c>
      <c r="D150" s="9" t="s">
        <v>424</v>
      </c>
      <c r="E150" s="9" t="s">
        <v>47</v>
      </c>
      <c r="F150" s="9" t="s">
        <v>99</v>
      </c>
      <c r="G150" s="22" t="s">
        <v>4860</v>
      </c>
      <c r="H150" s="9" t="s">
        <v>4298</v>
      </c>
      <c r="I150" s="7"/>
      <c r="J150" s="23" t="s">
        <v>4861</v>
      </c>
      <c r="K150" s="24" t="s">
        <v>4862</v>
      </c>
      <c r="L150" s="22" t="s">
        <v>4863</v>
      </c>
      <c r="M150" s="25"/>
      <c r="N150" s="25"/>
      <c r="O150" s="26"/>
      <c r="P150" s="27"/>
      <c r="Q150" s="28"/>
      <c r="R150" s="28"/>
      <c r="S150" s="26"/>
    </row>
    <row r="151" customFormat="false" ht="15" hidden="false" customHeight="false" outlineLevel="0" collapsed="false">
      <c r="A151" s="7" t="n">
        <v>147</v>
      </c>
      <c r="B151" s="9" t="s">
        <v>13</v>
      </c>
      <c r="C151" s="22" t="s">
        <v>725</v>
      </c>
      <c r="D151" s="9" t="s">
        <v>424</v>
      </c>
      <c r="E151" s="9" t="s">
        <v>47</v>
      </c>
      <c r="F151" s="9" t="s">
        <v>124</v>
      </c>
      <c r="G151" s="22" t="s">
        <v>4864</v>
      </c>
      <c r="H151" s="9" t="s">
        <v>4298</v>
      </c>
      <c r="I151" s="7"/>
      <c r="J151" s="23" t="s">
        <v>4865</v>
      </c>
      <c r="K151" s="24" t="s">
        <v>4866</v>
      </c>
      <c r="L151" s="22" t="s">
        <v>4867</v>
      </c>
      <c r="M151" s="25"/>
      <c r="N151" s="25"/>
      <c r="O151" s="26"/>
      <c r="P151" s="27"/>
      <c r="Q151" s="28"/>
      <c r="R151" s="28"/>
      <c r="S151" s="26"/>
    </row>
    <row r="152" customFormat="false" ht="15" hidden="false" customHeight="false" outlineLevel="0" collapsed="false">
      <c r="A152" s="7" t="n">
        <v>148</v>
      </c>
      <c r="B152" s="9" t="s">
        <v>13</v>
      </c>
      <c r="C152" s="22" t="s">
        <v>725</v>
      </c>
      <c r="D152" s="9" t="s">
        <v>424</v>
      </c>
      <c r="E152" s="9" t="s">
        <v>48</v>
      </c>
      <c r="F152" s="9" t="s">
        <v>124</v>
      </c>
      <c r="G152" s="22" t="s">
        <v>4868</v>
      </c>
      <c r="H152" s="9" t="s">
        <v>4298</v>
      </c>
      <c r="I152" s="7"/>
      <c r="J152" s="23" t="s">
        <v>4869</v>
      </c>
      <c r="K152" s="24" t="s">
        <v>4870</v>
      </c>
      <c r="L152" s="22" t="s">
        <v>4871</v>
      </c>
      <c r="M152" s="25"/>
      <c r="N152" s="25"/>
      <c r="O152" s="26"/>
      <c r="P152" s="27"/>
      <c r="Q152" s="28"/>
      <c r="R152" s="28"/>
      <c r="S152" s="26"/>
    </row>
    <row r="153" customFormat="false" ht="15" hidden="false" customHeight="false" outlineLevel="0" collapsed="false">
      <c r="A153" s="7" t="n">
        <v>149</v>
      </c>
      <c r="B153" s="9" t="s">
        <v>13</v>
      </c>
      <c r="C153" s="22" t="s">
        <v>725</v>
      </c>
      <c r="D153" s="9" t="s">
        <v>424</v>
      </c>
      <c r="E153" s="9" t="s">
        <v>48</v>
      </c>
      <c r="F153" s="9" t="s">
        <v>99</v>
      </c>
      <c r="G153" s="22" t="s">
        <v>4872</v>
      </c>
      <c r="H153" s="9" t="s">
        <v>4298</v>
      </c>
      <c r="I153" s="7"/>
      <c r="J153" s="23" t="s">
        <v>4873</v>
      </c>
      <c r="K153" s="24" t="s">
        <v>4874</v>
      </c>
      <c r="L153" s="22" t="s">
        <v>4875</v>
      </c>
      <c r="M153" s="25"/>
      <c r="N153" s="25"/>
      <c r="O153" s="26"/>
      <c r="P153" s="27"/>
      <c r="Q153" s="28"/>
      <c r="R153" s="28"/>
      <c r="S153" s="26"/>
    </row>
    <row r="154" customFormat="false" ht="15" hidden="false" customHeight="false" outlineLevel="0" collapsed="false">
      <c r="A154" s="7" t="n">
        <v>150</v>
      </c>
      <c r="B154" s="9" t="s">
        <v>13</v>
      </c>
      <c r="C154" s="22" t="s">
        <v>725</v>
      </c>
      <c r="D154" s="9" t="s">
        <v>737</v>
      </c>
      <c r="E154" s="9" t="s">
        <v>47</v>
      </c>
      <c r="F154" s="9" t="s">
        <v>99</v>
      </c>
      <c r="G154" s="22" t="s">
        <v>4876</v>
      </c>
      <c r="H154" s="9" t="s">
        <v>4298</v>
      </c>
      <c r="I154" s="7"/>
      <c r="J154" s="23" t="s">
        <v>4877</v>
      </c>
      <c r="K154" s="24" t="s">
        <v>4878</v>
      </c>
      <c r="L154" s="22" t="s">
        <v>4879</v>
      </c>
      <c r="M154" s="25"/>
      <c r="N154" s="25"/>
      <c r="O154" s="26"/>
      <c r="P154" s="27"/>
      <c r="Q154" s="28"/>
      <c r="R154" s="28"/>
      <c r="S154" s="26"/>
    </row>
    <row r="155" customFormat="false" ht="15" hidden="false" customHeight="false" outlineLevel="0" collapsed="false">
      <c r="A155" s="7" t="n">
        <v>151</v>
      </c>
      <c r="B155" s="9" t="s">
        <v>13</v>
      </c>
      <c r="C155" s="22" t="s">
        <v>725</v>
      </c>
      <c r="D155" s="9" t="s">
        <v>737</v>
      </c>
      <c r="E155" s="9" t="s">
        <v>47</v>
      </c>
      <c r="F155" s="9" t="s">
        <v>99</v>
      </c>
      <c r="G155" s="22" t="s">
        <v>4880</v>
      </c>
      <c r="H155" s="9" t="s">
        <v>4298</v>
      </c>
      <c r="I155" s="7"/>
      <c r="J155" s="23" t="s">
        <v>4881</v>
      </c>
      <c r="K155" s="24" t="s">
        <v>4882</v>
      </c>
      <c r="L155" s="22" t="s">
        <v>4883</v>
      </c>
      <c r="M155" s="25"/>
      <c r="N155" s="25"/>
      <c r="O155" s="26"/>
      <c r="P155" s="27"/>
      <c r="Q155" s="28"/>
      <c r="R155" s="28"/>
      <c r="S155" s="26"/>
    </row>
    <row r="156" customFormat="false" ht="15" hidden="false" customHeight="false" outlineLevel="0" collapsed="false">
      <c r="A156" s="7" t="n">
        <v>152</v>
      </c>
      <c r="B156" s="9" t="s">
        <v>13</v>
      </c>
      <c r="C156" s="22" t="s">
        <v>725</v>
      </c>
      <c r="D156" s="9" t="s">
        <v>737</v>
      </c>
      <c r="E156" s="9" t="s">
        <v>47</v>
      </c>
      <c r="F156" s="9" t="s">
        <v>99</v>
      </c>
      <c r="G156" s="22" t="s">
        <v>4884</v>
      </c>
      <c r="H156" s="9" t="s">
        <v>4298</v>
      </c>
      <c r="I156" s="7"/>
      <c r="J156" s="23" t="s">
        <v>4885</v>
      </c>
      <c r="K156" s="24" t="s">
        <v>4886</v>
      </c>
      <c r="L156" s="22" t="s">
        <v>4887</v>
      </c>
      <c r="M156" s="25"/>
      <c r="N156" s="25"/>
      <c r="O156" s="26"/>
      <c r="P156" s="27"/>
      <c r="Q156" s="28"/>
      <c r="R156" s="28"/>
      <c r="S156" s="26"/>
    </row>
    <row r="157" customFormat="false" ht="15" hidden="false" customHeight="false" outlineLevel="0" collapsed="false">
      <c r="A157" s="7" t="n">
        <v>153</v>
      </c>
      <c r="B157" s="9" t="s">
        <v>13</v>
      </c>
      <c r="C157" s="22" t="s">
        <v>725</v>
      </c>
      <c r="D157" s="9" t="s">
        <v>737</v>
      </c>
      <c r="E157" s="9" t="s">
        <v>47</v>
      </c>
      <c r="F157" s="9" t="s">
        <v>99</v>
      </c>
      <c r="G157" s="22" t="s">
        <v>4888</v>
      </c>
      <c r="H157" s="9" t="s">
        <v>4298</v>
      </c>
      <c r="I157" s="7"/>
      <c r="J157" s="23" t="s">
        <v>4889</v>
      </c>
      <c r="K157" s="24" t="s">
        <v>4890</v>
      </c>
      <c r="L157" s="22" t="s">
        <v>4891</v>
      </c>
      <c r="M157" s="25"/>
      <c r="N157" s="25"/>
      <c r="O157" s="26"/>
      <c r="P157" s="27"/>
      <c r="Q157" s="28"/>
      <c r="R157" s="28"/>
      <c r="S157" s="26"/>
    </row>
    <row r="158" customFormat="false" ht="15" hidden="false" customHeight="false" outlineLevel="0" collapsed="false">
      <c r="A158" s="7" t="n">
        <v>154</v>
      </c>
      <c r="B158" s="9" t="s">
        <v>13</v>
      </c>
      <c r="C158" s="22" t="s">
        <v>725</v>
      </c>
      <c r="D158" s="9" t="s">
        <v>737</v>
      </c>
      <c r="E158" s="9" t="s">
        <v>47</v>
      </c>
      <c r="F158" s="9" t="s">
        <v>124</v>
      </c>
      <c r="G158" s="22" t="s">
        <v>4892</v>
      </c>
      <c r="H158" s="9" t="s">
        <v>4298</v>
      </c>
      <c r="I158" s="7"/>
      <c r="J158" s="23" t="s">
        <v>4893</v>
      </c>
      <c r="K158" s="24" t="s">
        <v>4894</v>
      </c>
      <c r="L158" s="22" t="s">
        <v>4650</v>
      </c>
      <c r="M158" s="25"/>
      <c r="N158" s="25"/>
      <c r="O158" s="26"/>
      <c r="P158" s="27"/>
      <c r="Q158" s="28"/>
      <c r="R158" s="28"/>
      <c r="S158" s="26"/>
    </row>
    <row r="159" customFormat="false" ht="15" hidden="false" customHeight="false" outlineLevel="0" collapsed="false">
      <c r="A159" s="7" t="n">
        <v>155</v>
      </c>
      <c r="B159" s="9" t="s">
        <v>13</v>
      </c>
      <c r="C159" s="22" t="s">
        <v>725</v>
      </c>
      <c r="D159" s="9" t="s">
        <v>737</v>
      </c>
      <c r="E159" s="9" t="s">
        <v>48</v>
      </c>
      <c r="F159" s="9" t="s">
        <v>124</v>
      </c>
      <c r="G159" s="22" t="s">
        <v>4895</v>
      </c>
      <c r="H159" s="9" t="s">
        <v>4298</v>
      </c>
      <c r="I159" s="7"/>
      <c r="J159" s="23" t="s">
        <v>4896</v>
      </c>
      <c r="K159" s="24" t="s">
        <v>4897</v>
      </c>
      <c r="L159" s="22" t="s">
        <v>4898</v>
      </c>
      <c r="M159" s="25"/>
      <c r="N159" s="25"/>
      <c r="O159" s="26"/>
      <c r="P159" s="27"/>
      <c r="Q159" s="28"/>
      <c r="R159" s="28"/>
      <c r="S159" s="26"/>
    </row>
    <row r="160" customFormat="false" ht="15" hidden="false" customHeight="false" outlineLevel="0" collapsed="false">
      <c r="A160" s="7" t="n">
        <v>156</v>
      </c>
      <c r="B160" s="9" t="s">
        <v>13</v>
      </c>
      <c r="C160" s="22" t="s">
        <v>725</v>
      </c>
      <c r="D160" s="9" t="s">
        <v>737</v>
      </c>
      <c r="E160" s="9" t="s">
        <v>48</v>
      </c>
      <c r="F160" s="9" t="s">
        <v>99</v>
      </c>
      <c r="G160" s="22" t="s">
        <v>4899</v>
      </c>
      <c r="H160" s="9" t="s">
        <v>4298</v>
      </c>
      <c r="I160" s="7"/>
      <c r="J160" s="23" t="s">
        <v>4900</v>
      </c>
      <c r="K160" s="24" t="s">
        <v>4901</v>
      </c>
      <c r="L160" s="22" t="s">
        <v>4902</v>
      </c>
      <c r="M160" s="25"/>
      <c r="N160" s="25"/>
      <c r="O160" s="26"/>
      <c r="P160" s="27"/>
      <c r="Q160" s="28"/>
      <c r="R160" s="28"/>
      <c r="S160" s="26"/>
    </row>
    <row r="161" customFormat="false" ht="15" hidden="false" customHeight="false" outlineLevel="0" collapsed="false">
      <c r="A161" s="7" t="n">
        <v>157</v>
      </c>
      <c r="B161" s="9" t="s">
        <v>13</v>
      </c>
      <c r="C161" s="22" t="s">
        <v>725</v>
      </c>
      <c r="D161" s="9" t="s">
        <v>737</v>
      </c>
      <c r="E161" s="9" t="s">
        <v>48</v>
      </c>
      <c r="F161" s="9" t="s">
        <v>124</v>
      </c>
      <c r="G161" s="22" t="s">
        <v>4903</v>
      </c>
      <c r="H161" s="9" t="s">
        <v>4298</v>
      </c>
      <c r="I161" s="7"/>
      <c r="J161" s="23" t="s">
        <v>4904</v>
      </c>
      <c r="K161" s="24" t="s">
        <v>4905</v>
      </c>
      <c r="L161" s="22" t="s">
        <v>4906</v>
      </c>
      <c r="M161" s="25"/>
      <c r="N161" s="25"/>
      <c r="O161" s="26"/>
      <c r="P161" s="27"/>
      <c r="Q161" s="28"/>
      <c r="R161" s="28"/>
      <c r="S161" s="26"/>
    </row>
    <row r="162" customFormat="false" ht="15" hidden="false" customHeight="false" outlineLevel="0" collapsed="false">
      <c r="A162" s="7" t="n">
        <v>158</v>
      </c>
      <c r="B162" s="9" t="s">
        <v>13</v>
      </c>
      <c r="C162" s="22" t="s">
        <v>725</v>
      </c>
      <c r="D162" s="9" t="s">
        <v>737</v>
      </c>
      <c r="E162" s="9" t="s">
        <v>48</v>
      </c>
      <c r="F162" s="9" t="s">
        <v>99</v>
      </c>
      <c r="G162" s="22" t="s">
        <v>4907</v>
      </c>
      <c r="H162" s="9" t="s">
        <v>4298</v>
      </c>
      <c r="I162" s="7"/>
      <c r="J162" s="23" t="s">
        <v>4908</v>
      </c>
      <c r="K162" s="24" t="s">
        <v>4909</v>
      </c>
      <c r="L162" s="22" t="s">
        <v>4910</v>
      </c>
      <c r="M162" s="25"/>
      <c r="N162" s="25"/>
      <c r="O162" s="26"/>
      <c r="P162" s="27"/>
      <c r="Q162" s="28"/>
      <c r="R162" s="28"/>
      <c r="S162" s="26"/>
    </row>
    <row r="163" customFormat="false" ht="15" hidden="false" customHeight="false" outlineLevel="0" collapsed="false">
      <c r="A163" s="7" t="n">
        <v>159</v>
      </c>
      <c r="B163" s="9" t="s">
        <v>13</v>
      </c>
      <c r="C163" s="22" t="s">
        <v>758</v>
      </c>
      <c r="D163" s="9" t="s">
        <v>336</v>
      </c>
      <c r="E163" s="9" t="s">
        <v>47</v>
      </c>
      <c r="F163" s="9" t="s">
        <v>99</v>
      </c>
      <c r="G163" s="22" t="s">
        <v>4911</v>
      </c>
      <c r="H163" s="9" t="s">
        <v>4298</v>
      </c>
      <c r="I163" s="7"/>
      <c r="J163" s="23" t="s">
        <v>4912</v>
      </c>
      <c r="K163" s="24" t="s">
        <v>4913</v>
      </c>
      <c r="L163" s="22" t="s">
        <v>4914</v>
      </c>
      <c r="M163" s="25"/>
      <c r="N163" s="25"/>
      <c r="O163" s="26"/>
      <c r="P163" s="27"/>
      <c r="Q163" s="28"/>
      <c r="R163" s="28"/>
      <c r="S163" s="26"/>
    </row>
    <row r="164" customFormat="false" ht="15" hidden="false" customHeight="false" outlineLevel="0" collapsed="false">
      <c r="A164" s="7" t="n">
        <v>160</v>
      </c>
      <c r="B164" s="9" t="s">
        <v>13</v>
      </c>
      <c r="C164" s="22" t="s">
        <v>758</v>
      </c>
      <c r="D164" s="9" t="s">
        <v>336</v>
      </c>
      <c r="E164" s="9" t="s">
        <v>47</v>
      </c>
      <c r="F164" s="9" t="s">
        <v>99</v>
      </c>
      <c r="G164" s="22" t="s">
        <v>4915</v>
      </c>
      <c r="H164" s="9" t="s">
        <v>4298</v>
      </c>
      <c r="I164" s="7"/>
      <c r="J164" s="23" t="s">
        <v>4916</v>
      </c>
      <c r="K164" s="24" t="s">
        <v>4917</v>
      </c>
      <c r="L164" s="22" t="s">
        <v>4918</v>
      </c>
      <c r="M164" s="25"/>
      <c r="N164" s="25"/>
      <c r="O164" s="26"/>
      <c r="P164" s="27"/>
      <c r="Q164" s="28"/>
      <c r="R164" s="28"/>
      <c r="S164" s="26"/>
    </row>
    <row r="165" customFormat="false" ht="15" hidden="false" customHeight="false" outlineLevel="0" collapsed="false">
      <c r="A165" s="7" t="n">
        <v>161</v>
      </c>
      <c r="B165" s="9" t="s">
        <v>13</v>
      </c>
      <c r="C165" s="22" t="s">
        <v>758</v>
      </c>
      <c r="D165" s="9" t="s">
        <v>336</v>
      </c>
      <c r="E165" s="9" t="s">
        <v>47</v>
      </c>
      <c r="F165" s="9" t="s">
        <v>99</v>
      </c>
      <c r="G165" s="22" t="s">
        <v>4919</v>
      </c>
      <c r="H165" s="9" t="s">
        <v>4298</v>
      </c>
      <c r="I165" s="7"/>
      <c r="J165" s="23" t="s">
        <v>4920</v>
      </c>
      <c r="K165" s="24" t="s">
        <v>4921</v>
      </c>
      <c r="L165" s="22" t="s">
        <v>4922</v>
      </c>
      <c r="M165" s="25"/>
      <c r="N165" s="25"/>
      <c r="O165" s="26"/>
      <c r="P165" s="27"/>
      <c r="Q165" s="28"/>
      <c r="R165" s="28"/>
      <c r="S165" s="26"/>
    </row>
    <row r="166" customFormat="false" ht="15" hidden="false" customHeight="false" outlineLevel="0" collapsed="false">
      <c r="A166" s="7" t="n">
        <v>162</v>
      </c>
      <c r="B166" s="9" t="s">
        <v>13</v>
      </c>
      <c r="C166" s="22" t="s">
        <v>758</v>
      </c>
      <c r="D166" s="9" t="s">
        <v>336</v>
      </c>
      <c r="E166" s="9" t="s">
        <v>47</v>
      </c>
      <c r="F166" s="9" t="s">
        <v>124</v>
      </c>
      <c r="G166" s="22" t="s">
        <v>4923</v>
      </c>
      <c r="H166" s="9" t="s">
        <v>4298</v>
      </c>
      <c r="I166" s="7"/>
      <c r="J166" s="23" t="s">
        <v>4924</v>
      </c>
      <c r="K166" s="24" t="s">
        <v>4925</v>
      </c>
      <c r="L166" s="22" t="s">
        <v>4926</v>
      </c>
      <c r="M166" s="25"/>
      <c r="N166" s="25"/>
      <c r="O166" s="26"/>
      <c r="P166" s="27"/>
      <c r="Q166" s="28"/>
      <c r="R166" s="28"/>
      <c r="S166" s="26"/>
    </row>
    <row r="167" customFormat="false" ht="15" hidden="false" customHeight="false" outlineLevel="0" collapsed="false">
      <c r="A167" s="7" t="n">
        <v>163</v>
      </c>
      <c r="B167" s="9" t="s">
        <v>13</v>
      </c>
      <c r="C167" s="22" t="s">
        <v>758</v>
      </c>
      <c r="D167" s="9" t="s">
        <v>336</v>
      </c>
      <c r="E167" s="9" t="s">
        <v>48</v>
      </c>
      <c r="F167" s="9" t="s">
        <v>124</v>
      </c>
      <c r="G167" s="22" t="s">
        <v>4927</v>
      </c>
      <c r="H167" s="9" t="s">
        <v>4298</v>
      </c>
      <c r="I167" s="7"/>
      <c r="J167" s="23" t="s">
        <v>4928</v>
      </c>
      <c r="K167" s="24" t="s">
        <v>4929</v>
      </c>
      <c r="L167" s="22" t="s">
        <v>4930</v>
      </c>
      <c r="M167" s="25"/>
      <c r="N167" s="25"/>
      <c r="O167" s="26"/>
      <c r="P167" s="27"/>
      <c r="Q167" s="28"/>
      <c r="R167" s="28"/>
      <c r="S167" s="26"/>
    </row>
    <row r="168" customFormat="false" ht="15" hidden="false" customHeight="false" outlineLevel="0" collapsed="false">
      <c r="A168" s="7" t="n">
        <v>164</v>
      </c>
      <c r="B168" s="9" t="s">
        <v>13</v>
      </c>
      <c r="C168" s="22" t="s">
        <v>758</v>
      </c>
      <c r="D168" s="9" t="s">
        <v>336</v>
      </c>
      <c r="E168" s="9" t="s">
        <v>48</v>
      </c>
      <c r="F168" s="9" t="s">
        <v>124</v>
      </c>
      <c r="G168" s="22" t="s">
        <v>4931</v>
      </c>
      <c r="H168" s="9" t="s">
        <v>4298</v>
      </c>
      <c r="I168" s="7"/>
      <c r="J168" s="23" t="s">
        <v>4932</v>
      </c>
      <c r="K168" s="24" t="s">
        <v>4933</v>
      </c>
      <c r="L168" s="22" t="s">
        <v>340</v>
      </c>
      <c r="M168" s="25"/>
      <c r="N168" s="25"/>
      <c r="O168" s="26"/>
      <c r="P168" s="27"/>
      <c r="Q168" s="28"/>
      <c r="R168" s="28"/>
      <c r="S168" s="26"/>
    </row>
    <row r="169" customFormat="false" ht="15" hidden="false" customHeight="false" outlineLevel="0" collapsed="false">
      <c r="A169" s="7" t="n">
        <v>165</v>
      </c>
      <c r="B169" s="9" t="s">
        <v>13</v>
      </c>
      <c r="C169" s="22" t="s">
        <v>758</v>
      </c>
      <c r="D169" s="9" t="s">
        <v>336</v>
      </c>
      <c r="E169" s="9" t="s">
        <v>48</v>
      </c>
      <c r="F169" s="9" t="s">
        <v>124</v>
      </c>
      <c r="G169" s="22" t="s">
        <v>4934</v>
      </c>
      <c r="H169" s="9" t="s">
        <v>4298</v>
      </c>
      <c r="I169" s="7"/>
      <c r="J169" s="23" t="s">
        <v>4935</v>
      </c>
      <c r="K169" s="24" t="s">
        <v>4936</v>
      </c>
      <c r="L169" s="22" t="s">
        <v>344</v>
      </c>
      <c r="M169" s="25"/>
      <c r="N169" s="25"/>
      <c r="O169" s="26"/>
      <c r="P169" s="27"/>
      <c r="Q169" s="28"/>
      <c r="R169" s="28"/>
      <c r="S169" s="26"/>
    </row>
    <row r="170" customFormat="false" ht="15" hidden="false" customHeight="false" outlineLevel="0" collapsed="false">
      <c r="A170" s="7" t="n">
        <v>166</v>
      </c>
      <c r="B170" s="9" t="s">
        <v>13</v>
      </c>
      <c r="C170" s="22" t="s">
        <v>758</v>
      </c>
      <c r="D170" s="9" t="s">
        <v>336</v>
      </c>
      <c r="E170" s="9" t="s">
        <v>48</v>
      </c>
      <c r="F170" s="9" t="s">
        <v>99</v>
      </c>
      <c r="G170" s="22" t="s">
        <v>4937</v>
      </c>
      <c r="H170" s="9" t="s">
        <v>4298</v>
      </c>
      <c r="I170" s="7"/>
      <c r="J170" s="23" t="s">
        <v>4938</v>
      </c>
      <c r="K170" s="24" t="s">
        <v>4939</v>
      </c>
      <c r="L170" s="22" t="s">
        <v>4940</v>
      </c>
      <c r="M170" s="25"/>
      <c r="N170" s="25"/>
      <c r="O170" s="26"/>
      <c r="P170" s="27"/>
      <c r="Q170" s="28"/>
      <c r="R170" s="28"/>
      <c r="S170" s="26"/>
    </row>
    <row r="171" customFormat="false" ht="15" hidden="false" customHeight="false" outlineLevel="0" collapsed="false">
      <c r="A171" s="7" t="n">
        <v>167</v>
      </c>
      <c r="B171" s="9" t="s">
        <v>13</v>
      </c>
      <c r="C171" s="22" t="s">
        <v>758</v>
      </c>
      <c r="D171" s="9" t="s">
        <v>445</v>
      </c>
      <c r="E171" s="9" t="s">
        <v>47</v>
      </c>
      <c r="F171" s="9" t="s">
        <v>99</v>
      </c>
      <c r="G171" s="22" t="s">
        <v>4941</v>
      </c>
      <c r="H171" s="9" t="s">
        <v>4298</v>
      </c>
      <c r="I171" s="7"/>
      <c r="J171" s="23" t="s">
        <v>4942</v>
      </c>
      <c r="K171" s="24" t="s">
        <v>4943</v>
      </c>
      <c r="L171" s="22" t="s">
        <v>4944</v>
      </c>
      <c r="M171" s="25"/>
      <c r="N171" s="25"/>
      <c r="O171" s="26"/>
      <c r="P171" s="27"/>
      <c r="Q171" s="28"/>
      <c r="R171" s="28"/>
      <c r="S171" s="26"/>
    </row>
    <row r="172" customFormat="false" ht="15" hidden="false" customHeight="false" outlineLevel="0" collapsed="false">
      <c r="A172" s="7" t="n">
        <v>168</v>
      </c>
      <c r="B172" s="9" t="s">
        <v>13</v>
      </c>
      <c r="C172" s="22" t="s">
        <v>758</v>
      </c>
      <c r="D172" s="9" t="s">
        <v>445</v>
      </c>
      <c r="E172" s="9" t="s">
        <v>47</v>
      </c>
      <c r="F172" s="9" t="s">
        <v>99</v>
      </c>
      <c r="G172" s="22" t="s">
        <v>4945</v>
      </c>
      <c r="H172" s="9" t="s">
        <v>4298</v>
      </c>
      <c r="I172" s="7"/>
      <c r="J172" s="23" t="s">
        <v>4946</v>
      </c>
      <c r="K172" s="24" t="s">
        <v>4947</v>
      </c>
      <c r="L172" s="22" t="s">
        <v>4948</v>
      </c>
      <c r="M172" s="25"/>
      <c r="N172" s="25"/>
      <c r="O172" s="26"/>
      <c r="P172" s="27"/>
      <c r="Q172" s="28"/>
      <c r="R172" s="28"/>
      <c r="S172" s="26"/>
    </row>
    <row r="173" customFormat="false" ht="15" hidden="false" customHeight="false" outlineLevel="0" collapsed="false">
      <c r="A173" s="7" t="n">
        <v>169</v>
      </c>
      <c r="B173" s="9" t="s">
        <v>13</v>
      </c>
      <c r="C173" s="22" t="s">
        <v>758</v>
      </c>
      <c r="D173" s="9" t="s">
        <v>445</v>
      </c>
      <c r="E173" s="9" t="s">
        <v>48</v>
      </c>
      <c r="F173" s="9" t="s">
        <v>124</v>
      </c>
      <c r="G173" s="22" t="s">
        <v>4949</v>
      </c>
      <c r="H173" s="9" t="s">
        <v>4298</v>
      </c>
      <c r="I173" s="7"/>
      <c r="J173" s="23" t="s">
        <v>4950</v>
      </c>
      <c r="K173" s="24" t="s">
        <v>4951</v>
      </c>
      <c r="L173" s="22" t="s">
        <v>453</v>
      </c>
      <c r="M173" s="25"/>
      <c r="N173" s="25"/>
      <c r="O173" s="26"/>
      <c r="P173" s="27"/>
      <c r="Q173" s="28"/>
      <c r="R173" s="28"/>
      <c r="S173" s="26"/>
    </row>
    <row r="174" customFormat="false" ht="15" hidden="false" customHeight="false" outlineLevel="0" collapsed="false">
      <c r="A174" s="7" t="n">
        <v>170</v>
      </c>
      <c r="B174" s="9" t="s">
        <v>13</v>
      </c>
      <c r="C174" s="22" t="s">
        <v>799</v>
      </c>
      <c r="D174" s="9" t="s">
        <v>305</v>
      </c>
      <c r="E174" s="9" t="s">
        <v>47</v>
      </c>
      <c r="F174" s="9" t="s">
        <v>99</v>
      </c>
      <c r="G174" s="22" t="s">
        <v>4952</v>
      </c>
      <c r="H174" s="9" t="s">
        <v>4298</v>
      </c>
      <c r="I174" s="7"/>
      <c r="J174" s="23" t="s">
        <v>4953</v>
      </c>
      <c r="K174" s="24" t="s">
        <v>4954</v>
      </c>
      <c r="L174" s="22" t="s">
        <v>4955</v>
      </c>
      <c r="M174" s="25"/>
      <c r="N174" s="25"/>
      <c r="O174" s="26"/>
      <c r="P174" s="27"/>
      <c r="Q174" s="28"/>
      <c r="R174" s="28"/>
      <c r="S174" s="26"/>
    </row>
    <row r="175" customFormat="false" ht="15" hidden="false" customHeight="false" outlineLevel="0" collapsed="false">
      <c r="A175" s="7" t="n">
        <v>171</v>
      </c>
      <c r="B175" s="9" t="s">
        <v>13</v>
      </c>
      <c r="C175" s="22" t="s">
        <v>799</v>
      </c>
      <c r="D175" s="9" t="s">
        <v>305</v>
      </c>
      <c r="E175" s="9" t="s">
        <v>47</v>
      </c>
      <c r="F175" s="9" t="s">
        <v>99</v>
      </c>
      <c r="G175" s="22" t="s">
        <v>4956</v>
      </c>
      <c r="H175" s="9" t="s">
        <v>4298</v>
      </c>
      <c r="I175" s="7"/>
      <c r="J175" s="23" t="s">
        <v>4957</v>
      </c>
      <c r="K175" s="24" t="s">
        <v>4958</v>
      </c>
      <c r="L175" s="22" t="s">
        <v>4959</v>
      </c>
      <c r="M175" s="25"/>
      <c r="N175" s="25"/>
      <c r="O175" s="26"/>
      <c r="P175" s="27"/>
      <c r="Q175" s="28"/>
      <c r="R175" s="28"/>
      <c r="S175" s="26"/>
    </row>
    <row r="176" customFormat="false" ht="15" hidden="false" customHeight="false" outlineLevel="0" collapsed="false">
      <c r="A176" s="7" t="n">
        <v>172</v>
      </c>
      <c r="B176" s="9" t="s">
        <v>13</v>
      </c>
      <c r="C176" s="22" t="s">
        <v>799</v>
      </c>
      <c r="D176" s="9" t="s">
        <v>305</v>
      </c>
      <c r="E176" s="9" t="s">
        <v>48</v>
      </c>
      <c r="F176" s="9" t="s">
        <v>99</v>
      </c>
      <c r="G176" s="22" t="s">
        <v>4960</v>
      </c>
      <c r="H176" s="9" t="s">
        <v>4298</v>
      </c>
      <c r="I176" s="7"/>
      <c r="J176" s="23" t="s">
        <v>4961</v>
      </c>
      <c r="K176" s="24" t="s">
        <v>4962</v>
      </c>
      <c r="L176" s="22" t="s">
        <v>4963</v>
      </c>
      <c r="M176" s="25"/>
      <c r="N176" s="25"/>
      <c r="O176" s="26"/>
      <c r="P176" s="27"/>
      <c r="Q176" s="28"/>
      <c r="R176" s="28"/>
      <c r="S176" s="26"/>
    </row>
    <row r="177" customFormat="false" ht="15" hidden="false" customHeight="false" outlineLevel="0" collapsed="false">
      <c r="A177" s="7" t="n">
        <v>173</v>
      </c>
      <c r="B177" s="9" t="s">
        <v>13</v>
      </c>
      <c r="C177" s="22" t="s">
        <v>799</v>
      </c>
      <c r="D177" s="9" t="s">
        <v>305</v>
      </c>
      <c r="E177" s="9" t="s">
        <v>48</v>
      </c>
      <c r="F177" s="9" t="s">
        <v>99</v>
      </c>
      <c r="G177" s="22" t="s">
        <v>4964</v>
      </c>
      <c r="H177" s="9" t="s">
        <v>4298</v>
      </c>
      <c r="I177" s="7"/>
      <c r="J177" s="23" t="s">
        <v>4965</v>
      </c>
      <c r="K177" s="24" t="s">
        <v>4966</v>
      </c>
      <c r="L177" s="22" t="s">
        <v>4967</v>
      </c>
      <c r="M177" s="25"/>
      <c r="N177" s="25"/>
      <c r="O177" s="26"/>
      <c r="P177" s="27"/>
      <c r="Q177" s="28"/>
      <c r="R177" s="28"/>
      <c r="S177" s="26"/>
    </row>
    <row r="178" customFormat="false" ht="15" hidden="false" customHeight="false" outlineLevel="0" collapsed="false">
      <c r="A178" s="7" t="n">
        <v>174</v>
      </c>
      <c r="B178" s="9" t="s">
        <v>13</v>
      </c>
      <c r="C178" s="22" t="s">
        <v>799</v>
      </c>
      <c r="D178" s="9" t="s">
        <v>454</v>
      </c>
      <c r="E178" s="9" t="s">
        <v>47</v>
      </c>
      <c r="F178" s="9" t="s">
        <v>99</v>
      </c>
      <c r="G178" s="22" t="s">
        <v>4968</v>
      </c>
      <c r="H178" s="9" t="s">
        <v>4298</v>
      </c>
      <c r="I178" s="7"/>
      <c r="J178" s="23" t="s">
        <v>4969</v>
      </c>
      <c r="K178" s="24" t="s">
        <v>4970</v>
      </c>
      <c r="L178" s="22" t="s">
        <v>4971</v>
      </c>
      <c r="M178" s="25"/>
      <c r="N178" s="25"/>
      <c r="O178" s="26"/>
      <c r="P178" s="27"/>
      <c r="Q178" s="28"/>
      <c r="R178" s="28"/>
      <c r="S178" s="26"/>
    </row>
    <row r="179" customFormat="false" ht="15" hidden="false" customHeight="false" outlineLevel="0" collapsed="false">
      <c r="A179" s="7" t="n">
        <v>175</v>
      </c>
      <c r="B179" s="9" t="s">
        <v>13</v>
      </c>
      <c r="C179" s="22" t="s">
        <v>799</v>
      </c>
      <c r="D179" s="9" t="s">
        <v>454</v>
      </c>
      <c r="E179" s="9" t="s">
        <v>47</v>
      </c>
      <c r="F179" s="9" t="s">
        <v>99</v>
      </c>
      <c r="G179" s="22" t="s">
        <v>4972</v>
      </c>
      <c r="H179" s="9" t="s">
        <v>4298</v>
      </c>
      <c r="I179" s="7"/>
      <c r="J179" s="23" t="s">
        <v>4973</v>
      </c>
      <c r="K179" s="24" t="s">
        <v>4974</v>
      </c>
      <c r="L179" s="22" t="s">
        <v>4975</v>
      </c>
      <c r="M179" s="25"/>
      <c r="N179" s="25"/>
      <c r="O179" s="26"/>
      <c r="P179" s="27"/>
      <c r="Q179" s="28"/>
      <c r="R179" s="28"/>
      <c r="S179" s="26"/>
    </row>
    <row r="180" customFormat="false" ht="15" hidden="false" customHeight="false" outlineLevel="0" collapsed="false">
      <c r="A180" s="7" t="n">
        <v>176</v>
      </c>
      <c r="B180" s="9" t="s">
        <v>13</v>
      </c>
      <c r="C180" s="22" t="s">
        <v>799</v>
      </c>
      <c r="D180" s="9" t="s">
        <v>454</v>
      </c>
      <c r="E180" s="9" t="s">
        <v>47</v>
      </c>
      <c r="F180" s="9" t="s">
        <v>99</v>
      </c>
      <c r="G180" s="22" t="s">
        <v>4976</v>
      </c>
      <c r="H180" s="9" t="s">
        <v>4298</v>
      </c>
      <c r="I180" s="7"/>
      <c r="J180" s="23" t="s">
        <v>4977</v>
      </c>
      <c r="K180" s="24" t="s">
        <v>4978</v>
      </c>
      <c r="L180" s="22" t="s">
        <v>4979</v>
      </c>
      <c r="M180" s="25"/>
      <c r="N180" s="25"/>
      <c r="O180" s="26"/>
      <c r="P180" s="27"/>
      <c r="Q180" s="28"/>
      <c r="R180" s="28"/>
      <c r="S180" s="26"/>
    </row>
    <row r="181" customFormat="false" ht="15" hidden="false" customHeight="false" outlineLevel="0" collapsed="false">
      <c r="A181" s="7" t="n">
        <v>177</v>
      </c>
      <c r="B181" s="9" t="s">
        <v>13</v>
      </c>
      <c r="C181" s="22" t="s">
        <v>799</v>
      </c>
      <c r="D181" s="9" t="s">
        <v>454</v>
      </c>
      <c r="E181" s="9" t="s">
        <v>47</v>
      </c>
      <c r="F181" s="9" t="s">
        <v>99</v>
      </c>
      <c r="G181" s="22" t="s">
        <v>4980</v>
      </c>
      <c r="H181" s="9" t="s">
        <v>4298</v>
      </c>
      <c r="I181" s="7"/>
      <c r="J181" s="23" t="s">
        <v>4981</v>
      </c>
      <c r="K181" s="24" t="s">
        <v>4982</v>
      </c>
      <c r="L181" s="22" t="s">
        <v>4983</v>
      </c>
      <c r="M181" s="25"/>
      <c r="N181" s="25"/>
      <c r="O181" s="26"/>
      <c r="P181" s="27"/>
      <c r="Q181" s="28"/>
      <c r="R181" s="28"/>
      <c r="S181" s="26"/>
    </row>
    <row r="182" customFormat="false" ht="15" hidden="false" customHeight="false" outlineLevel="0" collapsed="false">
      <c r="A182" s="7" t="n">
        <v>178</v>
      </c>
      <c r="B182" s="9" t="s">
        <v>13</v>
      </c>
      <c r="C182" s="22" t="s">
        <v>799</v>
      </c>
      <c r="D182" s="9" t="s">
        <v>454</v>
      </c>
      <c r="E182" s="9" t="s">
        <v>47</v>
      </c>
      <c r="F182" s="9" t="s">
        <v>99</v>
      </c>
      <c r="G182" s="22" t="s">
        <v>4984</v>
      </c>
      <c r="H182" s="9" t="s">
        <v>4298</v>
      </c>
      <c r="I182" s="7"/>
      <c r="J182" s="23" t="s">
        <v>4985</v>
      </c>
      <c r="K182" s="24" t="s">
        <v>4986</v>
      </c>
      <c r="L182" s="22" t="s">
        <v>4987</v>
      </c>
      <c r="M182" s="25"/>
      <c r="N182" s="25"/>
      <c r="O182" s="26"/>
      <c r="P182" s="27"/>
      <c r="Q182" s="28"/>
      <c r="R182" s="28"/>
      <c r="S182" s="26"/>
    </row>
    <row r="183" customFormat="false" ht="15" hidden="false" customHeight="false" outlineLevel="0" collapsed="false">
      <c r="A183" s="7" t="n">
        <v>179</v>
      </c>
      <c r="B183" s="9" t="s">
        <v>13</v>
      </c>
      <c r="C183" s="22" t="s">
        <v>799</v>
      </c>
      <c r="D183" s="9" t="s">
        <v>454</v>
      </c>
      <c r="E183" s="9" t="s">
        <v>47</v>
      </c>
      <c r="F183" s="9" t="s">
        <v>124</v>
      </c>
      <c r="G183" s="22" t="s">
        <v>4988</v>
      </c>
      <c r="H183" s="9" t="s">
        <v>4298</v>
      </c>
      <c r="I183" s="7"/>
      <c r="J183" s="23" t="s">
        <v>4989</v>
      </c>
      <c r="K183" s="24" t="s">
        <v>4990</v>
      </c>
      <c r="L183" s="22" t="s">
        <v>4991</v>
      </c>
      <c r="M183" s="25"/>
      <c r="N183" s="25"/>
      <c r="O183" s="26"/>
      <c r="P183" s="27"/>
      <c r="Q183" s="28"/>
      <c r="R183" s="28"/>
      <c r="S183" s="26"/>
    </row>
    <row r="184" customFormat="false" ht="15" hidden="false" customHeight="false" outlineLevel="0" collapsed="false">
      <c r="A184" s="7" t="n">
        <v>180</v>
      </c>
      <c r="B184" s="9" t="s">
        <v>13</v>
      </c>
      <c r="C184" s="22" t="s">
        <v>799</v>
      </c>
      <c r="D184" s="9" t="s">
        <v>454</v>
      </c>
      <c r="E184" s="9" t="s">
        <v>48</v>
      </c>
      <c r="F184" s="9" t="s">
        <v>99</v>
      </c>
      <c r="G184" s="22" t="s">
        <v>4992</v>
      </c>
      <c r="H184" s="9" t="s">
        <v>4298</v>
      </c>
      <c r="I184" s="7"/>
      <c r="J184" s="23" t="s">
        <v>4993</v>
      </c>
      <c r="K184" s="24" t="s">
        <v>4994</v>
      </c>
      <c r="L184" s="22" t="s">
        <v>4995</v>
      </c>
      <c r="M184" s="25"/>
      <c r="N184" s="25"/>
      <c r="O184" s="26"/>
      <c r="P184" s="27"/>
      <c r="Q184" s="28"/>
      <c r="R184" s="28"/>
      <c r="S184" s="26"/>
    </row>
    <row r="185" customFormat="false" ht="15" hidden="false" customHeight="false" outlineLevel="0" collapsed="false">
      <c r="A185" s="7" t="n">
        <v>181</v>
      </c>
      <c r="B185" s="9" t="s">
        <v>13</v>
      </c>
      <c r="C185" s="22" t="s">
        <v>799</v>
      </c>
      <c r="D185" s="9" t="s">
        <v>454</v>
      </c>
      <c r="E185" s="9" t="s">
        <v>48</v>
      </c>
      <c r="F185" s="9" t="s">
        <v>99</v>
      </c>
      <c r="G185" s="22" t="s">
        <v>4996</v>
      </c>
      <c r="H185" s="9" t="s">
        <v>4298</v>
      </c>
      <c r="I185" s="7"/>
      <c r="J185" s="23" t="s">
        <v>4997</v>
      </c>
      <c r="K185" s="24" t="s">
        <v>4998</v>
      </c>
      <c r="L185" s="22" t="s">
        <v>4999</v>
      </c>
      <c r="M185" s="25"/>
      <c r="N185" s="25"/>
      <c r="O185" s="26"/>
      <c r="P185" s="27"/>
      <c r="Q185" s="28"/>
      <c r="R185" s="28"/>
      <c r="S185" s="26"/>
    </row>
    <row r="186" customFormat="false" ht="15" hidden="false" customHeight="false" outlineLevel="0" collapsed="false">
      <c r="A186" s="7" t="n">
        <v>182</v>
      </c>
      <c r="B186" s="9" t="s">
        <v>13</v>
      </c>
      <c r="C186" s="22" t="s">
        <v>799</v>
      </c>
      <c r="D186" s="9" t="s">
        <v>454</v>
      </c>
      <c r="E186" s="9" t="s">
        <v>48</v>
      </c>
      <c r="F186" s="9" t="s">
        <v>124</v>
      </c>
      <c r="G186" s="22" t="s">
        <v>5000</v>
      </c>
      <c r="H186" s="9" t="s">
        <v>4298</v>
      </c>
      <c r="I186" s="7"/>
      <c r="J186" s="23" t="s">
        <v>5001</v>
      </c>
      <c r="K186" s="24" t="s">
        <v>5002</v>
      </c>
      <c r="L186" s="22" t="s">
        <v>474</v>
      </c>
      <c r="M186" s="25"/>
      <c r="N186" s="25"/>
      <c r="O186" s="26"/>
      <c r="P186" s="27"/>
      <c r="Q186" s="28"/>
      <c r="R186" s="28"/>
      <c r="S186" s="26"/>
    </row>
    <row r="187" customFormat="false" ht="15" hidden="false" customHeight="false" outlineLevel="0" collapsed="false">
      <c r="A187" s="7" t="n">
        <v>183</v>
      </c>
      <c r="B187" s="9" t="s">
        <v>13</v>
      </c>
      <c r="C187" s="22" t="s">
        <v>839</v>
      </c>
      <c r="D187" s="9" t="s">
        <v>496</v>
      </c>
      <c r="E187" s="9" t="s">
        <v>47</v>
      </c>
      <c r="F187" s="9" t="s">
        <v>99</v>
      </c>
      <c r="G187" s="22" t="s">
        <v>5003</v>
      </c>
      <c r="H187" s="9" t="s">
        <v>4298</v>
      </c>
      <c r="I187" s="7"/>
      <c r="J187" s="23" t="s">
        <v>5004</v>
      </c>
      <c r="K187" s="24" t="s">
        <v>5005</v>
      </c>
      <c r="L187" s="22" t="s">
        <v>5006</v>
      </c>
      <c r="M187" s="25"/>
      <c r="N187" s="25"/>
      <c r="O187" s="26"/>
      <c r="P187" s="27"/>
      <c r="Q187" s="28"/>
      <c r="R187" s="28"/>
      <c r="S187" s="26"/>
    </row>
    <row r="188" customFormat="false" ht="15" hidden="false" customHeight="false" outlineLevel="0" collapsed="false">
      <c r="A188" s="7" t="n">
        <v>184</v>
      </c>
      <c r="B188" s="9" t="s">
        <v>13</v>
      </c>
      <c r="C188" s="22" t="s">
        <v>839</v>
      </c>
      <c r="D188" s="9" t="s">
        <v>496</v>
      </c>
      <c r="E188" s="9" t="s">
        <v>47</v>
      </c>
      <c r="F188" s="9" t="s">
        <v>99</v>
      </c>
      <c r="G188" s="22" t="s">
        <v>5007</v>
      </c>
      <c r="H188" s="9" t="s">
        <v>4298</v>
      </c>
      <c r="I188" s="7"/>
      <c r="J188" s="23" t="s">
        <v>5008</v>
      </c>
      <c r="K188" s="24" t="s">
        <v>5009</v>
      </c>
      <c r="L188" s="22" t="s">
        <v>5010</v>
      </c>
      <c r="M188" s="25"/>
      <c r="N188" s="25"/>
      <c r="O188" s="26"/>
      <c r="P188" s="27"/>
      <c r="Q188" s="28"/>
      <c r="R188" s="28"/>
      <c r="S188" s="26"/>
    </row>
    <row r="189" customFormat="false" ht="15" hidden="false" customHeight="false" outlineLevel="0" collapsed="false">
      <c r="A189" s="7" t="n">
        <v>185</v>
      </c>
      <c r="B189" s="9" t="s">
        <v>13</v>
      </c>
      <c r="C189" s="22" t="s">
        <v>839</v>
      </c>
      <c r="D189" s="9" t="s">
        <v>496</v>
      </c>
      <c r="E189" s="9" t="s">
        <v>48</v>
      </c>
      <c r="F189" s="9" t="s">
        <v>99</v>
      </c>
      <c r="G189" s="22" t="s">
        <v>5011</v>
      </c>
      <c r="H189" s="9" t="s">
        <v>4298</v>
      </c>
      <c r="I189" s="7"/>
      <c r="J189" s="23" t="s">
        <v>5012</v>
      </c>
      <c r="K189" s="24" t="s">
        <v>5013</v>
      </c>
      <c r="L189" s="22" t="s">
        <v>5014</v>
      </c>
      <c r="M189" s="25"/>
      <c r="N189" s="25"/>
      <c r="O189" s="26"/>
      <c r="P189" s="27"/>
      <c r="Q189" s="28"/>
      <c r="R189" s="28"/>
      <c r="S189" s="26"/>
    </row>
    <row r="190" customFormat="false" ht="15" hidden="false" customHeight="false" outlineLevel="0" collapsed="false">
      <c r="A190" s="7" t="n">
        <v>186</v>
      </c>
      <c r="B190" s="9" t="s">
        <v>13</v>
      </c>
      <c r="C190" s="22" t="s">
        <v>839</v>
      </c>
      <c r="D190" s="9" t="s">
        <v>496</v>
      </c>
      <c r="E190" s="9" t="s">
        <v>48</v>
      </c>
      <c r="F190" s="9" t="s">
        <v>99</v>
      </c>
      <c r="G190" s="22" t="s">
        <v>5015</v>
      </c>
      <c r="H190" s="9" t="s">
        <v>4298</v>
      </c>
      <c r="I190" s="7"/>
      <c r="J190" s="23" t="s">
        <v>5016</v>
      </c>
      <c r="K190" s="24" t="s">
        <v>5017</v>
      </c>
      <c r="L190" s="22" t="s">
        <v>5018</v>
      </c>
      <c r="M190" s="25"/>
      <c r="N190" s="25"/>
      <c r="O190" s="26"/>
      <c r="P190" s="27"/>
      <c r="Q190" s="28"/>
      <c r="R190" s="28"/>
      <c r="S190" s="26"/>
    </row>
    <row r="191" customFormat="false" ht="15" hidden="false" customHeight="false" outlineLevel="0" collapsed="false">
      <c r="A191" s="7" t="n">
        <v>187</v>
      </c>
      <c r="B191" s="9" t="s">
        <v>13</v>
      </c>
      <c r="C191" s="22" t="s">
        <v>839</v>
      </c>
      <c r="D191" s="9" t="s">
        <v>509</v>
      </c>
      <c r="E191" s="9" t="s">
        <v>47</v>
      </c>
      <c r="F191" s="9" t="s">
        <v>124</v>
      </c>
      <c r="G191" s="22" t="s">
        <v>5019</v>
      </c>
      <c r="H191" s="9" t="s">
        <v>4298</v>
      </c>
      <c r="I191" s="7"/>
      <c r="J191" s="23" t="s">
        <v>5020</v>
      </c>
      <c r="K191" s="24" t="s">
        <v>5021</v>
      </c>
      <c r="L191" s="22" t="s">
        <v>5022</v>
      </c>
      <c r="M191" s="25"/>
      <c r="N191" s="25"/>
      <c r="O191" s="26"/>
      <c r="P191" s="27"/>
      <c r="Q191" s="28"/>
      <c r="R191" s="28"/>
      <c r="S191" s="26"/>
    </row>
    <row r="192" customFormat="false" ht="15" hidden="false" customHeight="false" outlineLevel="0" collapsed="false">
      <c r="A192" s="7" t="n">
        <v>188</v>
      </c>
      <c r="B192" s="9" t="s">
        <v>13</v>
      </c>
      <c r="C192" s="22" t="s">
        <v>839</v>
      </c>
      <c r="D192" s="9" t="s">
        <v>509</v>
      </c>
      <c r="E192" s="9" t="s">
        <v>48</v>
      </c>
      <c r="F192" s="9" t="s">
        <v>124</v>
      </c>
      <c r="G192" s="22" t="s">
        <v>5023</v>
      </c>
      <c r="H192" s="9" t="s">
        <v>4298</v>
      </c>
      <c r="I192" s="7"/>
      <c r="J192" s="23" t="s">
        <v>5024</v>
      </c>
      <c r="K192" s="24" t="s">
        <v>5025</v>
      </c>
      <c r="L192" s="22" t="s">
        <v>5026</v>
      </c>
      <c r="M192" s="25"/>
      <c r="N192" s="25"/>
      <c r="O192" s="26"/>
      <c r="P192" s="27"/>
      <c r="Q192" s="28"/>
      <c r="R192" s="28"/>
      <c r="S192" s="26"/>
    </row>
    <row r="193" customFormat="false" ht="15" hidden="false" customHeight="false" outlineLevel="0" collapsed="false">
      <c r="A193" s="7" t="n">
        <v>189</v>
      </c>
      <c r="B193" s="9" t="s">
        <v>13</v>
      </c>
      <c r="C193" s="22" t="s">
        <v>839</v>
      </c>
      <c r="D193" s="9" t="s">
        <v>526</v>
      </c>
      <c r="E193" s="9" t="s">
        <v>47</v>
      </c>
      <c r="F193" s="9" t="s">
        <v>99</v>
      </c>
      <c r="G193" s="22" t="s">
        <v>5027</v>
      </c>
      <c r="H193" s="9" t="s">
        <v>4298</v>
      </c>
      <c r="I193" s="7"/>
      <c r="J193" s="23" t="s">
        <v>5028</v>
      </c>
      <c r="K193" s="24" t="s">
        <v>5029</v>
      </c>
      <c r="L193" s="22" t="s">
        <v>5030</v>
      </c>
      <c r="M193" s="25"/>
      <c r="N193" s="25"/>
      <c r="O193" s="26"/>
      <c r="P193" s="27"/>
      <c r="Q193" s="28"/>
      <c r="R193" s="28"/>
      <c r="S193" s="26"/>
    </row>
    <row r="194" customFormat="false" ht="15" hidden="false" customHeight="false" outlineLevel="0" collapsed="false">
      <c r="A194" s="7" t="n">
        <v>190</v>
      </c>
      <c r="B194" s="9" t="s">
        <v>13</v>
      </c>
      <c r="C194" s="22" t="s">
        <v>839</v>
      </c>
      <c r="D194" s="9" t="s">
        <v>526</v>
      </c>
      <c r="E194" s="9" t="s">
        <v>48</v>
      </c>
      <c r="F194" s="9" t="s">
        <v>99</v>
      </c>
      <c r="G194" s="22" t="s">
        <v>5031</v>
      </c>
      <c r="H194" s="9" t="s">
        <v>4298</v>
      </c>
      <c r="I194" s="7"/>
      <c r="J194" s="23" t="s">
        <v>5032</v>
      </c>
      <c r="K194" s="24" t="s">
        <v>5033</v>
      </c>
      <c r="L194" s="22" t="s">
        <v>5034</v>
      </c>
      <c r="M194" s="25"/>
      <c r="N194" s="25"/>
      <c r="O194" s="26"/>
      <c r="P194" s="27"/>
      <c r="Q194" s="28"/>
      <c r="R194" s="28"/>
      <c r="S194" s="26"/>
    </row>
    <row r="195" customFormat="false" ht="15" hidden="false" customHeight="false" outlineLevel="0" collapsed="false">
      <c r="A195" s="7" t="n">
        <v>191</v>
      </c>
      <c r="B195" s="9" t="s">
        <v>16</v>
      </c>
      <c r="C195" s="22" t="s">
        <v>300</v>
      </c>
      <c r="D195" s="9" t="s">
        <v>867</v>
      </c>
      <c r="E195" s="9" t="s">
        <v>49</v>
      </c>
      <c r="F195" s="9" t="s">
        <v>124</v>
      </c>
      <c r="G195" s="22" t="s">
        <v>868</v>
      </c>
      <c r="H195" s="9" t="s">
        <v>4298</v>
      </c>
      <c r="I195" s="7" t="s">
        <v>869</v>
      </c>
      <c r="J195" s="23" t="s">
        <v>870</v>
      </c>
      <c r="K195" s="24" t="s">
        <v>871</v>
      </c>
      <c r="L195" s="22" t="s">
        <v>872</v>
      </c>
      <c r="M195" s="25"/>
      <c r="N195" s="25"/>
      <c r="O195" s="26"/>
      <c r="P195" s="27"/>
      <c r="Q195" s="28"/>
      <c r="R195" s="28"/>
      <c r="S195" s="26"/>
    </row>
    <row r="196" customFormat="false" ht="15" hidden="false" customHeight="false" outlineLevel="0" collapsed="false">
      <c r="A196" s="7" t="n">
        <v>192</v>
      </c>
      <c r="B196" s="9" t="s">
        <v>16</v>
      </c>
      <c r="C196" s="22" t="s">
        <v>300</v>
      </c>
      <c r="D196" s="9" t="s">
        <v>867</v>
      </c>
      <c r="E196" s="9" t="s">
        <v>49</v>
      </c>
      <c r="F196" s="9" t="s">
        <v>124</v>
      </c>
      <c r="G196" s="22" t="s">
        <v>5035</v>
      </c>
      <c r="H196" s="9" t="s">
        <v>4298</v>
      </c>
      <c r="I196" s="7"/>
      <c r="J196" s="23" t="s">
        <v>5036</v>
      </c>
      <c r="K196" s="24" t="s">
        <v>5037</v>
      </c>
      <c r="L196" s="22" t="s">
        <v>5038</v>
      </c>
      <c r="M196" s="25"/>
      <c r="N196" s="25"/>
      <c r="O196" s="26"/>
      <c r="P196" s="27"/>
      <c r="Q196" s="28"/>
      <c r="R196" s="28"/>
      <c r="S196" s="26"/>
    </row>
    <row r="197" customFormat="false" ht="15" hidden="false" customHeight="false" outlineLevel="0" collapsed="false">
      <c r="A197" s="7" t="n">
        <v>193</v>
      </c>
      <c r="B197" s="9" t="s">
        <v>16</v>
      </c>
      <c r="C197" s="22" t="s">
        <v>300</v>
      </c>
      <c r="D197" s="9" t="s">
        <v>867</v>
      </c>
      <c r="E197" s="9" t="s">
        <v>326</v>
      </c>
      <c r="F197" s="9" t="s">
        <v>124</v>
      </c>
      <c r="G197" s="22" t="s">
        <v>873</v>
      </c>
      <c r="H197" s="9" t="s">
        <v>4298</v>
      </c>
      <c r="I197" s="7" t="s">
        <v>869</v>
      </c>
      <c r="J197" s="23" t="s">
        <v>874</v>
      </c>
      <c r="K197" s="24" t="s">
        <v>875</v>
      </c>
      <c r="L197" s="22" t="s">
        <v>876</v>
      </c>
      <c r="M197" s="25"/>
      <c r="N197" s="25"/>
      <c r="O197" s="26"/>
      <c r="P197" s="27"/>
      <c r="Q197" s="28"/>
      <c r="R197" s="28"/>
      <c r="S197" s="26"/>
    </row>
    <row r="198" customFormat="false" ht="15" hidden="false" customHeight="false" outlineLevel="0" collapsed="false">
      <c r="A198" s="7" t="n">
        <v>194</v>
      </c>
      <c r="B198" s="9" t="s">
        <v>16</v>
      </c>
      <c r="C198" s="22" t="s">
        <v>300</v>
      </c>
      <c r="D198" s="9" t="s">
        <v>877</v>
      </c>
      <c r="E198" s="9" t="s">
        <v>326</v>
      </c>
      <c r="F198" s="9" t="s">
        <v>124</v>
      </c>
      <c r="G198" s="22" t="s">
        <v>878</v>
      </c>
      <c r="H198" s="9" t="s">
        <v>4298</v>
      </c>
      <c r="I198" s="7" t="s">
        <v>869</v>
      </c>
      <c r="J198" s="23" t="s">
        <v>879</v>
      </c>
      <c r="K198" s="24" t="s">
        <v>880</v>
      </c>
      <c r="L198" s="22" t="s">
        <v>881</v>
      </c>
      <c r="M198" s="25"/>
      <c r="N198" s="25"/>
      <c r="O198" s="26"/>
      <c r="P198" s="27"/>
      <c r="Q198" s="28"/>
      <c r="R198" s="28"/>
      <c r="S198" s="26"/>
    </row>
    <row r="199" customFormat="false" ht="15" hidden="false" customHeight="false" outlineLevel="0" collapsed="false">
      <c r="A199" s="7" t="n">
        <v>195</v>
      </c>
      <c r="B199" s="9" t="s">
        <v>16</v>
      </c>
      <c r="C199" s="22" t="s">
        <v>300</v>
      </c>
      <c r="D199" s="9" t="s">
        <v>877</v>
      </c>
      <c r="E199" s="9" t="s">
        <v>326</v>
      </c>
      <c r="F199" s="9" t="s">
        <v>99</v>
      </c>
      <c r="G199" s="22" t="s">
        <v>882</v>
      </c>
      <c r="H199" s="9" t="s">
        <v>4298</v>
      </c>
      <c r="I199" s="7" t="s">
        <v>869</v>
      </c>
      <c r="J199" s="23" t="s">
        <v>883</v>
      </c>
      <c r="K199" s="24" t="s">
        <v>884</v>
      </c>
      <c r="L199" s="22" t="s">
        <v>885</v>
      </c>
      <c r="M199" s="25"/>
      <c r="N199" s="25"/>
      <c r="O199" s="26"/>
      <c r="P199" s="27"/>
      <c r="Q199" s="28"/>
      <c r="R199" s="28"/>
      <c r="S199" s="26"/>
    </row>
    <row r="200" customFormat="false" ht="15" hidden="false" customHeight="false" outlineLevel="0" collapsed="false">
      <c r="A200" s="7" t="n">
        <v>196</v>
      </c>
      <c r="B200" s="9" t="s">
        <v>16</v>
      </c>
      <c r="C200" s="22" t="s">
        <v>300</v>
      </c>
      <c r="D200" s="9" t="s">
        <v>886</v>
      </c>
      <c r="E200" s="9" t="s">
        <v>49</v>
      </c>
      <c r="F200" s="9" t="s">
        <v>124</v>
      </c>
      <c r="G200" s="22" t="s">
        <v>5039</v>
      </c>
      <c r="H200" s="9" t="s">
        <v>4298</v>
      </c>
      <c r="I200" s="7"/>
      <c r="J200" s="23" t="s">
        <v>5040</v>
      </c>
      <c r="K200" s="24" t="s">
        <v>5041</v>
      </c>
      <c r="L200" s="22" t="s">
        <v>5042</v>
      </c>
      <c r="M200" s="25"/>
      <c r="N200" s="25"/>
      <c r="O200" s="26"/>
      <c r="P200" s="27"/>
      <c r="Q200" s="28"/>
      <c r="R200" s="28"/>
      <c r="S200" s="26"/>
    </row>
    <row r="201" customFormat="false" ht="15" hidden="false" customHeight="false" outlineLevel="0" collapsed="false">
      <c r="A201" s="7" t="n">
        <v>197</v>
      </c>
      <c r="B201" s="9" t="s">
        <v>16</v>
      </c>
      <c r="C201" s="22" t="s">
        <v>300</v>
      </c>
      <c r="D201" s="9" t="s">
        <v>886</v>
      </c>
      <c r="E201" s="9" t="s">
        <v>49</v>
      </c>
      <c r="F201" s="9" t="s">
        <v>124</v>
      </c>
      <c r="G201" s="22" t="s">
        <v>5043</v>
      </c>
      <c r="H201" s="9" t="s">
        <v>4298</v>
      </c>
      <c r="I201" s="7"/>
      <c r="J201" s="23" t="s">
        <v>5044</v>
      </c>
      <c r="K201" s="24" t="s">
        <v>5045</v>
      </c>
      <c r="L201" s="22" t="s">
        <v>5046</v>
      </c>
      <c r="M201" s="25"/>
      <c r="N201" s="25"/>
      <c r="O201" s="26"/>
      <c r="P201" s="27"/>
      <c r="Q201" s="28"/>
      <c r="R201" s="28"/>
      <c r="S201" s="26"/>
    </row>
    <row r="202" customFormat="false" ht="15" hidden="false" customHeight="false" outlineLevel="0" collapsed="false">
      <c r="A202" s="7" t="n">
        <v>198</v>
      </c>
      <c r="B202" s="9" t="s">
        <v>16</v>
      </c>
      <c r="C202" s="22" t="s">
        <v>300</v>
      </c>
      <c r="D202" s="9" t="s">
        <v>886</v>
      </c>
      <c r="E202" s="9" t="s">
        <v>49</v>
      </c>
      <c r="F202" s="9" t="s">
        <v>124</v>
      </c>
      <c r="G202" s="22" t="s">
        <v>5047</v>
      </c>
      <c r="H202" s="9" t="s">
        <v>4298</v>
      </c>
      <c r="I202" s="7"/>
      <c r="J202" s="23" t="s">
        <v>5048</v>
      </c>
      <c r="K202" s="24" t="s">
        <v>5049</v>
      </c>
      <c r="L202" s="22" t="s">
        <v>5050</v>
      </c>
      <c r="M202" s="25"/>
      <c r="N202" s="25"/>
      <c r="O202" s="26"/>
      <c r="P202" s="27"/>
      <c r="Q202" s="28"/>
      <c r="R202" s="28"/>
      <c r="S202" s="26"/>
    </row>
    <row r="203" customFormat="false" ht="15" hidden="false" customHeight="false" outlineLevel="0" collapsed="false">
      <c r="A203" s="7" t="n">
        <v>199</v>
      </c>
      <c r="B203" s="9" t="s">
        <v>16</v>
      </c>
      <c r="C203" s="22" t="s">
        <v>300</v>
      </c>
      <c r="D203" s="9" t="s">
        <v>899</v>
      </c>
      <c r="E203" s="9" t="s">
        <v>49</v>
      </c>
      <c r="F203" s="9" t="s">
        <v>124</v>
      </c>
      <c r="G203" s="22" t="s">
        <v>900</v>
      </c>
      <c r="H203" s="9" t="s">
        <v>4298</v>
      </c>
      <c r="I203" s="7" t="s">
        <v>869</v>
      </c>
      <c r="J203" s="23" t="s">
        <v>901</v>
      </c>
      <c r="K203" s="24" t="s">
        <v>902</v>
      </c>
      <c r="L203" s="22" t="s">
        <v>903</v>
      </c>
      <c r="M203" s="25"/>
      <c r="N203" s="25"/>
      <c r="O203" s="26"/>
      <c r="P203" s="27"/>
      <c r="Q203" s="28"/>
      <c r="R203" s="28"/>
      <c r="S203" s="26"/>
    </row>
    <row r="204" customFormat="false" ht="15" hidden="false" customHeight="false" outlineLevel="0" collapsed="false">
      <c r="A204" s="7" t="n">
        <v>200</v>
      </c>
      <c r="B204" s="9" t="s">
        <v>16</v>
      </c>
      <c r="C204" s="22" t="s">
        <v>300</v>
      </c>
      <c r="D204" s="9" t="s">
        <v>966</v>
      </c>
      <c r="E204" s="9" t="s">
        <v>49</v>
      </c>
      <c r="F204" s="9" t="s">
        <v>124</v>
      </c>
      <c r="G204" s="22" t="s">
        <v>5051</v>
      </c>
      <c r="H204" s="9" t="s">
        <v>4298</v>
      </c>
      <c r="I204" s="7"/>
      <c r="J204" s="23" t="s">
        <v>5052</v>
      </c>
      <c r="K204" s="24" t="s">
        <v>5053</v>
      </c>
      <c r="L204" s="22" t="s">
        <v>5054</v>
      </c>
      <c r="M204" s="25"/>
      <c r="N204" s="25"/>
      <c r="O204" s="26"/>
      <c r="P204" s="27"/>
      <c r="Q204" s="28"/>
      <c r="R204" s="28"/>
      <c r="S204" s="26"/>
    </row>
    <row r="205" customFormat="false" ht="15" hidden="false" customHeight="false" outlineLevel="0" collapsed="false">
      <c r="A205" s="7" t="n">
        <v>201</v>
      </c>
      <c r="B205" s="9" t="s">
        <v>16</v>
      </c>
      <c r="C205" s="22" t="s">
        <v>300</v>
      </c>
      <c r="D205" s="9" t="s">
        <v>904</v>
      </c>
      <c r="E205" s="9" t="s">
        <v>49</v>
      </c>
      <c r="F205" s="9" t="s">
        <v>124</v>
      </c>
      <c r="G205" s="22" t="s">
        <v>909</v>
      </c>
      <c r="H205" s="9" t="s">
        <v>4298</v>
      </c>
      <c r="I205" s="7" t="s">
        <v>869</v>
      </c>
      <c r="J205" s="23" t="s">
        <v>910</v>
      </c>
      <c r="K205" s="24" t="s">
        <v>911</v>
      </c>
      <c r="L205" s="22" t="s">
        <v>912</v>
      </c>
      <c r="M205" s="25"/>
      <c r="N205" s="25"/>
      <c r="O205" s="26"/>
      <c r="P205" s="27"/>
      <c r="Q205" s="28"/>
      <c r="R205" s="28"/>
      <c r="S205" s="26"/>
    </row>
    <row r="206" customFormat="false" ht="15" hidden="false" customHeight="false" outlineLevel="0" collapsed="false">
      <c r="A206" s="7" t="n">
        <v>202</v>
      </c>
      <c r="B206" s="9" t="s">
        <v>16</v>
      </c>
      <c r="C206" s="22" t="s">
        <v>300</v>
      </c>
      <c r="D206" s="9" t="s">
        <v>904</v>
      </c>
      <c r="E206" s="9" t="s">
        <v>49</v>
      </c>
      <c r="F206" s="9" t="s">
        <v>124</v>
      </c>
      <c r="G206" s="22" t="s">
        <v>913</v>
      </c>
      <c r="H206" s="9" t="s">
        <v>4298</v>
      </c>
      <c r="I206" s="7" t="s">
        <v>869</v>
      </c>
      <c r="J206" s="23" t="s">
        <v>914</v>
      </c>
      <c r="K206" s="24" t="s">
        <v>915</v>
      </c>
      <c r="L206" s="22" t="s">
        <v>916</v>
      </c>
      <c r="M206" s="25"/>
      <c r="N206" s="25"/>
      <c r="O206" s="26"/>
      <c r="P206" s="27"/>
      <c r="Q206" s="28"/>
      <c r="R206" s="28"/>
      <c r="S206" s="26"/>
    </row>
    <row r="207" customFormat="false" ht="15" hidden="false" customHeight="false" outlineLevel="0" collapsed="false">
      <c r="A207" s="7" t="n">
        <v>203</v>
      </c>
      <c r="B207" s="9" t="s">
        <v>16</v>
      </c>
      <c r="C207" s="22" t="s">
        <v>300</v>
      </c>
      <c r="D207" s="9" t="s">
        <v>904</v>
      </c>
      <c r="E207" s="9" t="s">
        <v>49</v>
      </c>
      <c r="F207" s="9" t="s">
        <v>124</v>
      </c>
      <c r="G207" s="22" t="s">
        <v>5055</v>
      </c>
      <c r="H207" s="9" t="s">
        <v>4298</v>
      </c>
      <c r="I207" s="7"/>
      <c r="J207" s="23" t="s">
        <v>5056</v>
      </c>
      <c r="K207" s="24" t="s">
        <v>5057</v>
      </c>
      <c r="L207" s="22" t="s">
        <v>5058</v>
      </c>
      <c r="M207" s="25"/>
      <c r="N207" s="25"/>
      <c r="O207" s="26"/>
      <c r="P207" s="27"/>
      <c r="Q207" s="28"/>
      <c r="R207" s="28"/>
      <c r="S207" s="26"/>
    </row>
    <row r="208" customFormat="false" ht="15" hidden="false" customHeight="false" outlineLevel="0" collapsed="false">
      <c r="A208" s="7" t="n">
        <v>204</v>
      </c>
      <c r="B208" s="9" t="s">
        <v>16</v>
      </c>
      <c r="C208" s="22" t="s">
        <v>300</v>
      </c>
      <c r="D208" s="9" t="s">
        <v>991</v>
      </c>
      <c r="E208" s="9" t="s">
        <v>49</v>
      </c>
      <c r="F208" s="9" t="s">
        <v>124</v>
      </c>
      <c r="G208" s="22" t="s">
        <v>5059</v>
      </c>
      <c r="H208" s="9" t="s">
        <v>4298</v>
      </c>
      <c r="I208" s="7"/>
      <c r="J208" s="23" t="s">
        <v>5060</v>
      </c>
      <c r="K208" s="24" t="s">
        <v>5061</v>
      </c>
      <c r="L208" s="22" t="s">
        <v>5062</v>
      </c>
      <c r="M208" s="25"/>
      <c r="N208" s="25"/>
      <c r="O208" s="26"/>
      <c r="P208" s="27"/>
      <c r="Q208" s="28"/>
      <c r="R208" s="28"/>
      <c r="S208" s="26"/>
    </row>
    <row r="209" customFormat="false" ht="15" hidden="false" customHeight="false" outlineLevel="0" collapsed="false">
      <c r="A209" s="7" t="n">
        <v>205</v>
      </c>
      <c r="B209" s="9" t="s">
        <v>16</v>
      </c>
      <c r="C209" s="22" t="s">
        <v>300</v>
      </c>
      <c r="D209" s="9" t="s">
        <v>930</v>
      </c>
      <c r="E209" s="9" t="s">
        <v>49</v>
      </c>
      <c r="F209" s="9" t="s">
        <v>124</v>
      </c>
      <c r="G209" s="22" t="s">
        <v>4584</v>
      </c>
      <c r="H209" s="9" t="s">
        <v>4298</v>
      </c>
      <c r="I209" s="7"/>
      <c r="J209" s="23" t="s">
        <v>5063</v>
      </c>
      <c r="K209" s="24" t="s">
        <v>5064</v>
      </c>
      <c r="L209" s="22" t="s">
        <v>5065</v>
      </c>
      <c r="M209" s="25"/>
      <c r="N209" s="25"/>
      <c r="O209" s="26"/>
      <c r="P209" s="27"/>
      <c r="Q209" s="28"/>
      <c r="R209" s="28"/>
      <c r="S209" s="26"/>
    </row>
    <row r="210" customFormat="false" ht="15" hidden="false" customHeight="false" outlineLevel="0" collapsed="false">
      <c r="A210" s="7" t="n">
        <v>206</v>
      </c>
      <c r="B210" s="9" t="s">
        <v>16</v>
      </c>
      <c r="C210" s="22" t="s">
        <v>300</v>
      </c>
      <c r="D210" s="9" t="s">
        <v>930</v>
      </c>
      <c r="E210" s="9" t="s">
        <v>49</v>
      </c>
      <c r="F210" s="9" t="s">
        <v>124</v>
      </c>
      <c r="G210" s="22" t="s">
        <v>931</v>
      </c>
      <c r="H210" s="9" t="s">
        <v>4298</v>
      </c>
      <c r="I210" s="7" t="s">
        <v>869</v>
      </c>
      <c r="J210" s="23" t="s">
        <v>932</v>
      </c>
      <c r="K210" s="24" t="s">
        <v>933</v>
      </c>
      <c r="L210" s="22" t="s">
        <v>934</v>
      </c>
      <c r="M210" s="25"/>
      <c r="N210" s="25"/>
      <c r="O210" s="26"/>
      <c r="P210" s="27"/>
      <c r="Q210" s="28"/>
      <c r="R210" s="28"/>
      <c r="S210" s="26"/>
    </row>
    <row r="211" customFormat="false" ht="15" hidden="false" customHeight="false" outlineLevel="0" collapsed="false">
      <c r="A211" s="7" t="n">
        <v>207</v>
      </c>
      <c r="B211" s="9" t="s">
        <v>16</v>
      </c>
      <c r="C211" s="22" t="s">
        <v>300</v>
      </c>
      <c r="D211" s="9" t="s">
        <v>930</v>
      </c>
      <c r="E211" s="9" t="s">
        <v>49</v>
      </c>
      <c r="F211" s="9" t="s">
        <v>124</v>
      </c>
      <c r="G211" s="22" t="s">
        <v>935</v>
      </c>
      <c r="H211" s="9" t="s">
        <v>4298</v>
      </c>
      <c r="I211" s="7" t="s">
        <v>869</v>
      </c>
      <c r="J211" s="23" t="s">
        <v>936</v>
      </c>
      <c r="K211" s="24" t="s">
        <v>937</v>
      </c>
      <c r="L211" s="22" t="s">
        <v>938</v>
      </c>
      <c r="M211" s="25"/>
      <c r="N211" s="25"/>
      <c r="O211" s="26"/>
      <c r="P211" s="27"/>
      <c r="Q211" s="28"/>
      <c r="R211" s="28"/>
      <c r="S211" s="26"/>
    </row>
    <row r="212" customFormat="false" ht="15" hidden="false" customHeight="false" outlineLevel="0" collapsed="false">
      <c r="A212" s="7" t="n">
        <v>208</v>
      </c>
      <c r="B212" s="9" t="s">
        <v>16</v>
      </c>
      <c r="C212" s="22" t="s">
        <v>300</v>
      </c>
      <c r="D212" s="9" t="s">
        <v>1000</v>
      </c>
      <c r="E212" s="9" t="s">
        <v>49</v>
      </c>
      <c r="F212" s="9" t="s">
        <v>124</v>
      </c>
      <c r="G212" s="22" t="s">
        <v>5066</v>
      </c>
      <c r="H212" s="9" t="s">
        <v>4298</v>
      </c>
      <c r="I212" s="7"/>
      <c r="J212" s="23" t="s">
        <v>5067</v>
      </c>
      <c r="K212" s="24" t="s">
        <v>5068</v>
      </c>
      <c r="L212" s="22" t="s">
        <v>5069</v>
      </c>
      <c r="M212" s="25"/>
      <c r="N212" s="25"/>
      <c r="O212" s="26"/>
      <c r="P212" s="27"/>
      <c r="Q212" s="28"/>
      <c r="R212" s="28"/>
      <c r="S212" s="26"/>
    </row>
    <row r="213" customFormat="false" ht="15" hidden="false" customHeight="false" outlineLevel="0" collapsed="false">
      <c r="A213" s="7" t="n">
        <v>209</v>
      </c>
      <c r="B213" s="9" t="s">
        <v>16</v>
      </c>
      <c r="C213" s="22" t="s">
        <v>300</v>
      </c>
      <c r="D213" s="9" t="s">
        <v>1034</v>
      </c>
      <c r="E213" s="9" t="s">
        <v>49</v>
      </c>
      <c r="F213" s="9" t="s">
        <v>124</v>
      </c>
      <c r="G213" s="22" t="s">
        <v>5070</v>
      </c>
      <c r="H213" s="9" t="s">
        <v>4298</v>
      </c>
      <c r="I213" s="7"/>
      <c r="J213" s="23" t="s">
        <v>5071</v>
      </c>
      <c r="K213" s="24" t="s">
        <v>5072</v>
      </c>
      <c r="L213" s="22" t="s">
        <v>5073</v>
      </c>
      <c r="M213" s="25"/>
      <c r="N213" s="25"/>
      <c r="O213" s="26"/>
      <c r="P213" s="27"/>
      <c r="Q213" s="28"/>
      <c r="R213" s="28"/>
      <c r="S213" s="26"/>
    </row>
    <row r="214" customFormat="false" ht="15" hidden="false" customHeight="false" outlineLevel="0" collapsed="false">
      <c r="A214" s="7" t="n">
        <v>210</v>
      </c>
      <c r="B214" s="9" t="s">
        <v>16</v>
      </c>
      <c r="C214" s="22" t="s">
        <v>300</v>
      </c>
      <c r="D214" s="9" t="s">
        <v>947</v>
      </c>
      <c r="E214" s="9" t="s">
        <v>49</v>
      </c>
      <c r="F214" s="9" t="s">
        <v>124</v>
      </c>
      <c r="G214" s="22" t="s">
        <v>5074</v>
      </c>
      <c r="H214" s="9" t="s">
        <v>4298</v>
      </c>
      <c r="I214" s="7"/>
      <c r="J214" s="23" t="s">
        <v>5075</v>
      </c>
      <c r="K214" s="24" t="s">
        <v>5076</v>
      </c>
      <c r="L214" s="22" t="s">
        <v>5077</v>
      </c>
      <c r="M214" s="25"/>
      <c r="N214" s="25"/>
      <c r="O214" s="26"/>
      <c r="P214" s="27"/>
      <c r="Q214" s="28"/>
      <c r="R214" s="28"/>
      <c r="S214" s="26"/>
    </row>
    <row r="215" customFormat="false" ht="15" hidden="false" customHeight="false" outlineLevel="0" collapsed="false">
      <c r="A215" s="7" t="n">
        <v>211</v>
      </c>
      <c r="B215" s="9" t="s">
        <v>16</v>
      </c>
      <c r="C215" s="22" t="s">
        <v>300</v>
      </c>
      <c r="D215" s="9" t="s">
        <v>947</v>
      </c>
      <c r="E215" s="9" t="s">
        <v>49</v>
      </c>
      <c r="F215" s="9" t="s">
        <v>124</v>
      </c>
      <c r="G215" s="22" t="s">
        <v>948</v>
      </c>
      <c r="H215" s="9" t="s">
        <v>4298</v>
      </c>
      <c r="I215" s="7" t="s">
        <v>869</v>
      </c>
      <c r="J215" s="23" t="s">
        <v>949</v>
      </c>
      <c r="K215" s="24" t="s">
        <v>950</v>
      </c>
      <c r="L215" s="22" t="s">
        <v>951</v>
      </c>
      <c r="M215" s="25"/>
      <c r="N215" s="25"/>
      <c r="O215" s="26"/>
      <c r="P215" s="27"/>
      <c r="Q215" s="28"/>
      <c r="R215" s="28"/>
      <c r="S215" s="26"/>
    </row>
    <row r="216" customFormat="false" ht="15" hidden="false" customHeight="false" outlineLevel="0" collapsed="false">
      <c r="A216" s="7" t="n">
        <v>212</v>
      </c>
      <c r="B216" s="9" t="s">
        <v>16</v>
      </c>
      <c r="C216" s="22" t="s">
        <v>300</v>
      </c>
      <c r="D216" s="9" t="s">
        <v>952</v>
      </c>
      <c r="E216" s="9" t="s">
        <v>49</v>
      </c>
      <c r="F216" s="9" t="s">
        <v>124</v>
      </c>
      <c r="G216" s="22" t="s">
        <v>953</v>
      </c>
      <c r="H216" s="9" t="s">
        <v>4298</v>
      </c>
      <c r="I216" s="7" t="s">
        <v>869</v>
      </c>
      <c r="J216" s="23" t="s">
        <v>954</v>
      </c>
      <c r="K216" s="24" t="s">
        <v>955</v>
      </c>
      <c r="L216" s="22" t="s">
        <v>956</v>
      </c>
      <c r="M216" s="25"/>
      <c r="N216" s="25"/>
      <c r="O216" s="26"/>
      <c r="P216" s="27"/>
      <c r="Q216" s="28"/>
      <c r="R216" s="28"/>
      <c r="S216" s="26"/>
    </row>
    <row r="217" customFormat="false" ht="15" hidden="false" customHeight="false" outlineLevel="0" collapsed="false">
      <c r="A217" s="7" t="n">
        <v>213</v>
      </c>
      <c r="B217" s="9" t="s">
        <v>16</v>
      </c>
      <c r="C217" s="22" t="s">
        <v>300</v>
      </c>
      <c r="D217" s="9" t="s">
        <v>952</v>
      </c>
      <c r="E217" s="9" t="s">
        <v>49</v>
      </c>
      <c r="F217" s="9" t="s">
        <v>99</v>
      </c>
      <c r="G217" s="22" t="s">
        <v>5078</v>
      </c>
      <c r="H217" s="9" t="s">
        <v>4298</v>
      </c>
      <c r="I217" s="7"/>
      <c r="J217" s="23" t="s">
        <v>5079</v>
      </c>
      <c r="K217" s="24" t="s">
        <v>5080</v>
      </c>
      <c r="L217" s="22" t="s">
        <v>5081</v>
      </c>
      <c r="M217" s="25"/>
      <c r="N217" s="25"/>
      <c r="O217" s="26"/>
      <c r="P217" s="27"/>
      <c r="Q217" s="28"/>
      <c r="R217" s="28"/>
      <c r="S217" s="26"/>
    </row>
    <row r="218" customFormat="false" ht="15" hidden="false" customHeight="false" outlineLevel="0" collapsed="false">
      <c r="A218" s="7" t="n">
        <v>214</v>
      </c>
      <c r="B218" s="9" t="s">
        <v>16</v>
      </c>
      <c r="C218" s="22" t="s">
        <v>300</v>
      </c>
      <c r="D218" s="9" t="s">
        <v>1047</v>
      </c>
      <c r="E218" s="9" t="s">
        <v>49</v>
      </c>
      <c r="F218" s="9" t="s">
        <v>124</v>
      </c>
      <c r="G218" s="22" t="s">
        <v>5082</v>
      </c>
      <c r="H218" s="9" t="s">
        <v>4298</v>
      </c>
      <c r="I218" s="7"/>
      <c r="J218" s="23" t="s">
        <v>5083</v>
      </c>
      <c r="K218" s="24" t="s">
        <v>5084</v>
      </c>
      <c r="L218" s="22" t="s">
        <v>5085</v>
      </c>
      <c r="M218" s="25"/>
      <c r="N218" s="25"/>
      <c r="O218" s="26"/>
      <c r="P218" s="27"/>
      <c r="Q218" s="28"/>
      <c r="R218" s="28"/>
      <c r="S218" s="26"/>
    </row>
    <row r="219" customFormat="false" ht="15" hidden="false" customHeight="false" outlineLevel="0" collapsed="false">
      <c r="A219" s="7" t="n">
        <v>215</v>
      </c>
      <c r="B219" s="9" t="s">
        <v>16</v>
      </c>
      <c r="C219" s="22" t="s">
        <v>300</v>
      </c>
      <c r="D219" s="9" t="s">
        <v>1047</v>
      </c>
      <c r="E219" s="9" t="s">
        <v>49</v>
      </c>
      <c r="F219" s="9" t="s">
        <v>124</v>
      </c>
      <c r="G219" s="22" t="s">
        <v>5086</v>
      </c>
      <c r="H219" s="9" t="s">
        <v>4298</v>
      </c>
      <c r="I219" s="7"/>
      <c r="J219" s="23" t="s">
        <v>5087</v>
      </c>
      <c r="K219" s="24" t="s">
        <v>5088</v>
      </c>
      <c r="L219" s="22" t="s">
        <v>5089</v>
      </c>
      <c r="M219" s="25"/>
      <c r="N219" s="25"/>
      <c r="O219" s="26"/>
      <c r="P219" s="27"/>
      <c r="Q219" s="28"/>
      <c r="R219" s="28"/>
      <c r="S219" s="26"/>
    </row>
    <row r="220" customFormat="false" ht="15" hidden="false" customHeight="false" outlineLevel="0" collapsed="false">
      <c r="A220" s="7" t="n">
        <v>216</v>
      </c>
      <c r="B220" s="9" t="s">
        <v>16</v>
      </c>
      <c r="C220" s="22" t="s">
        <v>300</v>
      </c>
      <c r="D220" s="9" t="s">
        <v>1047</v>
      </c>
      <c r="E220" s="9" t="s">
        <v>49</v>
      </c>
      <c r="F220" s="9" t="s">
        <v>124</v>
      </c>
      <c r="G220" s="22" t="s">
        <v>5090</v>
      </c>
      <c r="H220" s="9" t="s">
        <v>4298</v>
      </c>
      <c r="I220" s="7"/>
      <c r="J220" s="23" t="s">
        <v>5091</v>
      </c>
      <c r="K220" s="24" t="s">
        <v>5092</v>
      </c>
      <c r="L220" s="22" t="s">
        <v>5093</v>
      </c>
      <c r="M220" s="25"/>
      <c r="N220" s="25"/>
      <c r="O220" s="26"/>
      <c r="P220" s="27"/>
      <c r="Q220" s="28"/>
      <c r="R220" s="28"/>
      <c r="S220" s="26"/>
    </row>
    <row r="221" customFormat="false" ht="15" hidden="false" customHeight="false" outlineLevel="0" collapsed="false">
      <c r="A221" s="7" t="n">
        <v>217</v>
      </c>
      <c r="B221" s="9" t="s">
        <v>16</v>
      </c>
      <c r="C221" s="22" t="s">
        <v>300</v>
      </c>
      <c r="D221" s="9" t="s">
        <v>1047</v>
      </c>
      <c r="E221" s="9" t="s">
        <v>49</v>
      </c>
      <c r="F221" s="9" t="s">
        <v>124</v>
      </c>
      <c r="G221" s="22" t="s">
        <v>5094</v>
      </c>
      <c r="H221" s="9" t="s">
        <v>4298</v>
      </c>
      <c r="I221" s="7"/>
      <c r="J221" s="23" t="s">
        <v>5095</v>
      </c>
      <c r="K221" s="24" t="s">
        <v>5096</v>
      </c>
      <c r="L221" s="22" t="s">
        <v>5097</v>
      </c>
      <c r="M221" s="25"/>
      <c r="N221" s="25"/>
      <c r="O221" s="26"/>
      <c r="P221" s="27"/>
      <c r="Q221" s="28"/>
      <c r="R221" s="28"/>
      <c r="S221" s="26"/>
    </row>
    <row r="222" customFormat="false" ht="15" hidden="false" customHeight="false" outlineLevel="0" collapsed="false">
      <c r="A222" s="7" t="n">
        <v>218</v>
      </c>
      <c r="B222" s="9" t="s">
        <v>16</v>
      </c>
      <c r="C222" s="22" t="s">
        <v>562</v>
      </c>
      <c r="D222" s="9" t="s">
        <v>886</v>
      </c>
      <c r="E222" s="9" t="s">
        <v>47</v>
      </c>
      <c r="F222" s="9" t="s">
        <v>99</v>
      </c>
      <c r="G222" s="22" t="s">
        <v>5098</v>
      </c>
      <c r="H222" s="9" t="s">
        <v>4298</v>
      </c>
      <c r="I222" s="7"/>
      <c r="J222" s="23" t="s">
        <v>5099</v>
      </c>
      <c r="K222" s="24" t="s">
        <v>5100</v>
      </c>
      <c r="L222" s="22" t="s">
        <v>5101</v>
      </c>
      <c r="M222" s="25"/>
      <c r="N222" s="25"/>
      <c r="O222" s="26"/>
      <c r="P222" s="27"/>
      <c r="Q222" s="28"/>
      <c r="R222" s="28"/>
      <c r="S222" s="26"/>
    </row>
    <row r="223" customFormat="false" ht="15" hidden="false" customHeight="false" outlineLevel="0" collapsed="false">
      <c r="A223" s="7" t="n">
        <v>219</v>
      </c>
      <c r="B223" s="9" t="s">
        <v>16</v>
      </c>
      <c r="C223" s="22" t="s">
        <v>562</v>
      </c>
      <c r="D223" s="9" t="s">
        <v>886</v>
      </c>
      <c r="E223" s="9" t="s">
        <v>48</v>
      </c>
      <c r="F223" s="9" t="s">
        <v>99</v>
      </c>
      <c r="G223" s="22" t="s">
        <v>5102</v>
      </c>
      <c r="H223" s="9" t="s">
        <v>4298</v>
      </c>
      <c r="I223" s="7"/>
      <c r="J223" s="23" t="s">
        <v>5103</v>
      </c>
      <c r="K223" s="24" t="s">
        <v>5104</v>
      </c>
      <c r="L223" s="22" t="s">
        <v>5105</v>
      </c>
      <c r="M223" s="25"/>
      <c r="N223" s="25"/>
      <c r="O223" s="26"/>
      <c r="P223" s="27"/>
      <c r="Q223" s="28"/>
      <c r="R223" s="28"/>
      <c r="S223" s="26"/>
    </row>
    <row r="224" customFormat="false" ht="15" hidden="false" customHeight="false" outlineLevel="0" collapsed="false">
      <c r="A224" s="7" t="n">
        <v>220</v>
      </c>
      <c r="B224" s="9" t="s">
        <v>16</v>
      </c>
      <c r="C224" s="22" t="s">
        <v>562</v>
      </c>
      <c r="D224" s="9" t="s">
        <v>886</v>
      </c>
      <c r="E224" s="9" t="s">
        <v>48</v>
      </c>
      <c r="F224" s="9" t="s">
        <v>124</v>
      </c>
      <c r="G224" s="22" t="s">
        <v>5106</v>
      </c>
      <c r="H224" s="9" t="s">
        <v>4298</v>
      </c>
      <c r="I224" s="7"/>
      <c r="J224" s="23" t="s">
        <v>5107</v>
      </c>
      <c r="K224" s="24" t="s">
        <v>5108</v>
      </c>
      <c r="L224" s="22" t="s">
        <v>5109</v>
      </c>
      <c r="M224" s="25"/>
      <c r="N224" s="25"/>
      <c r="O224" s="26"/>
      <c r="P224" s="27"/>
      <c r="Q224" s="28"/>
      <c r="R224" s="28"/>
      <c r="S224" s="26"/>
    </row>
    <row r="225" customFormat="false" ht="15" hidden="false" customHeight="false" outlineLevel="0" collapsed="false">
      <c r="A225" s="7" t="n">
        <v>221</v>
      </c>
      <c r="B225" s="9" t="s">
        <v>16</v>
      </c>
      <c r="C225" s="22" t="s">
        <v>562</v>
      </c>
      <c r="D225" s="9" t="s">
        <v>899</v>
      </c>
      <c r="E225" s="9" t="s">
        <v>48</v>
      </c>
      <c r="F225" s="9" t="s">
        <v>124</v>
      </c>
      <c r="G225" s="22" t="s">
        <v>5110</v>
      </c>
      <c r="H225" s="9" t="s">
        <v>4298</v>
      </c>
      <c r="I225" s="7"/>
      <c r="J225" s="23" t="s">
        <v>5111</v>
      </c>
      <c r="K225" s="24" t="s">
        <v>5112</v>
      </c>
      <c r="L225" s="22" t="s">
        <v>903</v>
      </c>
      <c r="M225" s="25"/>
      <c r="N225" s="25"/>
      <c r="O225" s="26"/>
      <c r="P225" s="27"/>
      <c r="Q225" s="28"/>
      <c r="R225" s="28"/>
      <c r="S225" s="26"/>
    </row>
    <row r="226" customFormat="false" ht="15" hidden="false" customHeight="false" outlineLevel="0" collapsed="false">
      <c r="A226" s="7" t="n">
        <v>222</v>
      </c>
      <c r="B226" s="9" t="s">
        <v>16</v>
      </c>
      <c r="C226" s="22" t="s">
        <v>562</v>
      </c>
      <c r="D226" s="9" t="s">
        <v>904</v>
      </c>
      <c r="E226" s="9" t="s">
        <v>47</v>
      </c>
      <c r="F226" s="9" t="s">
        <v>99</v>
      </c>
      <c r="G226" s="22" t="s">
        <v>5113</v>
      </c>
      <c r="H226" s="9" t="s">
        <v>4298</v>
      </c>
      <c r="I226" s="7"/>
      <c r="J226" s="23" t="s">
        <v>5114</v>
      </c>
      <c r="K226" s="23"/>
      <c r="L226" s="22" t="s">
        <v>5115</v>
      </c>
      <c r="M226" s="25"/>
      <c r="N226" s="25"/>
      <c r="O226" s="26"/>
      <c r="P226" s="27"/>
      <c r="Q226" s="28"/>
      <c r="R226" s="28"/>
      <c r="S226" s="26"/>
    </row>
    <row r="227" customFormat="false" ht="15" hidden="false" customHeight="false" outlineLevel="0" collapsed="false">
      <c r="A227" s="7" t="n">
        <v>223</v>
      </c>
      <c r="B227" s="9" t="s">
        <v>16</v>
      </c>
      <c r="C227" s="22" t="s">
        <v>562</v>
      </c>
      <c r="D227" s="9" t="s">
        <v>904</v>
      </c>
      <c r="E227" s="9" t="s">
        <v>48</v>
      </c>
      <c r="F227" s="9" t="s">
        <v>124</v>
      </c>
      <c r="G227" s="22" t="s">
        <v>957</v>
      </c>
      <c r="H227" s="9" t="s">
        <v>4298</v>
      </c>
      <c r="I227" s="7" t="s">
        <v>869</v>
      </c>
      <c r="J227" s="23" t="s">
        <v>958</v>
      </c>
      <c r="K227" s="24" t="s">
        <v>959</v>
      </c>
      <c r="L227" s="22" t="s">
        <v>960</v>
      </c>
      <c r="M227" s="25"/>
      <c r="N227" s="25"/>
      <c r="O227" s="26"/>
      <c r="P227" s="27"/>
      <c r="Q227" s="28"/>
      <c r="R227" s="28"/>
      <c r="S227" s="26"/>
    </row>
    <row r="228" customFormat="false" ht="15" hidden="false" customHeight="false" outlineLevel="0" collapsed="false">
      <c r="A228" s="7" t="n">
        <v>224</v>
      </c>
      <c r="B228" s="9" t="s">
        <v>16</v>
      </c>
      <c r="C228" s="22" t="s">
        <v>961</v>
      </c>
      <c r="D228" s="9" t="s">
        <v>867</v>
      </c>
      <c r="E228" s="9" t="s">
        <v>47</v>
      </c>
      <c r="F228" s="9" t="s">
        <v>124</v>
      </c>
      <c r="G228" s="22" t="s">
        <v>5116</v>
      </c>
      <c r="H228" s="9" t="s">
        <v>4298</v>
      </c>
      <c r="I228" s="7"/>
      <c r="J228" s="23" t="s">
        <v>5117</v>
      </c>
      <c r="K228" s="24" t="s">
        <v>5118</v>
      </c>
      <c r="L228" s="22" t="s">
        <v>5119</v>
      </c>
      <c r="M228" s="25"/>
      <c r="N228" s="25"/>
      <c r="O228" s="26"/>
      <c r="P228" s="27"/>
      <c r="Q228" s="28"/>
      <c r="R228" s="28"/>
      <c r="S228" s="26"/>
    </row>
    <row r="229" customFormat="false" ht="15" hidden="false" customHeight="false" outlineLevel="0" collapsed="false">
      <c r="A229" s="7" t="n">
        <v>225</v>
      </c>
      <c r="B229" s="9" t="s">
        <v>16</v>
      </c>
      <c r="C229" s="22" t="s">
        <v>961</v>
      </c>
      <c r="D229" s="9" t="s">
        <v>867</v>
      </c>
      <c r="E229" s="9" t="s">
        <v>47</v>
      </c>
      <c r="F229" s="9" t="s">
        <v>99</v>
      </c>
      <c r="G229" s="22" t="s">
        <v>5120</v>
      </c>
      <c r="H229" s="9" t="s">
        <v>4298</v>
      </c>
      <c r="I229" s="7"/>
      <c r="J229" s="23" t="s">
        <v>5121</v>
      </c>
      <c r="K229" s="24" t="s">
        <v>5122</v>
      </c>
      <c r="L229" s="22" t="s">
        <v>5123</v>
      </c>
      <c r="M229" s="25"/>
      <c r="N229" s="25"/>
      <c r="O229" s="26"/>
      <c r="P229" s="27"/>
      <c r="Q229" s="28"/>
      <c r="R229" s="28"/>
      <c r="S229" s="26"/>
    </row>
    <row r="230" customFormat="false" ht="15" hidden="false" customHeight="false" outlineLevel="0" collapsed="false">
      <c r="A230" s="7" t="n">
        <v>226</v>
      </c>
      <c r="B230" s="9" t="s">
        <v>16</v>
      </c>
      <c r="C230" s="22" t="s">
        <v>961</v>
      </c>
      <c r="D230" s="9" t="s">
        <v>867</v>
      </c>
      <c r="E230" s="9" t="s">
        <v>48</v>
      </c>
      <c r="F230" s="9" t="s">
        <v>124</v>
      </c>
      <c r="G230" s="22" t="s">
        <v>5124</v>
      </c>
      <c r="H230" s="9" t="s">
        <v>4298</v>
      </c>
      <c r="I230" s="7"/>
      <c r="J230" s="23" t="s">
        <v>5125</v>
      </c>
      <c r="K230" s="24" t="s">
        <v>5126</v>
      </c>
      <c r="L230" s="22" t="s">
        <v>5127</v>
      </c>
      <c r="M230" s="25"/>
      <c r="N230" s="25"/>
      <c r="O230" s="26"/>
      <c r="P230" s="27"/>
      <c r="Q230" s="28"/>
      <c r="R230" s="28"/>
      <c r="S230" s="26"/>
    </row>
    <row r="231" customFormat="false" ht="15" hidden="false" customHeight="false" outlineLevel="0" collapsed="false">
      <c r="A231" s="7" t="n">
        <v>227</v>
      </c>
      <c r="B231" s="9" t="s">
        <v>16</v>
      </c>
      <c r="C231" s="22" t="s">
        <v>961</v>
      </c>
      <c r="D231" s="9" t="s">
        <v>966</v>
      </c>
      <c r="E231" s="9" t="s">
        <v>47</v>
      </c>
      <c r="F231" s="9" t="s">
        <v>99</v>
      </c>
      <c r="G231" s="22" t="s">
        <v>5128</v>
      </c>
      <c r="H231" s="9" t="s">
        <v>4298</v>
      </c>
      <c r="I231" s="7"/>
      <c r="J231" s="23" t="s">
        <v>5129</v>
      </c>
      <c r="K231" s="24" t="s">
        <v>5130</v>
      </c>
      <c r="L231" s="22" t="s">
        <v>5131</v>
      </c>
      <c r="M231" s="25"/>
      <c r="N231" s="25"/>
      <c r="O231" s="26"/>
      <c r="P231" s="27"/>
      <c r="Q231" s="28"/>
      <c r="R231" s="28"/>
      <c r="S231" s="26"/>
    </row>
    <row r="232" customFormat="false" ht="15" hidden="false" customHeight="false" outlineLevel="0" collapsed="false">
      <c r="A232" s="7" t="n">
        <v>228</v>
      </c>
      <c r="B232" s="9" t="s">
        <v>16</v>
      </c>
      <c r="C232" s="22" t="s">
        <v>961</v>
      </c>
      <c r="D232" s="9" t="s">
        <v>966</v>
      </c>
      <c r="E232" s="9" t="s">
        <v>47</v>
      </c>
      <c r="F232" s="9" t="s">
        <v>99</v>
      </c>
      <c r="G232" s="22" t="s">
        <v>967</v>
      </c>
      <c r="H232" s="9" t="s">
        <v>4298</v>
      </c>
      <c r="I232" s="7" t="s">
        <v>869</v>
      </c>
      <c r="J232" s="23" t="s">
        <v>968</v>
      </c>
      <c r="K232" s="24" t="s">
        <v>969</v>
      </c>
      <c r="L232" s="22" t="s">
        <v>970</v>
      </c>
      <c r="M232" s="25"/>
      <c r="N232" s="25"/>
      <c r="O232" s="26"/>
      <c r="P232" s="27"/>
      <c r="Q232" s="28"/>
      <c r="R232" s="28"/>
      <c r="S232" s="26"/>
    </row>
    <row r="233" customFormat="false" ht="15" hidden="false" customHeight="false" outlineLevel="0" collapsed="false">
      <c r="A233" s="7" t="n">
        <v>229</v>
      </c>
      <c r="B233" s="9" t="s">
        <v>16</v>
      </c>
      <c r="C233" s="22" t="s">
        <v>961</v>
      </c>
      <c r="D233" s="9" t="s">
        <v>966</v>
      </c>
      <c r="E233" s="9" t="s">
        <v>47</v>
      </c>
      <c r="F233" s="9" t="s">
        <v>99</v>
      </c>
      <c r="G233" s="22" t="s">
        <v>2990</v>
      </c>
      <c r="H233" s="9" t="s">
        <v>4298</v>
      </c>
      <c r="I233" s="7"/>
      <c r="J233" s="23" t="s">
        <v>5132</v>
      </c>
      <c r="K233" s="24" t="s">
        <v>5133</v>
      </c>
      <c r="L233" s="22" t="s">
        <v>5134</v>
      </c>
      <c r="M233" s="25"/>
      <c r="N233" s="25"/>
      <c r="O233" s="26"/>
      <c r="P233" s="27"/>
      <c r="Q233" s="28"/>
      <c r="R233" s="28"/>
      <c r="S233" s="26"/>
    </row>
    <row r="234" customFormat="false" ht="15" hidden="false" customHeight="false" outlineLevel="0" collapsed="false">
      <c r="A234" s="7" t="n">
        <v>230</v>
      </c>
      <c r="B234" s="9" t="s">
        <v>16</v>
      </c>
      <c r="C234" s="22" t="s">
        <v>961</v>
      </c>
      <c r="D234" s="9" t="s">
        <v>966</v>
      </c>
      <c r="E234" s="9" t="s">
        <v>47</v>
      </c>
      <c r="F234" s="9" t="s">
        <v>99</v>
      </c>
      <c r="G234" s="22" t="s">
        <v>5135</v>
      </c>
      <c r="H234" s="9" t="s">
        <v>4298</v>
      </c>
      <c r="I234" s="7"/>
      <c r="J234" s="23" t="s">
        <v>5136</v>
      </c>
      <c r="K234" s="24" t="s">
        <v>5137</v>
      </c>
      <c r="L234" s="22" t="s">
        <v>5138</v>
      </c>
      <c r="M234" s="25"/>
      <c r="N234" s="25"/>
      <c r="O234" s="26"/>
      <c r="P234" s="27"/>
      <c r="Q234" s="28"/>
      <c r="R234" s="28"/>
      <c r="S234" s="26"/>
    </row>
    <row r="235" customFormat="false" ht="15" hidden="false" customHeight="false" outlineLevel="0" collapsed="false">
      <c r="A235" s="7" t="n">
        <v>231</v>
      </c>
      <c r="B235" s="9" t="s">
        <v>16</v>
      </c>
      <c r="C235" s="22" t="s">
        <v>961</v>
      </c>
      <c r="D235" s="9" t="s">
        <v>966</v>
      </c>
      <c r="E235" s="9" t="s">
        <v>47</v>
      </c>
      <c r="F235" s="9" t="s">
        <v>99</v>
      </c>
      <c r="G235" s="22" t="s">
        <v>5139</v>
      </c>
      <c r="H235" s="9" t="s">
        <v>4298</v>
      </c>
      <c r="I235" s="7"/>
      <c r="J235" s="23" t="s">
        <v>5140</v>
      </c>
      <c r="K235" s="24" t="s">
        <v>5141</v>
      </c>
      <c r="L235" s="22" t="s">
        <v>5142</v>
      </c>
      <c r="M235" s="25"/>
      <c r="N235" s="25"/>
      <c r="O235" s="26"/>
      <c r="P235" s="27"/>
      <c r="Q235" s="28"/>
      <c r="R235" s="28"/>
      <c r="S235" s="26"/>
    </row>
    <row r="236" customFormat="false" ht="15" hidden="false" customHeight="false" outlineLevel="0" collapsed="false">
      <c r="A236" s="7" t="n">
        <v>232</v>
      </c>
      <c r="B236" s="9" t="s">
        <v>16</v>
      </c>
      <c r="C236" s="22" t="s">
        <v>961</v>
      </c>
      <c r="D236" s="9" t="s">
        <v>947</v>
      </c>
      <c r="E236" s="9" t="s">
        <v>47</v>
      </c>
      <c r="F236" s="9" t="s">
        <v>99</v>
      </c>
      <c r="G236" s="22" t="s">
        <v>5143</v>
      </c>
      <c r="H236" s="9" t="s">
        <v>4298</v>
      </c>
      <c r="I236" s="7"/>
      <c r="J236" s="23" t="s">
        <v>5144</v>
      </c>
      <c r="K236" s="24" t="s">
        <v>5145</v>
      </c>
      <c r="L236" s="22" t="s">
        <v>5146</v>
      </c>
      <c r="M236" s="25"/>
      <c r="N236" s="25"/>
      <c r="O236" s="26"/>
      <c r="P236" s="27"/>
      <c r="Q236" s="28"/>
      <c r="R236" s="28"/>
      <c r="S236" s="26"/>
    </row>
    <row r="237" customFormat="false" ht="15" hidden="false" customHeight="false" outlineLevel="0" collapsed="false">
      <c r="A237" s="7" t="n">
        <v>233</v>
      </c>
      <c r="B237" s="9" t="s">
        <v>16</v>
      </c>
      <c r="C237" s="22" t="s">
        <v>961</v>
      </c>
      <c r="D237" s="9" t="s">
        <v>947</v>
      </c>
      <c r="E237" s="9" t="s">
        <v>47</v>
      </c>
      <c r="F237" s="9" t="s">
        <v>99</v>
      </c>
      <c r="G237" s="22" t="s">
        <v>5147</v>
      </c>
      <c r="H237" s="9" t="s">
        <v>4298</v>
      </c>
      <c r="I237" s="7"/>
      <c r="J237" s="23" t="s">
        <v>5148</v>
      </c>
      <c r="K237" s="24" t="s">
        <v>5149</v>
      </c>
      <c r="L237" s="22" t="s">
        <v>5150</v>
      </c>
      <c r="M237" s="25"/>
      <c r="N237" s="25"/>
      <c r="O237" s="26"/>
      <c r="P237" s="27"/>
      <c r="Q237" s="28"/>
      <c r="R237" s="28"/>
      <c r="S237" s="26"/>
    </row>
    <row r="238" customFormat="false" ht="15" hidden="false" customHeight="false" outlineLevel="0" collapsed="false">
      <c r="A238" s="7" t="n">
        <v>234</v>
      </c>
      <c r="B238" s="9" t="s">
        <v>16</v>
      </c>
      <c r="C238" s="22" t="s">
        <v>961</v>
      </c>
      <c r="D238" s="9" t="s">
        <v>947</v>
      </c>
      <c r="E238" s="9" t="s">
        <v>47</v>
      </c>
      <c r="F238" s="9" t="s">
        <v>99</v>
      </c>
      <c r="G238" s="22" t="s">
        <v>5151</v>
      </c>
      <c r="H238" s="9" t="s">
        <v>4298</v>
      </c>
      <c r="I238" s="7"/>
      <c r="J238" s="23" t="s">
        <v>5152</v>
      </c>
      <c r="K238" s="24" t="s">
        <v>5153</v>
      </c>
      <c r="L238" s="22" t="s">
        <v>5154</v>
      </c>
      <c r="M238" s="25"/>
      <c r="N238" s="25"/>
      <c r="O238" s="26"/>
      <c r="P238" s="27"/>
      <c r="Q238" s="28"/>
      <c r="R238" s="28"/>
      <c r="S238" s="26"/>
    </row>
    <row r="239" customFormat="false" ht="15" hidden="false" customHeight="false" outlineLevel="0" collapsed="false">
      <c r="A239" s="7" t="n">
        <v>235</v>
      </c>
      <c r="B239" s="9" t="s">
        <v>16</v>
      </c>
      <c r="C239" s="22" t="s">
        <v>961</v>
      </c>
      <c r="D239" s="9" t="s">
        <v>947</v>
      </c>
      <c r="E239" s="9" t="s">
        <v>48</v>
      </c>
      <c r="F239" s="9" t="s">
        <v>124</v>
      </c>
      <c r="G239" s="22" t="s">
        <v>5155</v>
      </c>
      <c r="H239" s="9" t="s">
        <v>4298</v>
      </c>
      <c r="I239" s="7"/>
      <c r="J239" s="23" t="s">
        <v>5156</v>
      </c>
      <c r="K239" s="24" t="s">
        <v>5157</v>
      </c>
      <c r="L239" s="22" t="s">
        <v>951</v>
      </c>
      <c r="M239" s="25"/>
      <c r="N239" s="25"/>
      <c r="O239" s="26"/>
      <c r="P239" s="27"/>
      <c r="Q239" s="28"/>
      <c r="R239" s="28"/>
      <c r="S239" s="26"/>
    </row>
    <row r="240" customFormat="false" ht="15" hidden="false" customHeight="false" outlineLevel="0" collapsed="false">
      <c r="A240" s="7" t="n">
        <v>236</v>
      </c>
      <c r="B240" s="9" t="s">
        <v>16</v>
      </c>
      <c r="C240" s="22" t="s">
        <v>669</v>
      </c>
      <c r="D240" s="9" t="s">
        <v>242</v>
      </c>
      <c r="E240" s="9" t="s">
        <v>47</v>
      </c>
      <c r="F240" s="9" t="s">
        <v>99</v>
      </c>
      <c r="G240" s="22" t="s">
        <v>5158</v>
      </c>
      <c r="H240" s="9" t="s">
        <v>4298</v>
      </c>
      <c r="I240" s="7"/>
      <c r="J240" s="23" t="s">
        <v>5159</v>
      </c>
      <c r="K240" s="24" t="s">
        <v>5160</v>
      </c>
      <c r="L240" s="22" t="s">
        <v>5161</v>
      </c>
      <c r="M240" s="25"/>
      <c r="N240" s="25"/>
      <c r="O240" s="26"/>
      <c r="P240" s="27"/>
      <c r="Q240" s="28"/>
      <c r="R240" s="28"/>
      <c r="S240" s="26"/>
    </row>
    <row r="241" customFormat="false" ht="15" hidden="false" customHeight="false" outlineLevel="0" collapsed="false">
      <c r="A241" s="7" t="n">
        <v>237</v>
      </c>
      <c r="B241" s="9" t="s">
        <v>16</v>
      </c>
      <c r="C241" s="22" t="s">
        <v>669</v>
      </c>
      <c r="D241" s="9" t="s">
        <v>242</v>
      </c>
      <c r="E241" s="9" t="s">
        <v>47</v>
      </c>
      <c r="F241" s="9" t="s">
        <v>99</v>
      </c>
      <c r="G241" s="22" t="s">
        <v>5162</v>
      </c>
      <c r="H241" s="9" t="s">
        <v>4298</v>
      </c>
      <c r="I241" s="7"/>
      <c r="J241" s="23" t="s">
        <v>5163</v>
      </c>
      <c r="K241" s="24" t="s">
        <v>5164</v>
      </c>
      <c r="L241" s="22" t="s">
        <v>5165</v>
      </c>
      <c r="M241" s="25"/>
      <c r="N241" s="25"/>
      <c r="O241" s="26"/>
      <c r="P241" s="27"/>
      <c r="Q241" s="28"/>
      <c r="R241" s="28"/>
      <c r="S241" s="26"/>
    </row>
    <row r="242" customFormat="false" ht="15" hidden="false" customHeight="false" outlineLevel="0" collapsed="false">
      <c r="A242" s="7" t="n">
        <v>238</v>
      </c>
      <c r="B242" s="9" t="s">
        <v>16</v>
      </c>
      <c r="C242" s="22" t="s">
        <v>669</v>
      </c>
      <c r="D242" s="9" t="s">
        <v>242</v>
      </c>
      <c r="E242" s="9" t="s">
        <v>47</v>
      </c>
      <c r="F242" s="9" t="s">
        <v>99</v>
      </c>
      <c r="G242" s="22" t="s">
        <v>5166</v>
      </c>
      <c r="H242" s="9" t="s">
        <v>4298</v>
      </c>
      <c r="I242" s="7"/>
      <c r="J242" s="23" t="s">
        <v>5167</v>
      </c>
      <c r="K242" s="24" t="s">
        <v>5168</v>
      </c>
      <c r="L242" s="22" t="s">
        <v>5169</v>
      </c>
      <c r="M242" s="25"/>
      <c r="N242" s="25"/>
      <c r="O242" s="26"/>
      <c r="P242" s="27"/>
      <c r="Q242" s="28"/>
      <c r="R242" s="28"/>
      <c r="S242" s="26"/>
    </row>
    <row r="243" customFormat="false" ht="15" hidden="false" customHeight="false" outlineLevel="0" collapsed="false">
      <c r="A243" s="7" t="n">
        <v>239</v>
      </c>
      <c r="B243" s="9" t="s">
        <v>16</v>
      </c>
      <c r="C243" s="22" t="s">
        <v>669</v>
      </c>
      <c r="D243" s="9" t="s">
        <v>242</v>
      </c>
      <c r="E243" s="9" t="s">
        <v>47</v>
      </c>
      <c r="F243" s="9" t="s">
        <v>99</v>
      </c>
      <c r="G243" s="22" t="s">
        <v>975</v>
      </c>
      <c r="H243" s="9" t="s">
        <v>4298</v>
      </c>
      <c r="I243" s="7" t="s">
        <v>869</v>
      </c>
      <c r="J243" s="23" t="s">
        <v>976</v>
      </c>
      <c r="K243" s="24" t="s">
        <v>977</v>
      </c>
      <c r="L243" s="22" t="s">
        <v>978</v>
      </c>
      <c r="M243" s="25"/>
      <c r="N243" s="25"/>
      <c r="O243" s="26"/>
      <c r="P243" s="27"/>
      <c r="Q243" s="28"/>
      <c r="R243" s="28"/>
      <c r="S243" s="26"/>
    </row>
    <row r="244" customFormat="false" ht="15" hidden="false" customHeight="false" outlineLevel="0" collapsed="false">
      <c r="A244" s="7" t="n">
        <v>240</v>
      </c>
      <c r="B244" s="9" t="s">
        <v>16</v>
      </c>
      <c r="C244" s="22" t="s">
        <v>669</v>
      </c>
      <c r="D244" s="9" t="s">
        <v>242</v>
      </c>
      <c r="E244" s="9" t="s">
        <v>47</v>
      </c>
      <c r="F244" s="9" t="s">
        <v>99</v>
      </c>
      <c r="G244" s="22" t="s">
        <v>5170</v>
      </c>
      <c r="H244" s="9" t="s">
        <v>4298</v>
      </c>
      <c r="I244" s="7"/>
      <c r="J244" s="23" t="s">
        <v>5171</v>
      </c>
      <c r="K244" s="24" t="s">
        <v>5172</v>
      </c>
      <c r="L244" s="22" t="s">
        <v>5173</v>
      </c>
      <c r="M244" s="25"/>
      <c r="N244" s="25"/>
      <c r="O244" s="26"/>
      <c r="P244" s="27"/>
      <c r="Q244" s="28"/>
      <c r="R244" s="28"/>
      <c r="S244" s="26"/>
    </row>
    <row r="245" customFormat="false" ht="15" hidden="false" customHeight="false" outlineLevel="0" collapsed="false">
      <c r="A245" s="7" t="n">
        <v>241</v>
      </c>
      <c r="B245" s="9" t="s">
        <v>16</v>
      </c>
      <c r="C245" s="22" t="s">
        <v>669</v>
      </c>
      <c r="D245" s="9" t="s">
        <v>242</v>
      </c>
      <c r="E245" s="9" t="s">
        <v>48</v>
      </c>
      <c r="F245" s="9" t="s">
        <v>99</v>
      </c>
      <c r="G245" s="22" t="s">
        <v>5174</v>
      </c>
      <c r="H245" s="9" t="s">
        <v>4298</v>
      </c>
      <c r="I245" s="7"/>
      <c r="J245" s="23" t="s">
        <v>5175</v>
      </c>
      <c r="K245" s="24" t="s">
        <v>5176</v>
      </c>
      <c r="L245" s="22" t="s">
        <v>5177</v>
      </c>
      <c r="M245" s="25"/>
      <c r="N245" s="25"/>
      <c r="O245" s="26"/>
      <c r="P245" s="27"/>
      <c r="Q245" s="28"/>
      <c r="R245" s="28"/>
      <c r="S245" s="26"/>
    </row>
    <row r="246" customFormat="false" ht="15" hidden="false" customHeight="false" outlineLevel="0" collapsed="false">
      <c r="A246" s="7" t="n">
        <v>242</v>
      </c>
      <c r="B246" s="9" t="s">
        <v>16</v>
      </c>
      <c r="C246" s="22" t="s">
        <v>669</v>
      </c>
      <c r="D246" s="9" t="s">
        <v>917</v>
      </c>
      <c r="E246" s="9" t="s">
        <v>47</v>
      </c>
      <c r="F246" s="9" t="s">
        <v>99</v>
      </c>
      <c r="G246" s="22" t="s">
        <v>5178</v>
      </c>
      <c r="H246" s="9" t="s">
        <v>4298</v>
      </c>
      <c r="I246" s="7"/>
      <c r="J246" s="23" t="s">
        <v>5179</v>
      </c>
      <c r="K246" s="24" t="s">
        <v>5180</v>
      </c>
      <c r="L246" s="22" t="s">
        <v>5181</v>
      </c>
      <c r="M246" s="25"/>
      <c r="N246" s="25"/>
      <c r="O246" s="26"/>
      <c r="P246" s="27"/>
      <c r="Q246" s="28"/>
      <c r="R246" s="28"/>
      <c r="S246" s="26"/>
    </row>
    <row r="247" customFormat="false" ht="15" hidden="false" customHeight="false" outlineLevel="0" collapsed="false">
      <c r="A247" s="7" t="n">
        <v>243</v>
      </c>
      <c r="B247" s="9" t="s">
        <v>16</v>
      </c>
      <c r="C247" s="22" t="s">
        <v>669</v>
      </c>
      <c r="D247" s="9" t="s">
        <v>917</v>
      </c>
      <c r="E247" s="9" t="s">
        <v>47</v>
      </c>
      <c r="F247" s="9" t="s">
        <v>99</v>
      </c>
      <c r="G247" s="22" t="s">
        <v>979</v>
      </c>
      <c r="H247" s="9" t="s">
        <v>4298</v>
      </c>
      <c r="I247" s="7" t="s">
        <v>869</v>
      </c>
      <c r="J247" s="23" t="s">
        <v>980</v>
      </c>
      <c r="K247" s="24" t="s">
        <v>981</v>
      </c>
      <c r="L247" s="22" t="s">
        <v>982</v>
      </c>
      <c r="M247" s="25"/>
      <c r="N247" s="25"/>
      <c r="O247" s="26"/>
      <c r="P247" s="27"/>
      <c r="Q247" s="28"/>
      <c r="R247" s="28"/>
      <c r="S247" s="26"/>
    </row>
    <row r="248" customFormat="false" ht="15" hidden="false" customHeight="false" outlineLevel="0" collapsed="false">
      <c r="A248" s="7" t="n">
        <v>244</v>
      </c>
      <c r="B248" s="9" t="s">
        <v>16</v>
      </c>
      <c r="C248" s="22" t="s">
        <v>669</v>
      </c>
      <c r="D248" s="9" t="s">
        <v>917</v>
      </c>
      <c r="E248" s="9" t="s">
        <v>47</v>
      </c>
      <c r="F248" s="9" t="s">
        <v>99</v>
      </c>
      <c r="G248" s="22" t="s">
        <v>983</v>
      </c>
      <c r="H248" s="9" t="s">
        <v>4298</v>
      </c>
      <c r="I248" s="7" t="s">
        <v>869</v>
      </c>
      <c r="J248" s="23" t="s">
        <v>984</v>
      </c>
      <c r="K248" s="24" t="s">
        <v>985</v>
      </c>
      <c r="L248" s="22" t="s">
        <v>986</v>
      </c>
      <c r="M248" s="25"/>
      <c r="N248" s="25"/>
      <c r="O248" s="26"/>
      <c r="P248" s="27"/>
      <c r="Q248" s="28"/>
      <c r="R248" s="28"/>
      <c r="S248" s="26"/>
    </row>
    <row r="249" customFormat="false" ht="15" hidden="false" customHeight="false" outlineLevel="0" collapsed="false">
      <c r="A249" s="7" t="n">
        <v>245</v>
      </c>
      <c r="B249" s="9" t="s">
        <v>16</v>
      </c>
      <c r="C249" s="22" t="s">
        <v>669</v>
      </c>
      <c r="D249" s="9" t="s">
        <v>917</v>
      </c>
      <c r="E249" s="9" t="s">
        <v>47</v>
      </c>
      <c r="F249" s="9" t="s">
        <v>99</v>
      </c>
      <c r="G249" s="22" t="s">
        <v>987</v>
      </c>
      <c r="H249" s="9" t="s">
        <v>4298</v>
      </c>
      <c r="I249" s="7" t="s">
        <v>869</v>
      </c>
      <c r="J249" s="23" t="s">
        <v>988</v>
      </c>
      <c r="K249" s="24" t="s">
        <v>989</v>
      </c>
      <c r="L249" s="22" t="s">
        <v>990</v>
      </c>
      <c r="M249" s="25"/>
      <c r="N249" s="25"/>
      <c r="O249" s="26"/>
      <c r="P249" s="27"/>
      <c r="Q249" s="28"/>
      <c r="R249" s="28"/>
      <c r="S249" s="26"/>
    </row>
    <row r="250" customFormat="false" ht="15" hidden="false" customHeight="false" outlineLevel="0" collapsed="false">
      <c r="A250" s="7" t="n">
        <v>246</v>
      </c>
      <c r="B250" s="9" t="s">
        <v>16</v>
      </c>
      <c r="C250" s="22" t="s">
        <v>669</v>
      </c>
      <c r="D250" s="9" t="s">
        <v>991</v>
      </c>
      <c r="E250" s="9" t="s">
        <v>47</v>
      </c>
      <c r="F250" s="9" t="s">
        <v>99</v>
      </c>
      <c r="G250" s="22" t="s">
        <v>5182</v>
      </c>
      <c r="H250" s="9" t="s">
        <v>4298</v>
      </c>
      <c r="I250" s="7"/>
      <c r="J250" s="23" t="s">
        <v>5183</v>
      </c>
      <c r="K250" s="24" t="s">
        <v>5184</v>
      </c>
      <c r="L250" s="22" t="s">
        <v>5185</v>
      </c>
      <c r="M250" s="25"/>
      <c r="N250" s="25"/>
      <c r="O250" s="26"/>
      <c r="P250" s="27"/>
      <c r="Q250" s="28"/>
      <c r="R250" s="28"/>
      <c r="S250" s="26"/>
    </row>
    <row r="251" customFormat="false" ht="15" hidden="false" customHeight="false" outlineLevel="0" collapsed="false">
      <c r="A251" s="7" t="n">
        <v>247</v>
      </c>
      <c r="B251" s="9" t="s">
        <v>16</v>
      </c>
      <c r="C251" s="22" t="s">
        <v>669</v>
      </c>
      <c r="D251" s="9" t="s">
        <v>991</v>
      </c>
      <c r="E251" s="9" t="s">
        <v>47</v>
      </c>
      <c r="F251" s="9" t="s">
        <v>99</v>
      </c>
      <c r="G251" s="22" t="s">
        <v>5186</v>
      </c>
      <c r="H251" s="9" t="s">
        <v>4298</v>
      </c>
      <c r="I251" s="7"/>
      <c r="J251" s="23" t="s">
        <v>5187</v>
      </c>
      <c r="K251" s="24" t="s">
        <v>5188</v>
      </c>
      <c r="L251" s="22" t="s">
        <v>5189</v>
      </c>
      <c r="M251" s="25"/>
      <c r="N251" s="25"/>
      <c r="O251" s="26"/>
      <c r="P251" s="27"/>
      <c r="Q251" s="28"/>
      <c r="R251" s="28"/>
      <c r="S251" s="26"/>
    </row>
    <row r="252" customFormat="false" ht="15" hidden="false" customHeight="false" outlineLevel="0" collapsed="false">
      <c r="A252" s="7" t="n">
        <v>248</v>
      </c>
      <c r="B252" s="9" t="s">
        <v>16</v>
      </c>
      <c r="C252" s="22" t="s">
        <v>669</v>
      </c>
      <c r="D252" s="9" t="s">
        <v>991</v>
      </c>
      <c r="E252" s="9" t="s">
        <v>47</v>
      </c>
      <c r="F252" s="9" t="s">
        <v>99</v>
      </c>
      <c r="G252" s="22" t="s">
        <v>5190</v>
      </c>
      <c r="H252" s="9" t="s">
        <v>4298</v>
      </c>
      <c r="I252" s="7"/>
      <c r="J252" s="23" t="s">
        <v>5191</v>
      </c>
      <c r="K252" s="24" t="s">
        <v>5192</v>
      </c>
      <c r="L252" s="22" t="s">
        <v>5193</v>
      </c>
      <c r="M252" s="25"/>
      <c r="N252" s="25"/>
      <c r="O252" s="26"/>
      <c r="P252" s="27"/>
      <c r="Q252" s="28"/>
      <c r="R252" s="28"/>
      <c r="S252" s="26"/>
    </row>
    <row r="253" customFormat="false" ht="15" hidden="false" customHeight="false" outlineLevel="0" collapsed="false">
      <c r="A253" s="7" t="n">
        <v>249</v>
      </c>
      <c r="B253" s="9" t="s">
        <v>16</v>
      </c>
      <c r="C253" s="22" t="s">
        <v>669</v>
      </c>
      <c r="D253" s="9" t="s">
        <v>991</v>
      </c>
      <c r="E253" s="9" t="s">
        <v>47</v>
      </c>
      <c r="F253" s="9" t="s">
        <v>99</v>
      </c>
      <c r="G253" s="22" t="s">
        <v>992</v>
      </c>
      <c r="H253" s="9" t="s">
        <v>4298</v>
      </c>
      <c r="I253" s="7" t="s">
        <v>869</v>
      </c>
      <c r="J253" s="23" t="s">
        <v>993</v>
      </c>
      <c r="K253" s="24" t="s">
        <v>994</v>
      </c>
      <c r="L253" s="22" t="s">
        <v>995</v>
      </c>
      <c r="M253" s="25"/>
      <c r="N253" s="25"/>
      <c r="O253" s="26"/>
      <c r="P253" s="27"/>
      <c r="Q253" s="28"/>
      <c r="R253" s="28"/>
      <c r="S253" s="26"/>
    </row>
    <row r="254" customFormat="false" ht="15" hidden="false" customHeight="false" outlineLevel="0" collapsed="false">
      <c r="A254" s="7" t="n">
        <v>250</v>
      </c>
      <c r="B254" s="9" t="s">
        <v>16</v>
      </c>
      <c r="C254" s="22" t="s">
        <v>725</v>
      </c>
      <c r="D254" s="9" t="s">
        <v>930</v>
      </c>
      <c r="E254" s="9" t="s">
        <v>47</v>
      </c>
      <c r="F254" s="9" t="s">
        <v>99</v>
      </c>
      <c r="G254" s="22" t="s">
        <v>5194</v>
      </c>
      <c r="H254" s="9" t="s">
        <v>4298</v>
      </c>
      <c r="I254" s="7"/>
      <c r="J254" s="23" t="s">
        <v>5195</v>
      </c>
      <c r="K254" s="24" t="s">
        <v>5196</v>
      </c>
      <c r="L254" s="22" t="s">
        <v>5197</v>
      </c>
      <c r="M254" s="25"/>
      <c r="N254" s="25"/>
      <c r="O254" s="26"/>
      <c r="P254" s="27"/>
      <c r="Q254" s="28"/>
      <c r="R254" s="28"/>
      <c r="S254" s="26"/>
    </row>
    <row r="255" customFormat="false" ht="15" hidden="false" customHeight="false" outlineLevel="0" collapsed="false">
      <c r="A255" s="7" t="n">
        <v>251</v>
      </c>
      <c r="B255" s="9" t="s">
        <v>16</v>
      </c>
      <c r="C255" s="22" t="s">
        <v>725</v>
      </c>
      <c r="D255" s="9" t="s">
        <v>930</v>
      </c>
      <c r="E255" s="9" t="s">
        <v>47</v>
      </c>
      <c r="F255" s="9" t="s">
        <v>99</v>
      </c>
      <c r="G255" s="22" t="s">
        <v>5198</v>
      </c>
      <c r="H255" s="9" t="s">
        <v>4298</v>
      </c>
      <c r="I255" s="7"/>
      <c r="J255" s="23" t="s">
        <v>5199</v>
      </c>
      <c r="K255" s="24" t="s">
        <v>5200</v>
      </c>
      <c r="L255" s="22" t="s">
        <v>5201</v>
      </c>
      <c r="M255" s="25"/>
      <c r="N255" s="25"/>
      <c r="O255" s="26"/>
      <c r="P255" s="27"/>
      <c r="Q255" s="28"/>
      <c r="R255" s="28"/>
      <c r="S255" s="26"/>
    </row>
    <row r="256" customFormat="false" ht="15" hidden="false" customHeight="false" outlineLevel="0" collapsed="false">
      <c r="A256" s="7" t="n">
        <v>252</v>
      </c>
      <c r="B256" s="9" t="s">
        <v>16</v>
      </c>
      <c r="C256" s="22" t="s">
        <v>725</v>
      </c>
      <c r="D256" s="9" t="s">
        <v>930</v>
      </c>
      <c r="E256" s="9" t="s">
        <v>48</v>
      </c>
      <c r="F256" s="9" t="s">
        <v>99</v>
      </c>
      <c r="G256" s="22" t="s">
        <v>5202</v>
      </c>
      <c r="H256" s="9" t="s">
        <v>4298</v>
      </c>
      <c r="I256" s="7"/>
      <c r="J256" s="23" t="s">
        <v>5203</v>
      </c>
      <c r="K256" s="24" t="s">
        <v>5204</v>
      </c>
      <c r="L256" s="22" t="s">
        <v>5205</v>
      </c>
      <c r="M256" s="25"/>
      <c r="N256" s="25"/>
      <c r="O256" s="26"/>
      <c r="P256" s="27"/>
      <c r="Q256" s="28"/>
      <c r="R256" s="28"/>
      <c r="S256" s="26"/>
    </row>
    <row r="257" customFormat="false" ht="15" hidden="false" customHeight="false" outlineLevel="0" collapsed="false">
      <c r="A257" s="7" t="n">
        <v>253</v>
      </c>
      <c r="B257" s="9" t="s">
        <v>16</v>
      </c>
      <c r="C257" s="22" t="s">
        <v>725</v>
      </c>
      <c r="D257" s="9" t="s">
        <v>1000</v>
      </c>
      <c r="E257" s="9" t="s">
        <v>47</v>
      </c>
      <c r="F257" s="9" t="s">
        <v>99</v>
      </c>
      <c r="G257" s="22" t="s">
        <v>5206</v>
      </c>
      <c r="H257" s="9" t="s">
        <v>4298</v>
      </c>
      <c r="I257" s="7"/>
      <c r="J257" s="23" t="s">
        <v>5207</v>
      </c>
      <c r="K257" s="24" t="s">
        <v>5208</v>
      </c>
      <c r="L257" s="22" t="s">
        <v>5209</v>
      </c>
      <c r="M257" s="25"/>
      <c r="N257" s="25"/>
      <c r="O257" s="26"/>
      <c r="P257" s="27"/>
      <c r="Q257" s="28"/>
      <c r="R257" s="28"/>
      <c r="S257" s="26"/>
    </row>
    <row r="258" customFormat="false" ht="15" hidden="false" customHeight="false" outlineLevel="0" collapsed="false">
      <c r="A258" s="7" t="n">
        <v>254</v>
      </c>
      <c r="B258" s="9" t="s">
        <v>16</v>
      </c>
      <c r="C258" s="22" t="s">
        <v>725</v>
      </c>
      <c r="D258" s="9" t="s">
        <v>1000</v>
      </c>
      <c r="E258" s="9" t="s">
        <v>47</v>
      </c>
      <c r="F258" s="9" t="s">
        <v>99</v>
      </c>
      <c r="G258" s="22" t="s">
        <v>1005</v>
      </c>
      <c r="H258" s="9" t="s">
        <v>4298</v>
      </c>
      <c r="I258" s="7" t="s">
        <v>869</v>
      </c>
      <c r="J258" s="23" t="s">
        <v>1006</v>
      </c>
      <c r="K258" s="24" t="s">
        <v>1007</v>
      </c>
      <c r="L258" s="22" t="s">
        <v>1008</v>
      </c>
      <c r="M258" s="25"/>
      <c r="N258" s="25"/>
      <c r="O258" s="26"/>
      <c r="P258" s="27"/>
      <c r="Q258" s="28"/>
      <c r="R258" s="28"/>
      <c r="S258" s="26"/>
    </row>
    <row r="259" customFormat="false" ht="15" hidden="false" customHeight="false" outlineLevel="0" collapsed="false">
      <c r="A259" s="7" t="n">
        <v>255</v>
      </c>
      <c r="B259" s="9" t="s">
        <v>16</v>
      </c>
      <c r="C259" s="22" t="s">
        <v>725</v>
      </c>
      <c r="D259" s="9" t="s">
        <v>952</v>
      </c>
      <c r="E259" s="9" t="s">
        <v>47</v>
      </c>
      <c r="F259" s="9" t="s">
        <v>99</v>
      </c>
      <c r="G259" s="22" t="s">
        <v>5210</v>
      </c>
      <c r="H259" s="9" t="s">
        <v>4298</v>
      </c>
      <c r="I259" s="7"/>
      <c r="J259" s="23" t="s">
        <v>5211</v>
      </c>
      <c r="K259" s="24" t="s">
        <v>5212</v>
      </c>
      <c r="L259" s="22" t="s">
        <v>5213</v>
      </c>
      <c r="M259" s="25"/>
      <c r="N259" s="25"/>
      <c r="O259" s="26"/>
      <c r="P259" s="27"/>
      <c r="Q259" s="28"/>
      <c r="R259" s="28"/>
      <c r="S259" s="26"/>
    </row>
    <row r="260" customFormat="false" ht="15" hidden="false" customHeight="false" outlineLevel="0" collapsed="false">
      <c r="A260" s="7" t="n">
        <v>256</v>
      </c>
      <c r="B260" s="9" t="s">
        <v>16</v>
      </c>
      <c r="C260" s="22" t="s">
        <v>725</v>
      </c>
      <c r="D260" s="9" t="s">
        <v>952</v>
      </c>
      <c r="E260" s="9" t="s">
        <v>47</v>
      </c>
      <c r="F260" s="9" t="s">
        <v>99</v>
      </c>
      <c r="G260" s="22" t="s">
        <v>1009</v>
      </c>
      <c r="H260" s="9" t="s">
        <v>4298</v>
      </c>
      <c r="I260" s="7" t="s">
        <v>869</v>
      </c>
      <c r="J260" s="23" t="s">
        <v>1010</v>
      </c>
      <c r="K260" s="24" t="s">
        <v>1011</v>
      </c>
      <c r="L260" s="22" t="s">
        <v>1012</v>
      </c>
      <c r="M260" s="25"/>
      <c r="N260" s="25"/>
      <c r="O260" s="26"/>
      <c r="P260" s="27"/>
      <c r="Q260" s="28"/>
      <c r="R260" s="28"/>
      <c r="S260" s="26"/>
    </row>
    <row r="261" customFormat="false" ht="15" hidden="false" customHeight="false" outlineLevel="0" collapsed="false">
      <c r="A261" s="7" t="n">
        <v>257</v>
      </c>
      <c r="B261" s="9" t="s">
        <v>16</v>
      </c>
      <c r="C261" s="22" t="s">
        <v>725</v>
      </c>
      <c r="D261" s="9" t="s">
        <v>526</v>
      </c>
      <c r="E261" s="9" t="s">
        <v>47</v>
      </c>
      <c r="F261" s="9" t="s">
        <v>124</v>
      </c>
      <c r="G261" s="22" t="s">
        <v>5214</v>
      </c>
      <c r="H261" s="9" t="s">
        <v>4298</v>
      </c>
      <c r="I261" s="7"/>
      <c r="J261" s="23" t="s">
        <v>5215</v>
      </c>
      <c r="K261" s="24" t="s">
        <v>5216</v>
      </c>
      <c r="L261" s="22" t="s">
        <v>5217</v>
      </c>
      <c r="M261" s="25"/>
      <c r="N261" s="25"/>
      <c r="O261" s="26"/>
      <c r="P261" s="27"/>
      <c r="Q261" s="28"/>
      <c r="R261" s="28"/>
      <c r="S261" s="26"/>
    </row>
    <row r="262" customFormat="false" ht="15" hidden="false" customHeight="false" outlineLevel="0" collapsed="false">
      <c r="A262" s="7" t="n">
        <v>258</v>
      </c>
      <c r="B262" s="9" t="s">
        <v>16</v>
      </c>
      <c r="C262" s="22" t="s">
        <v>725</v>
      </c>
      <c r="D262" s="9" t="s">
        <v>526</v>
      </c>
      <c r="E262" s="9" t="s">
        <v>48</v>
      </c>
      <c r="F262" s="9" t="s">
        <v>124</v>
      </c>
      <c r="G262" s="22" t="s">
        <v>1220</v>
      </c>
      <c r="H262" s="9" t="s">
        <v>4298</v>
      </c>
      <c r="I262" s="7"/>
      <c r="J262" s="23" t="s">
        <v>5218</v>
      </c>
      <c r="K262" s="24" t="s">
        <v>5219</v>
      </c>
      <c r="L262" s="22" t="s">
        <v>5220</v>
      </c>
      <c r="M262" s="25"/>
      <c r="N262" s="25"/>
      <c r="O262" s="26"/>
      <c r="P262" s="27"/>
      <c r="Q262" s="28"/>
      <c r="R262" s="28"/>
      <c r="S262" s="26"/>
    </row>
    <row r="263" customFormat="false" ht="15" hidden="false" customHeight="false" outlineLevel="0" collapsed="false">
      <c r="A263" s="7" t="n">
        <v>259</v>
      </c>
      <c r="B263" s="9" t="s">
        <v>16</v>
      </c>
      <c r="C263" s="22" t="s">
        <v>1013</v>
      </c>
      <c r="D263" s="9" t="s">
        <v>877</v>
      </c>
      <c r="E263" s="9" t="s">
        <v>47</v>
      </c>
      <c r="F263" s="9" t="s">
        <v>99</v>
      </c>
      <c r="G263" s="22" t="s">
        <v>1014</v>
      </c>
      <c r="H263" s="9" t="s">
        <v>4298</v>
      </c>
      <c r="I263" s="7" t="s">
        <v>869</v>
      </c>
      <c r="J263" s="23" t="s">
        <v>1015</v>
      </c>
      <c r="K263" s="24" t="s">
        <v>1016</v>
      </c>
      <c r="L263" s="22" t="s">
        <v>1017</v>
      </c>
      <c r="M263" s="25"/>
      <c r="N263" s="25"/>
      <c r="O263" s="26"/>
      <c r="P263" s="27"/>
      <c r="Q263" s="28"/>
      <c r="R263" s="28"/>
      <c r="S263" s="26"/>
    </row>
    <row r="264" customFormat="false" ht="15" hidden="false" customHeight="false" outlineLevel="0" collapsed="false">
      <c r="A264" s="7" t="n">
        <v>260</v>
      </c>
      <c r="B264" s="9" t="s">
        <v>16</v>
      </c>
      <c r="C264" s="22" t="s">
        <v>1013</v>
      </c>
      <c r="D264" s="9" t="s">
        <v>877</v>
      </c>
      <c r="E264" s="9" t="s">
        <v>47</v>
      </c>
      <c r="F264" s="9" t="s">
        <v>99</v>
      </c>
      <c r="G264" s="22" t="s">
        <v>1018</v>
      </c>
      <c r="H264" s="9" t="s">
        <v>4298</v>
      </c>
      <c r="I264" s="7" t="s">
        <v>869</v>
      </c>
      <c r="J264" s="23" t="s">
        <v>1019</v>
      </c>
      <c r="K264" s="24" t="s">
        <v>1020</v>
      </c>
      <c r="L264" s="22" t="s">
        <v>1021</v>
      </c>
      <c r="M264" s="25"/>
      <c r="N264" s="25"/>
      <c r="O264" s="26"/>
      <c r="P264" s="27"/>
      <c r="Q264" s="28"/>
      <c r="R264" s="28"/>
      <c r="S264" s="26"/>
    </row>
    <row r="265" customFormat="false" ht="15" hidden="false" customHeight="false" outlineLevel="0" collapsed="false">
      <c r="A265" s="7" t="n">
        <v>261</v>
      </c>
      <c r="B265" s="9" t="s">
        <v>16</v>
      </c>
      <c r="C265" s="22" t="s">
        <v>1013</v>
      </c>
      <c r="D265" s="9" t="s">
        <v>877</v>
      </c>
      <c r="E265" s="9" t="s">
        <v>47</v>
      </c>
      <c r="F265" s="9" t="s">
        <v>99</v>
      </c>
      <c r="G265" s="22" t="s">
        <v>1022</v>
      </c>
      <c r="H265" s="9" t="s">
        <v>4298</v>
      </c>
      <c r="I265" s="7" t="s">
        <v>869</v>
      </c>
      <c r="J265" s="23" t="s">
        <v>1023</v>
      </c>
      <c r="K265" s="24" t="s">
        <v>1024</v>
      </c>
      <c r="L265" s="22" t="s">
        <v>1025</v>
      </c>
      <c r="M265" s="25"/>
      <c r="N265" s="25"/>
      <c r="O265" s="26"/>
      <c r="P265" s="27"/>
      <c r="Q265" s="28"/>
      <c r="R265" s="28"/>
      <c r="S265" s="26"/>
    </row>
    <row r="266" customFormat="false" ht="15" hidden="false" customHeight="false" outlineLevel="0" collapsed="false">
      <c r="A266" s="7" t="n">
        <v>262</v>
      </c>
      <c r="B266" s="9" t="s">
        <v>16</v>
      </c>
      <c r="C266" s="22" t="s">
        <v>1013</v>
      </c>
      <c r="D266" s="9" t="s">
        <v>877</v>
      </c>
      <c r="E266" s="9" t="s">
        <v>47</v>
      </c>
      <c r="F266" s="9" t="s">
        <v>99</v>
      </c>
      <c r="G266" s="22" t="s">
        <v>1030</v>
      </c>
      <c r="H266" s="9" t="s">
        <v>4298</v>
      </c>
      <c r="I266" s="7" t="s">
        <v>869</v>
      </c>
      <c r="J266" s="23" t="s">
        <v>1031</v>
      </c>
      <c r="K266" s="24" t="s">
        <v>1032</v>
      </c>
      <c r="L266" s="22" t="s">
        <v>1033</v>
      </c>
      <c r="M266" s="25"/>
      <c r="N266" s="25"/>
      <c r="O266" s="26"/>
      <c r="P266" s="27"/>
      <c r="Q266" s="28"/>
      <c r="R266" s="28"/>
      <c r="S266" s="26"/>
    </row>
    <row r="267" customFormat="false" ht="15" hidden="false" customHeight="false" outlineLevel="0" collapsed="false">
      <c r="A267" s="7" t="n">
        <v>263</v>
      </c>
      <c r="B267" s="9" t="s">
        <v>16</v>
      </c>
      <c r="C267" s="22" t="s">
        <v>1013</v>
      </c>
      <c r="D267" s="9" t="s">
        <v>1034</v>
      </c>
      <c r="E267" s="9" t="s">
        <v>47</v>
      </c>
      <c r="F267" s="9" t="s">
        <v>99</v>
      </c>
      <c r="G267" s="22" t="s">
        <v>5221</v>
      </c>
      <c r="H267" s="9" t="s">
        <v>4298</v>
      </c>
      <c r="I267" s="7"/>
      <c r="J267" s="23" t="s">
        <v>5222</v>
      </c>
      <c r="K267" s="24" t="s">
        <v>5223</v>
      </c>
      <c r="L267" s="22" t="s">
        <v>5224</v>
      </c>
      <c r="M267" s="25"/>
      <c r="N267" s="25"/>
      <c r="O267" s="26"/>
      <c r="P267" s="27"/>
      <c r="Q267" s="28"/>
      <c r="R267" s="28"/>
      <c r="S267" s="26"/>
    </row>
    <row r="268" customFormat="false" ht="15" hidden="false" customHeight="false" outlineLevel="0" collapsed="false">
      <c r="A268" s="7" t="n">
        <v>264</v>
      </c>
      <c r="B268" s="9" t="s">
        <v>16</v>
      </c>
      <c r="C268" s="22" t="s">
        <v>1013</v>
      </c>
      <c r="D268" s="9" t="s">
        <v>1034</v>
      </c>
      <c r="E268" s="9" t="s">
        <v>48</v>
      </c>
      <c r="F268" s="9" t="s">
        <v>99</v>
      </c>
      <c r="G268" s="22" t="s">
        <v>5225</v>
      </c>
      <c r="H268" s="9" t="s">
        <v>4298</v>
      </c>
      <c r="I268" s="7"/>
      <c r="J268" s="23" t="s">
        <v>5226</v>
      </c>
      <c r="K268" s="24" t="s">
        <v>5227</v>
      </c>
      <c r="L268" s="22" t="s">
        <v>5228</v>
      </c>
      <c r="M268" s="25"/>
      <c r="N268" s="25"/>
      <c r="O268" s="26"/>
      <c r="P268" s="27"/>
      <c r="Q268" s="28"/>
      <c r="R268" s="28"/>
      <c r="S268" s="26"/>
    </row>
    <row r="269" customFormat="false" ht="15" hidden="false" customHeight="false" outlineLevel="0" collapsed="false">
      <c r="A269" s="7" t="n">
        <v>265</v>
      </c>
      <c r="B269" s="9" t="s">
        <v>16</v>
      </c>
      <c r="C269" s="22" t="s">
        <v>1013</v>
      </c>
      <c r="D269" s="9" t="s">
        <v>1047</v>
      </c>
      <c r="E269" s="9" t="s">
        <v>47</v>
      </c>
      <c r="F269" s="9" t="s">
        <v>99</v>
      </c>
      <c r="G269" s="22" t="s">
        <v>5229</v>
      </c>
      <c r="H269" s="9" t="s">
        <v>4298</v>
      </c>
      <c r="I269" s="7"/>
      <c r="J269" s="23" t="s">
        <v>5230</v>
      </c>
      <c r="K269" s="24" t="s">
        <v>5231</v>
      </c>
      <c r="L269" s="22" t="s">
        <v>5232</v>
      </c>
      <c r="M269" s="25"/>
      <c r="N269" s="25"/>
      <c r="O269" s="26"/>
      <c r="P269" s="27"/>
      <c r="Q269" s="28"/>
      <c r="R269" s="28"/>
      <c r="S269" s="26"/>
    </row>
    <row r="270" customFormat="false" ht="15" hidden="false" customHeight="false" outlineLevel="0" collapsed="false">
      <c r="A270" s="7" t="n">
        <v>266</v>
      </c>
      <c r="B270" s="9" t="s">
        <v>16</v>
      </c>
      <c r="C270" s="22" t="s">
        <v>1013</v>
      </c>
      <c r="D270" s="9" t="s">
        <v>1047</v>
      </c>
      <c r="E270" s="9" t="s">
        <v>47</v>
      </c>
      <c r="F270" s="9" t="s">
        <v>99</v>
      </c>
      <c r="G270" s="22" t="s">
        <v>1048</v>
      </c>
      <c r="H270" s="9" t="s">
        <v>4298</v>
      </c>
      <c r="I270" s="7" t="s">
        <v>869</v>
      </c>
      <c r="J270" s="23" t="s">
        <v>1049</v>
      </c>
      <c r="K270" s="24" t="s">
        <v>1050</v>
      </c>
      <c r="L270" s="22" t="s">
        <v>1051</v>
      </c>
      <c r="M270" s="25"/>
      <c r="N270" s="25"/>
      <c r="O270" s="26"/>
      <c r="P270" s="27"/>
      <c r="Q270" s="28"/>
      <c r="R270" s="28"/>
      <c r="S270" s="26"/>
    </row>
    <row r="271" customFormat="false" ht="15" hidden="false" customHeight="false" outlineLevel="0" collapsed="false">
      <c r="A271" s="7" t="n">
        <v>267</v>
      </c>
      <c r="B271" s="9" t="s">
        <v>16</v>
      </c>
      <c r="C271" s="22" t="s">
        <v>1013</v>
      </c>
      <c r="D271" s="9" t="s">
        <v>1047</v>
      </c>
      <c r="E271" s="9" t="s">
        <v>47</v>
      </c>
      <c r="F271" s="9" t="s">
        <v>99</v>
      </c>
      <c r="G271" s="22" t="s">
        <v>5233</v>
      </c>
      <c r="H271" s="9" t="s">
        <v>4298</v>
      </c>
      <c r="I271" s="7"/>
      <c r="J271" s="23" t="s">
        <v>5234</v>
      </c>
      <c r="K271" s="24" t="s">
        <v>5235</v>
      </c>
      <c r="L271" s="22" t="s">
        <v>5236</v>
      </c>
      <c r="M271" s="25"/>
      <c r="N271" s="25"/>
      <c r="O271" s="26"/>
      <c r="P271" s="27"/>
      <c r="Q271" s="28"/>
      <c r="R271" s="28"/>
      <c r="S271" s="26"/>
    </row>
    <row r="272" customFormat="false" ht="15" hidden="false" customHeight="false" outlineLevel="0" collapsed="false">
      <c r="A272" s="7" t="n">
        <v>268</v>
      </c>
      <c r="B272" s="9" t="s">
        <v>16</v>
      </c>
      <c r="C272" s="22" t="s">
        <v>1013</v>
      </c>
      <c r="D272" s="9" t="s">
        <v>1047</v>
      </c>
      <c r="E272" s="9" t="s">
        <v>48</v>
      </c>
      <c r="F272" s="9" t="s">
        <v>99</v>
      </c>
      <c r="G272" s="22" t="s">
        <v>5237</v>
      </c>
      <c r="H272" s="9" t="s">
        <v>4298</v>
      </c>
      <c r="I272" s="7"/>
      <c r="J272" s="23" t="s">
        <v>5238</v>
      </c>
      <c r="K272" s="24" t="s">
        <v>5239</v>
      </c>
      <c r="L272" s="22" t="s">
        <v>5240</v>
      </c>
      <c r="M272" s="25"/>
      <c r="N272" s="25"/>
      <c r="O272" s="26"/>
      <c r="P272" s="27"/>
      <c r="Q272" s="28"/>
      <c r="R272" s="28"/>
      <c r="S272" s="26"/>
    </row>
    <row r="273" customFormat="false" ht="15" hidden="false" customHeight="false" outlineLevel="0" collapsed="false">
      <c r="A273" s="7" t="n">
        <v>269</v>
      </c>
      <c r="B273" s="9" t="s">
        <v>17</v>
      </c>
      <c r="C273" s="22" t="s">
        <v>300</v>
      </c>
      <c r="D273" s="9" t="s">
        <v>886</v>
      </c>
      <c r="E273" s="9" t="s">
        <v>49</v>
      </c>
      <c r="F273" s="9" t="s">
        <v>124</v>
      </c>
      <c r="G273" s="22" t="s">
        <v>5241</v>
      </c>
      <c r="H273" s="9" t="s">
        <v>4298</v>
      </c>
      <c r="I273" s="7"/>
      <c r="J273" s="23" t="s">
        <v>5242</v>
      </c>
      <c r="K273" s="24" t="s">
        <v>5243</v>
      </c>
      <c r="L273" s="22" t="s">
        <v>1103</v>
      </c>
      <c r="M273" s="25"/>
      <c r="N273" s="25"/>
      <c r="O273" s="26"/>
      <c r="P273" s="27"/>
      <c r="Q273" s="28"/>
      <c r="R273" s="28"/>
      <c r="S273" s="26"/>
    </row>
    <row r="274" customFormat="false" ht="15" hidden="false" customHeight="false" outlineLevel="0" collapsed="false">
      <c r="A274" s="7" t="n">
        <v>270</v>
      </c>
      <c r="B274" s="9" t="s">
        <v>17</v>
      </c>
      <c r="C274" s="22" t="s">
        <v>300</v>
      </c>
      <c r="D274" s="9" t="s">
        <v>886</v>
      </c>
      <c r="E274" s="9" t="s">
        <v>49</v>
      </c>
      <c r="F274" s="9" t="s">
        <v>124</v>
      </c>
      <c r="G274" s="22" t="s">
        <v>5244</v>
      </c>
      <c r="H274" s="9" t="s">
        <v>4298</v>
      </c>
      <c r="I274" s="7"/>
      <c r="J274" s="23" t="s">
        <v>5245</v>
      </c>
      <c r="K274" s="24" t="s">
        <v>5246</v>
      </c>
      <c r="L274" s="22" t="s">
        <v>1107</v>
      </c>
      <c r="M274" s="25"/>
      <c r="N274" s="25"/>
      <c r="O274" s="26"/>
      <c r="P274" s="27"/>
      <c r="Q274" s="28"/>
      <c r="R274" s="28"/>
      <c r="S274" s="26"/>
    </row>
    <row r="275" customFormat="false" ht="15" hidden="false" customHeight="false" outlineLevel="0" collapsed="false">
      <c r="A275" s="7" t="n">
        <v>271</v>
      </c>
      <c r="B275" s="9" t="s">
        <v>17</v>
      </c>
      <c r="C275" s="22" t="s">
        <v>300</v>
      </c>
      <c r="D275" s="9" t="s">
        <v>1061</v>
      </c>
      <c r="E275" s="9" t="s">
        <v>49</v>
      </c>
      <c r="F275" s="9" t="s">
        <v>124</v>
      </c>
      <c r="G275" s="22" t="s">
        <v>5247</v>
      </c>
      <c r="H275" s="9" t="s">
        <v>4298</v>
      </c>
      <c r="I275" s="7"/>
      <c r="J275" s="23" t="s">
        <v>5248</v>
      </c>
      <c r="K275" s="24" t="s">
        <v>5249</v>
      </c>
      <c r="L275" s="22" t="s">
        <v>5250</v>
      </c>
      <c r="M275" s="25"/>
      <c r="N275" s="25"/>
      <c r="O275" s="26"/>
      <c r="P275" s="27"/>
      <c r="Q275" s="28"/>
      <c r="R275" s="28"/>
      <c r="S275" s="26"/>
    </row>
    <row r="276" customFormat="false" ht="15" hidden="false" customHeight="false" outlineLevel="0" collapsed="false">
      <c r="A276" s="7" t="n">
        <v>272</v>
      </c>
      <c r="B276" s="9" t="s">
        <v>17</v>
      </c>
      <c r="C276" s="22" t="s">
        <v>300</v>
      </c>
      <c r="D276" s="9" t="s">
        <v>1061</v>
      </c>
      <c r="E276" s="9" t="s">
        <v>49</v>
      </c>
      <c r="F276" s="9" t="s">
        <v>124</v>
      </c>
      <c r="G276" s="22" t="s">
        <v>5251</v>
      </c>
      <c r="H276" s="9" t="s">
        <v>4298</v>
      </c>
      <c r="I276" s="7"/>
      <c r="J276" s="23" t="s">
        <v>5252</v>
      </c>
      <c r="K276" s="24" t="s">
        <v>5253</v>
      </c>
      <c r="L276" s="22" t="s">
        <v>1127</v>
      </c>
      <c r="M276" s="25"/>
      <c r="N276" s="25"/>
      <c r="O276" s="26"/>
      <c r="P276" s="27"/>
      <c r="Q276" s="28"/>
      <c r="R276" s="28"/>
      <c r="S276" s="26"/>
    </row>
    <row r="277" customFormat="false" ht="15" hidden="false" customHeight="false" outlineLevel="0" collapsed="false">
      <c r="A277" s="7" t="n">
        <v>273</v>
      </c>
      <c r="B277" s="9" t="s">
        <v>17</v>
      </c>
      <c r="C277" s="22" t="s">
        <v>300</v>
      </c>
      <c r="D277" s="9" t="s">
        <v>1061</v>
      </c>
      <c r="E277" s="9" t="s">
        <v>49</v>
      </c>
      <c r="F277" s="9" t="s">
        <v>124</v>
      </c>
      <c r="G277" s="22" t="s">
        <v>1062</v>
      </c>
      <c r="H277" s="9" t="s">
        <v>4298</v>
      </c>
      <c r="I277" s="7" t="s">
        <v>869</v>
      </c>
      <c r="J277" s="23" t="s">
        <v>1063</v>
      </c>
      <c r="K277" s="24" t="s">
        <v>1064</v>
      </c>
      <c r="L277" s="22" t="s">
        <v>1065</v>
      </c>
      <c r="M277" s="25"/>
      <c r="N277" s="25"/>
      <c r="O277" s="26"/>
      <c r="P277" s="27"/>
      <c r="Q277" s="28"/>
      <c r="R277" s="28"/>
      <c r="S277" s="26"/>
    </row>
    <row r="278" customFormat="false" ht="15" hidden="false" customHeight="false" outlineLevel="0" collapsed="false">
      <c r="A278" s="7" t="n">
        <v>274</v>
      </c>
      <c r="B278" s="9" t="s">
        <v>17</v>
      </c>
      <c r="C278" s="22" t="s">
        <v>300</v>
      </c>
      <c r="D278" s="9" t="s">
        <v>1061</v>
      </c>
      <c r="E278" s="9" t="s">
        <v>49</v>
      </c>
      <c r="F278" s="9" t="s">
        <v>99</v>
      </c>
      <c r="G278" s="22" t="s">
        <v>5254</v>
      </c>
      <c r="H278" s="9" t="s">
        <v>4298</v>
      </c>
      <c r="I278" s="7"/>
      <c r="J278" s="23" t="s">
        <v>5255</v>
      </c>
      <c r="K278" s="24" t="s">
        <v>5256</v>
      </c>
      <c r="L278" s="22" t="s">
        <v>5257</v>
      </c>
      <c r="M278" s="25"/>
      <c r="N278" s="25"/>
      <c r="O278" s="26"/>
      <c r="P278" s="27"/>
      <c r="Q278" s="28"/>
      <c r="R278" s="28"/>
      <c r="S278" s="26"/>
    </row>
    <row r="279" customFormat="false" ht="15" hidden="false" customHeight="false" outlineLevel="0" collapsed="false">
      <c r="A279" s="7" t="n">
        <v>275</v>
      </c>
      <c r="B279" s="9" t="s">
        <v>17</v>
      </c>
      <c r="C279" s="22" t="s">
        <v>300</v>
      </c>
      <c r="D279" s="9" t="s">
        <v>1061</v>
      </c>
      <c r="E279" s="9" t="s">
        <v>49</v>
      </c>
      <c r="F279" s="9" t="s">
        <v>124</v>
      </c>
      <c r="G279" s="22" t="s">
        <v>5258</v>
      </c>
      <c r="H279" s="9" t="s">
        <v>4298</v>
      </c>
      <c r="I279" s="7"/>
      <c r="J279" s="23" t="s">
        <v>5259</v>
      </c>
      <c r="K279" s="24" t="s">
        <v>5260</v>
      </c>
      <c r="L279" s="22" t="s">
        <v>5261</v>
      </c>
      <c r="M279" s="25"/>
      <c r="N279" s="25"/>
      <c r="O279" s="26"/>
      <c r="P279" s="27"/>
      <c r="Q279" s="28"/>
      <c r="R279" s="28"/>
      <c r="S279" s="26"/>
    </row>
    <row r="280" customFormat="false" ht="15" hidden="false" customHeight="false" outlineLevel="0" collapsed="false">
      <c r="A280" s="7" t="n">
        <v>276</v>
      </c>
      <c r="B280" s="9" t="s">
        <v>17</v>
      </c>
      <c r="C280" s="22" t="s">
        <v>300</v>
      </c>
      <c r="D280" s="9" t="s">
        <v>1061</v>
      </c>
      <c r="E280" s="9" t="s">
        <v>49</v>
      </c>
      <c r="F280" s="9" t="s">
        <v>99</v>
      </c>
      <c r="G280" s="22" t="s">
        <v>4562</v>
      </c>
      <c r="H280" s="9" t="s">
        <v>4298</v>
      </c>
      <c r="I280" s="7"/>
      <c r="J280" s="23" t="s">
        <v>5262</v>
      </c>
      <c r="K280" s="24" t="s">
        <v>5263</v>
      </c>
      <c r="L280" s="22" t="s">
        <v>5264</v>
      </c>
      <c r="M280" s="25"/>
      <c r="N280" s="25"/>
      <c r="O280" s="26"/>
      <c r="P280" s="27"/>
      <c r="Q280" s="28"/>
      <c r="R280" s="28"/>
      <c r="S280" s="26"/>
    </row>
    <row r="281" customFormat="false" ht="15" hidden="false" customHeight="false" outlineLevel="0" collapsed="false">
      <c r="A281" s="7" t="n">
        <v>277</v>
      </c>
      <c r="B281" s="9" t="s">
        <v>17</v>
      </c>
      <c r="C281" s="22" t="s">
        <v>300</v>
      </c>
      <c r="D281" s="9" t="s">
        <v>1061</v>
      </c>
      <c r="E281" s="9" t="s">
        <v>49</v>
      </c>
      <c r="F281" s="9" t="s">
        <v>99</v>
      </c>
      <c r="G281" s="22" t="s">
        <v>5265</v>
      </c>
      <c r="H281" s="9" t="s">
        <v>4298</v>
      </c>
      <c r="I281" s="7"/>
      <c r="J281" s="23" t="s">
        <v>5266</v>
      </c>
      <c r="K281" s="24" t="s">
        <v>5267</v>
      </c>
      <c r="L281" s="22" t="s">
        <v>5268</v>
      </c>
      <c r="M281" s="25"/>
      <c r="N281" s="25"/>
      <c r="O281" s="26"/>
      <c r="P281" s="27"/>
      <c r="Q281" s="28"/>
      <c r="R281" s="28"/>
      <c r="S281" s="26"/>
    </row>
    <row r="282" customFormat="false" ht="15" hidden="false" customHeight="false" outlineLevel="0" collapsed="false">
      <c r="A282" s="7" t="n">
        <v>278</v>
      </c>
      <c r="B282" s="9" t="s">
        <v>17</v>
      </c>
      <c r="C282" s="22" t="s">
        <v>300</v>
      </c>
      <c r="D282" s="9" t="s">
        <v>1061</v>
      </c>
      <c r="E282" s="9" t="s">
        <v>49</v>
      </c>
      <c r="F282" s="9" t="s">
        <v>124</v>
      </c>
      <c r="G282" s="22" t="s">
        <v>5269</v>
      </c>
      <c r="H282" s="9" t="s">
        <v>4298</v>
      </c>
      <c r="I282" s="7"/>
      <c r="J282" s="23" t="s">
        <v>5270</v>
      </c>
      <c r="K282" s="24" t="s">
        <v>5271</v>
      </c>
      <c r="L282" s="22" t="s">
        <v>5272</v>
      </c>
      <c r="M282" s="25"/>
      <c r="N282" s="25"/>
      <c r="O282" s="26"/>
      <c r="P282" s="27"/>
      <c r="Q282" s="28"/>
      <c r="R282" s="28"/>
      <c r="S282" s="26"/>
    </row>
    <row r="283" customFormat="false" ht="15" hidden="false" customHeight="false" outlineLevel="0" collapsed="false">
      <c r="A283" s="7" t="n">
        <v>279</v>
      </c>
      <c r="B283" s="9" t="s">
        <v>17</v>
      </c>
      <c r="C283" s="22" t="s">
        <v>300</v>
      </c>
      <c r="D283" s="9" t="s">
        <v>1061</v>
      </c>
      <c r="E283" s="9" t="s">
        <v>49</v>
      </c>
      <c r="F283" s="9" t="s">
        <v>124</v>
      </c>
      <c r="G283" s="22" t="s">
        <v>5273</v>
      </c>
      <c r="H283" s="9" t="s">
        <v>4298</v>
      </c>
      <c r="I283" s="7"/>
      <c r="J283" s="23" t="s">
        <v>5274</v>
      </c>
      <c r="K283" s="24" t="s">
        <v>5275</v>
      </c>
      <c r="L283" s="22" t="s">
        <v>1154</v>
      </c>
      <c r="M283" s="25"/>
      <c r="N283" s="25"/>
      <c r="O283" s="26"/>
      <c r="P283" s="27"/>
      <c r="Q283" s="28"/>
      <c r="R283" s="28"/>
      <c r="S283" s="26"/>
    </row>
    <row r="284" customFormat="false" ht="15" hidden="false" customHeight="false" outlineLevel="0" collapsed="false">
      <c r="A284" s="7" t="n">
        <v>280</v>
      </c>
      <c r="B284" s="9" t="s">
        <v>17</v>
      </c>
      <c r="C284" s="22" t="s">
        <v>300</v>
      </c>
      <c r="D284" s="9" t="s">
        <v>1061</v>
      </c>
      <c r="E284" s="9" t="s">
        <v>49</v>
      </c>
      <c r="F284" s="9" t="s">
        <v>124</v>
      </c>
      <c r="G284" s="22" t="s">
        <v>5276</v>
      </c>
      <c r="H284" s="9" t="s">
        <v>4298</v>
      </c>
      <c r="I284" s="7"/>
      <c r="J284" s="23" t="s">
        <v>5277</v>
      </c>
      <c r="K284" s="24" t="s">
        <v>5278</v>
      </c>
      <c r="L284" s="22" t="s">
        <v>5279</v>
      </c>
      <c r="M284" s="25"/>
      <c r="N284" s="25"/>
      <c r="O284" s="26"/>
      <c r="P284" s="27"/>
      <c r="Q284" s="28"/>
      <c r="R284" s="28"/>
      <c r="S284" s="26"/>
    </row>
    <row r="285" customFormat="false" ht="15" hidden="false" customHeight="false" outlineLevel="0" collapsed="false">
      <c r="A285" s="7" t="n">
        <v>281</v>
      </c>
      <c r="B285" s="9" t="s">
        <v>17</v>
      </c>
      <c r="C285" s="22" t="s">
        <v>300</v>
      </c>
      <c r="D285" s="9" t="s">
        <v>1074</v>
      </c>
      <c r="E285" s="9" t="s">
        <v>49</v>
      </c>
      <c r="F285" s="9" t="s">
        <v>124</v>
      </c>
      <c r="G285" s="22" t="s">
        <v>5280</v>
      </c>
      <c r="H285" s="9" t="s">
        <v>4298</v>
      </c>
      <c r="I285" s="7"/>
      <c r="J285" s="23" t="s">
        <v>5281</v>
      </c>
      <c r="K285" s="24" t="s">
        <v>5282</v>
      </c>
      <c r="L285" s="22" t="s">
        <v>1191</v>
      </c>
      <c r="M285" s="25"/>
      <c r="N285" s="25"/>
      <c r="O285" s="26"/>
      <c r="P285" s="27"/>
      <c r="Q285" s="28"/>
      <c r="R285" s="28"/>
      <c r="S285" s="26"/>
    </row>
    <row r="286" customFormat="false" ht="15" hidden="false" customHeight="false" outlineLevel="0" collapsed="false">
      <c r="A286" s="7" t="n">
        <v>282</v>
      </c>
      <c r="B286" s="9" t="s">
        <v>17</v>
      </c>
      <c r="C286" s="22" t="s">
        <v>300</v>
      </c>
      <c r="D286" s="9" t="s">
        <v>1074</v>
      </c>
      <c r="E286" s="9" t="s">
        <v>49</v>
      </c>
      <c r="F286" s="9" t="s">
        <v>99</v>
      </c>
      <c r="G286" s="22" t="s">
        <v>5283</v>
      </c>
      <c r="H286" s="9" t="s">
        <v>4298</v>
      </c>
      <c r="I286" s="7"/>
      <c r="J286" s="23" t="s">
        <v>5284</v>
      </c>
      <c r="K286" s="24" t="s">
        <v>5285</v>
      </c>
      <c r="L286" s="22" t="s">
        <v>5286</v>
      </c>
      <c r="M286" s="25"/>
      <c r="N286" s="25"/>
      <c r="O286" s="26"/>
      <c r="P286" s="27"/>
      <c r="Q286" s="28"/>
      <c r="R286" s="28"/>
      <c r="S286" s="29" t="s">
        <v>5287</v>
      </c>
    </row>
    <row r="287" customFormat="false" ht="15" hidden="false" customHeight="false" outlineLevel="0" collapsed="false">
      <c r="A287" s="7" t="n">
        <v>283</v>
      </c>
      <c r="B287" s="9" t="s">
        <v>17</v>
      </c>
      <c r="C287" s="22" t="s">
        <v>300</v>
      </c>
      <c r="D287" s="9" t="s">
        <v>1074</v>
      </c>
      <c r="E287" s="9" t="s">
        <v>49</v>
      </c>
      <c r="F287" s="9" t="s">
        <v>124</v>
      </c>
      <c r="G287" s="22" t="s">
        <v>4537</v>
      </c>
      <c r="H287" s="9" t="s">
        <v>4298</v>
      </c>
      <c r="I287" s="7"/>
      <c r="J287" s="23" t="s">
        <v>5288</v>
      </c>
      <c r="K287" s="24" t="s">
        <v>5289</v>
      </c>
      <c r="L287" s="22" t="s">
        <v>5290</v>
      </c>
      <c r="M287" s="25"/>
      <c r="N287" s="25"/>
      <c r="O287" s="26"/>
      <c r="P287" s="27"/>
      <c r="Q287" s="28"/>
      <c r="R287" s="28"/>
      <c r="S287" s="26"/>
    </row>
    <row r="288" customFormat="false" ht="15" hidden="false" customHeight="false" outlineLevel="0" collapsed="false">
      <c r="A288" s="7" t="n">
        <v>284</v>
      </c>
      <c r="B288" s="9" t="s">
        <v>17</v>
      </c>
      <c r="C288" s="22" t="s">
        <v>300</v>
      </c>
      <c r="D288" s="9" t="s">
        <v>1074</v>
      </c>
      <c r="E288" s="9" t="s">
        <v>49</v>
      </c>
      <c r="F288" s="9" t="s">
        <v>124</v>
      </c>
      <c r="G288" s="22" t="s">
        <v>5291</v>
      </c>
      <c r="H288" s="9" t="s">
        <v>4298</v>
      </c>
      <c r="I288" s="7"/>
      <c r="J288" s="23" t="s">
        <v>5292</v>
      </c>
      <c r="K288" s="24" t="s">
        <v>5293</v>
      </c>
      <c r="L288" s="22" t="s">
        <v>5294</v>
      </c>
      <c r="M288" s="25"/>
      <c r="N288" s="25"/>
      <c r="O288" s="26"/>
      <c r="P288" s="27"/>
      <c r="Q288" s="28"/>
      <c r="R288" s="28"/>
      <c r="S288" s="26"/>
    </row>
    <row r="289" customFormat="false" ht="15" hidden="false" customHeight="false" outlineLevel="0" collapsed="false">
      <c r="A289" s="7" t="n">
        <v>285</v>
      </c>
      <c r="B289" s="9" t="s">
        <v>17</v>
      </c>
      <c r="C289" s="22" t="s">
        <v>300</v>
      </c>
      <c r="D289" s="9" t="s">
        <v>1074</v>
      </c>
      <c r="E289" s="9" t="s">
        <v>49</v>
      </c>
      <c r="F289" s="9" t="s">
        <v>124</v>
      </c>
      <c r="G289" s="22" t="s">
        <v>5295</v>
      </c>
      <c r="H289" s="9" t="s">
        <v>4298</v>
      </c>
      <c r="I289" s="7"/>
      <c r="J289" s="23" t="s">
        <v>5296</v>
      </c>
      <c r="K289" s="24" t="s">
        <v>5297</v>
      </c>
      <c r="L289" s="22" t="s">
        <v>1195</v>
      </c>
      <c r="M289" s="25"/>
      <c r="N289" s="25"/>
      <c r="O289" s="26"/>
      <c r="P289" s="27"/>
      <c r="Q289" s="28"/>
      <c r="R289" s="28"/>
      <c r="S289" s="26"/>
    </row>
    <row r="290" customFormat="false" ht="15" hidden="false" customHeight="false" outlineLevel="0" collapsed="false">
      <c r="A290" s="7" t="n">
        <v>286</v>
      </c>
      <c r="B290" s="9" t="s">
        <v>17</v>
      </c>
      <c r="C290" s="22" t="s">
        <v>300</v>
      </c>
      <c r="D290" s="9" t="s">
        <v>899</v>
      </c>
      <c r="E290" s="9" t="s">
        <v>49</v>
      </c>
      <c r="F290" s="9" t="s">
        <v>124</v>
      </c>
      <c r="G290" s="22" t="s">
        <v>5298</v>
      </c>
      <c r="H290" s="9" t="s">
        <v>4298</v>
      </c>
      <c r="I290" s="7"/>
      <c r="J290" s="23" t="s">
        <v>5299</v>
      </c>
      <c r="K290" s="24" t="s">
        <v>5300</v>
      </c>
      <c r="L290" s="22" t="s">
        <v>5301</v>
      </c>
      <c r="M290" s="25"/>
      <c r="N290" s="25"/>
      <c r="O290" s="26"/>
      <c r="P290" s="27"/>
      <c r="Q290" s="28"/>
      <c r="R290" s="28"/>
      <c r="S290" s="26"/>
    </row>
    <row r="291" customFormat="false" ht="15" hidden="false" customHeight="false" outlineLevel="0" collapsed="false">
      <c r="A291" s="7" t="n">
        <v>287</v>
      </c>
      <c r="B291" s="9" t="s">
        <v>17</v>
      </c>
      <c r="C291" s="22" t="s">
        <v>300</v>
      </c>
      <c r="D291" s="9" t="s">
        <v>917</v>
      </c>
      <c r="E291" s="9" t="s">
        <v>49</v>
      </c>
      <c r="F291" s="9" t="s">
        <v>124</v>
      </c>
      <c r="G291" s="22" t="s">
        <v>5302</v>
      </c>
      <c r="H291" s="9" t="s">
        <v>4298</v>
      </c>
      <c r="I291" s="7"/>
      <c r="J291" s="23" t="s">
        <v>5303</v>
      </c>
      <c r="K291" s="24" t="s">
        <v>5304</v>
      </c>
      <c r="L291" s="22" t="s">
        <v>5305</v>
      </c>
      <c r="M291" s="25"/>
      <c r="N291" s="25"/>
      <c r="O291" s="26"/>
      <c r="P291" s="27"/>
      <c r="Q291" s="28"/>
      <c r="R291" s="28"/>
      <c r="S291" s="26"/>
    </row>
    <row r="292" customFormat="false" ht="15" hidden="false" customHeight="false" outlineLevel="0" collapsed="false">
      <c r="A292" s="7" t="n">
        <v>288</v>
      </c>
      <c r="B292" s="9" t="s">
        <v>17</v>
      </c>
      <c r="C292" s="22" t="s">
        <v>300</v>
      </c>
      <c r="D292" s="9" t="s">
        <v>917</v>
      </c>
      <c r="E292" s="9" t="s">
        <v>49</v>
      </c>
      <c r="F292" s="9" t="s">
        <v>99</v>
      </c>
      <c r="G292" s="22" t="s">
        <v>5306</v>
      </c>
      <c r="H292" s="9" t="s">
        <v>4298</v>
      </c>
      <c r="I292" s="7"/>
      <c r="J292" s="23" t="s">
        <v>5307</v>
      </c>
      <c r="K292" s="24" t="s">
        <v>5308</v>
      </c>
      <c r="L292" s="22" t="s">
        <v>5309</v>
      </c>
      <c r="M292" s="25"/>
      <c r="N292" s="25"/>
      <c r="O292" s="26"/>
      <c r="P292" s="27"/>
      <c r="Q292" s="28"/>
      <c r="R292" s="28"/>
      <c r="S292" s="26"/>
    </row>
    <row r="293" customFormat="false" ht="15" hidden="false" customHeight="false" outlineLevel="0" collapsed="false">
      <c r="A293" s="7" t="n">
        <v>289</v>
      </c>
      <c r="B293" s="9" t="s">
        <v>17</v>
      </c>
      <c r="C293" s="22" t="s">
        <v>300</v>
      </c>
      <c r="D293" s="9" t="s">
        <v>917</v>
      </c>
      <c r="E293" s="9" t="s">
        <v>49</v>
      </c>
      <c r="F293" s="9" t="s">
        <v>124</v>
      </c>
      <c r="G293" s="22" t="s">
        <v>5310</v>
      </c>
      <c r="H293" s="9" t="s">
        <v>4298</v>
      </c>
      <c r="I293" s="7"/>
      <c r="J293" s="23" t="s">
        <v>5311</v>
      </c>
      <c r="K293" s="24" t="s">
        <v>5312</v>
      </c>
      <c r="L293" s="22" t="s">
        <v>1275</v>
      </c>
      <c r="M293" s="25"/>
      <c r="N293" s="25"/>
      <c r="O293" s="26"/>
      <c r="P293" s="27"/>
      <c r="Q293" s="28"/>
      <c r="R293" s="28"/>
      <c r="S293" s="26"/>
    </row>
    <row r="294" customFormat="false" ht="15" hidden="false" customHeight="false" outlineLevel="0" collapsed="false">
      <c r="A294" s="7" t="n">
        <v>290</v>
      </c>
      <c r="B294" s="9" t="s">
        <v>17</v>
      </c>
      <c r="C294" s="22" t="s">
        <v>300</v>
      </c>
      <c r="D294" s="9" t="s">
        <v>917</v>
      </c>
      <c r="E294" s="9" t="s">
        <v>49</v>
      </c>
      <c r="F294" s="9" t="s">
        <v>124</v>
      </c>
      <c r="G294" s="22" t="s">
        <v>5313</v>
      </c>
      <c r="H294" s="9" t="s">
        <v>4298</v>
      </c>
      <c r="I294" s="7"/>
      <c r="J294" s="23" t="s">
        <v>5314</v>
      </c>
      <c r="K294" s="24" t="s">
        <v>5315</v>
      </c>
      <c r="L294" s="22" t="s">
        <v>5316</v>
      </c>
      <c r="M294" s="25"/>
      <c r="N294" s="25"/>
      <c r="O294" s="26"/>
      <c r="P294" s="27"/>
      <c r="Q294" s="28"/>
      <c r="R294" s="28"/>
      <c r="S294" s="26"/>
    </row>
    <row r="295" customFormat="false" ht="15" hidden="false" customHeight="false" outlineLevel="0" collapsed="false">
      <c r="A295" s="7" t="n">
        <v>291</v>
      </c>
      <c r="B295" s="9" t="s">
        <v>17</v>
      </c>
      <c r="C295" s="22" t="s">
        <v>300</v>
      </c>
      <c r="D295" s="9" t="s">
        <v>917</v>
      </c>
      <c r="E295" s="9" t="s">
        <v>49</v>
      </c>
      <c r="F295" s="9" t="s">
        <v>124</v>
      </c>
      <c r="G295" s="22" t="s">
        <v>5317</v>
      </c>
      <c r="H295" s="9" t="s">
        <v>4298</v>
      </c>
      <c r="I295" s="7"/>
      <c r="J295" s="23" t="s">
        <v>5318</v>
      </c>
      <c r="K295" s="24" t="s">
        <v>5319</v>
      </c>
      <c r="L295" s="22" t="s">
        <v>5320</v>
      </c>
      <c r="M295" s="25"/>
      <c r="N295" s="25"/>
      <c r="O295" s="26"/>
      <c r="P295" s="27"/>
      <c r="Q295" s="28"/>
      <c r="R295" s="28"/>
      <c r="S295" s="26"/>
    </row>
    <row r="296" customFormat="false" ht="15" hidden="false" customHeight="false" outlineLevel="0" collapsed="false">
      <c r="A296" s="7" t="n">
        <v>292</v>
      </c>
      <c r="B296" s="9" t="s">
        <v>17</v>
      </c>
      <c r="C296" s="22" t="s">
        <v>300</v>
      </c>
      <c r="D296" s="9" t="s">
        <v>917</v>
      </c>
      <c r="E296" s="9" t="s">
        <v>49</v>
      </c>
      <c r="F296" s="9" t="s">
        <v>99</v>
      </c>
      <c r="G296" s="22" t="s">
        <v>5321</v>
      </c>
      <c r="H296" s="9" t="s">
        <v>4298</v>
      </c>
      <c r="I296" s="7"/>
      <c r="J296" s="23" t="s">
        <v>5322</v>
      </c>
      <c r="K296" s="24" t="s">
        <v>5323</v>
      </c>
      <c r="L296" s="22" t="s">
        <v>5324</v>
      </c>
      <c r="M296" s="25"/>
      <c r="N296" s="25"/>
      <c r="O296" s="26"/>
      <c r="P296" s="27"/>
      <c r="Q296" s="28"/>
      <c r="R296" s="28"/>
      <c r="S296" s="26"/>
    </row>
    <row r="297" customFormat="false" ht="15" hidden="false" customHeight="false" outlineLevel="0" collapsed="false">
      <c r="A297" s="7" t="n">
        <v>293</v>
      </c>
      <c r="B297" s="9" t="s">
        <v>17</v>
      </c>
      <c r="C297" s="22" t="s">
        <v>300</v>
      </c>
      <c r="D297" s="9" t="s">
        <v>917</v>
      </c>
      <c r="E297" s="9" t="s">
        <v>49</v>
      </c>
      <c r="F297" s="9" t="s">
        <v>99</v>
      </c>
      <c r="G297" s="22" t="s">
        <v>5325</v>
      </c>
      <c r="H297" s="9" t="s">
        <v>4298</v>
      </c>
      <c r="I297" s="7"/>
      <c r="J297" s="23" t="s">
        <v>5326</v>
      </c>
      <c r="K297" s="24" t="s">
        <v>5327</v>
      </c>
      <c r="L297" s="22" t="s">
        <v>5328</v>
      </c>
      <c r="M297" s="25"/>
      <c r="N297" s="25"/>
      <c r="O297" s="26"/>
      <c r="P297" s="27"/>
      <c r="Q297" s="28"/>
      <c r="R297" s="28"/>
      <c r="S297" s="26"/>
    </row>
    <row r="298" customFormat="false" ht="15" hidden="false" customHeight="false" outlineLevel="0" collapsed="false">
      <c r="A298" s="7" t="n">
        <v>294</v>
      </c>
      <c r="B298" s="9" t="s">
        <v>17</v>
      </c>
      <c r="C298" s="22" t="s">
        <v>300</v>
      </c>
      <c r="D298" s="9" t="s">
        <v>917</v>
      </c>
      <c r="E298" s="9" t="s">
        <v>49</v>
      </c>
      <c r="F298" s="9" t="s">
        <v>99</v>
      </c>
      <c r="G298" s="22" t="s">
        <v>5329</v>
      </c>
      <c r="H298" s="9" t="s">
        <v>4298</v>
      </c>
      <c r="I298" s="7"/>
      <c r="J298" s="23" t="s">
        <v>5330</v>
      </c>
      <c r="K298" s="24" t="s">
        <v>5331</v>
      </c>
      <c r="L298" s="22" t="s">
        <v>5332</v>
      </c>
      <c r="M298" s="25"/>
      <c r="N298" s="25"/>
      <c r="O298" s="26"/>
      <c r="P298" s="27"/>
      <c r="Q298" s="28"/>
      <c r="R298" s="28"/>
      <c r="S298" s="26"/>
    </row>
    <row r="299" customFormat="false" ht="15" hidden="false" customHeight="false" outlineLevel="0" collapsed="false">
      <c r="A299" s="7" t="n">
        <v>295</v>
      </c>
      <c r="B299" s="9" t="s">
        <v>17</v>
      </c>
      <c r="C299" s="22" t="s">
        <v>300</v>
      </c>
      <c r="D299" s="9" t="s">
        <v>1000</v>
      </c>
      <c r="E299" s="9" t="s">
        <v>49</v>
      </c>
      <c r="F299" s="9" t="s">
        <v>124</v>
      </c>
      <c r="G299" s="22" t="s">
        <v>5333</v>
      </c>
      <c r="H299" s="9" t="s">
        <v>4298</v>
      </c>
      <c r="I299" s="7"/>
      <c r="J299" s="23" t="s">
        <v>5334</v>
      </c>
      <c r="K299" s="24" t="s">
        <v>5335</v>
      </c>
      <c r="L299" s="22" t="s">
        <v>1303</v>
      </c>
      <c r="M299" s="25"/>
      <c r="N299" s="25"/>
      <c r="O299" s="26"/>
      <c r="P299" s="27"/>
      <c r="Q299" s="28"/>
      <c r="R299" s="28"/>
      <c r="S299" s="26"/>
    </row>
    <row r="300" customFormat="false" ht="15" hidden="false" customHeight="false" outlineLevel="0" collapsed="false">
      <c r="A300" s="7" t="n">
        <v>296</v>
      </c>
      <c r="B300" s="9" t="s">
        <v>17</v>
      </c>
      <c r="C300" s="22" t="s">
        <v>300</v>
      </c>
      <c r="D300" s="9" t="s">
        <v>1083</v>
      </c>
      <c r="E300" s="9" t="s">
        <v>49</v>
      </c>
      <c r="F300" s="9" t="s">
        <v>124</v>
      </c>
      <c r="G300" s="22" t="s">
        <v>5336</v>
      </c>
      <c r="H300" s="9" t="s">
        <v>4298</v>
      </c>
      <c r="I300" s="7"/>
      <c r="J300" s="23" t="s">
        <v>5337</v>
      </c>
      <c r="K300" s="24" t="s">
        <v>5338</v>
      </c>
      <c r="L300" s="22" t="s">
        <v>5339</v>
      </c>
      <c r="M300" s="25"/>
      <c r="N300" s="25"/>
      <c r="O300" s="26"/>
      <c r="P300" s="27"/>
      <c r="Q300" s="28"/>
      <c r="R300" s="28"/>
      <c r="S300" s="26"/>
    </row>
    <row r="301" customFormat="false" ht="15" hidden="false" customHeight="false" outlineLevel="0" collapsed="false">
      <c r="A301" s="7" t="n">
        <v>297</v>
      </c>
      <c r="B301" s="9" t="s">
        <v>17</v>
      </c>
      <c r="C301" s="22" t="s">
        <v>300</v>
      </c>
      <c r="D301" s="9" t="s">
        <v>1083</v>
      </c>
      <c r="E301" s="9" t="s">
        <v>49</v>
      </c>
      <c r="F301" s="9" t="s">
        <v>124</v>
      </c>
      <c r="G301" s="22" t="s">
        <v>5340</v>
      </c>
      <c r="H301" s="9" t="s">
        <v>4298</v>
      </c>
      <c r="I301" s="7"/>
      <c r="J301" s="23" t="s">
        <v>5341</v>
      </c>
      <c r="K301" s="24" t="s">
        <v>5342</v>
      </c>
      <c r="L301" s="22" t="s">
        <v>5343</v>
      </c>
      <c r="M301" s="25"/>
      <c r="N301" s="25"/>
      <c r="O301" s="26"/>
      <c r="P301" s="27"/>
      <c r="Q301" s="28"/>
      <c r="R301" s="28"/>
      <c r="S301" s="26"/>
    </row>
    <row r="302" customFormat="false" ht="15" hidden="false" customHeight="false" outlineLevel="0" collapsed="false">
      <c r="A302" s="7" t="n">
        <v>298</v>
      </c>
      <c r="B302" s="9" t="s">
        <v>17</v>
      </c>
      <c r="C302" s="22" t="s">
        <v>300</v>
      </c>
      <c r="D302" s="9" t="s">
        <v>1083</v>
      </c>
      <c r="E302" s="9" t="s">
        <v>49</v>
      </c>
      <c r="F302" s="9" t="s">
        <v>124</v>
      </c>
      <c r="G302" s="22" t="s">
        <v>5344</v>
      </c>
      <c r="H302" s="9" t="s">
        <v>4298</v>
      </c>
      <c r="I302" s="7"/>
      <c r="J302" s="23" t="s">
        <v>5345</v>
      </c>
      <c r="K302" s="24" t="s">
        <v>5346</v>
      </c>
      <c r="L302" s="22" t="s">
        <v>1219</v>
      </c>
      <c r="M302" s="25"/>
      <c r="N302" s="25"/>
      <c r="O302" s="26"/>
      <c r="P302" s="27"/>
      <c r="Q302" s="28"/>
      <c r="R302" s="28"/>
      <c r="S302" s="26"/>
    </row>
    <row r="303" customFormat="false" ht="15" hidden="false" customHeight="false" outlineLevel="0" collapsed="false">
      <c r="A303" s="7" t="n">
        <v>299</v>
      </c>
      <c r="B303" s="9" t="s">
        <v>17</v>
      </c>
      <c r="C303" s="22" t="s">
        <v>300</v>
      </c>
      <c r="D303" s="9" t="s">
        <v>1083</v>
      </c>
      <c r="E303" s="9" t="s">
        <v>49</v>
      </c>
      <c r="F303" s="9" t="s">
        <v>124</v>
      </c>
      <c r="G303" s="22" t="s">
        <v>5347</v>
      </c>
      <c r="H303" s="9" t="s">
        <v>4298</v>
      </c>
      <c r="I303" s="7"/>
      <c r="J303" s="23" t="s">
        <v>5348</v>
      </c>
      <c r="K303" s="24" t="s">
        <v>5349</v>
      </c>
      <c r="L303" s="22" t="s">
        <v>5350</v>
      </c>
      <c r="M303" s="25"/>
      <c r="N303" s="25"/>
      <c r="O303" s="26"/>
      <c r="P303" s="27"/>
      <c r="Q303" s="28"/>
      <c r="R303" s="28"/>
      <c r="S303" s="26"/>
    </row>
    <row r="304" customFormat="false" ht="15" hidden="false" customHeight="false" outlineLevel="0" collapsed="false">
      <c r="A304" s="7" t="n">
        <v>300</v>
      </c>
      <c r="B304" s="9" t="s">
        <v>17</v>
      </c>
      <c r="C304" s="22" t="s">
        <v>300</v>
      </c>
      <c r="D304" s="9" t="s">
        <v>1083</v>
      </c>
      <c r="E304" s="9" t="s">
        <v>49</v>
      </c>
      <c r="F304" s="9" t="s">
        <v>124</v>
      </c>
      <c r="G304" s="22" t="s">
        <v>5351</v>
      </c>
      <c r="H304" s="9" t="s">
        <v>4298</v>
      </c>
      <c r="I304" s="7"/>
      <c r="J304" s="23" t="s">
        <v>5352</v>
      </c>
      <c r="K304" s="24" t="s">
        <v>5353</v>
      </c>
      <c r="L304" s="22" t="s">
        <v>5354</v>
      </c>
      <c r="M304" s="25"/>
      <c r="N304" s="25"/>
      <c r="O304" s="26"/>
      <c r="P304" s="27"/>
      <c r="Q304" s="28"/>
      <c r="R304" s="28"/>
      <c r="S304" s="26"/>
    </row>
    <row r="305" customFormat="false" ht="15" hidden="false" customHeight="false" outlineLevel="0" collapsed="false">
      <c r="A305" s="7" t="n">
        <v>301</v>
      </c>
      <c r="B305" s="9" t="s">
        <v>17</v>
      </c>
      <c r="C305" s="22" t="s">
        <v>300</v>
      </c>
      <c r="D305" s="9" t="s">
        <v>1083</v>
      </c>
      <c r="E305" s="9" t="s">
        <v>49</v>
      </c>
      <c r="F305" s="9" t="s">
        <v>124</v>
      </c>
      <c r="G305" s="22" t="s">
        <v>5355</v>
      </c>
      <c r="H305" s="9" t="s">
        <v>4298</v>
      </c>
      <c r="I305" s="7"/>
      <c r="J305" s="23" t="s">
        <v>5356</v>
      </c>
      <c r="K305" s="24" t="s">
        <v>5357</v>
      </c>
      <c r="L305" s="22" t="s">
        <v>5358</v>
      </c>
      <c r="M305" s="25"/>
      <c r="N305" s="25"/>
      <c r="O305" s="26"/>
      <c r="P305" s="27"/>
      <c r="Q305" s="28"/>
      <c r="R305" s="28"/>
      <c r="S305" s="26"/>
    </row>
    <row r="306" customFormat="false" ht="15" hidden="false" customHeight="false" outlineLevel="0" collapsed="false">
      <c r="A306" s="7" t="n">
        <v>302</v>
      </c>
      <c r="B306" s="9" t="s">
        <v>17</v>
      </c>
      <c r="C306" s="22" t="s">
        <v>300</v>
      </c>
      <c r="D306" s="9" t="s">
        <v>526</v>
      </c>
      <c r="E306" s="9" t="s">
        <v>49</v>
      </c>
      <c r="F306" s="9" t="s">
        <v>124</v>
      </c>
      <c r="G306" s="22" t="s">
        <v>5359</v>
      </c>
      <c r="H306" s="9" t="s">
        <v>4298</v>
      </c>
      <c r="I306" s="7"/>
      <c r="J306" s="23" t="s">
        <v>5360</v>
      </c>
      <c r="K306" s="24" t="s">
        <v>5361</v>
      </c>
      <c r="L306" s="22" t="s">
        <v>5362</v>
      </c>
      <c r="M306" s="25"/>
      <c r="N306" s="25"/>
      <c r="O306" s="26"/>
      <c r="P306" s="27"/>
      <c r="Q306" s="28"/>
      <c r="R306" s="28"/>
      <c r="S306" s="26"/>
    </row>
    <row r="307" customFormat="false" ht="15" hidden="false" customHeight="false" outlineLevel="0" collapsed="false">
      <c r="A307" s="7" t="n">
        <v>303</v>
      </c>
      <c r="B307" s="9" t="s">
        <v>17</v>
      </c>
      <c r="C307" s="22" t="s">
        <v>1088</v>
      </c>
      <c r="D307" s="9" t="s">
        <v>1089</v>
      </c>
      <c r="E307" s="9" t="s">
        <v>47</v>
      </c>
      <c r="F307" s="9" t="s">
        <v>99</v>
      </c>
      <c r="G307" s="22" t="s">
        <v>1090</v>
      </c>
      <c r="H307" s="9" t="s">
        <v>4298</v>
      </c>
      <c r="I307" s="7" t="s">
        <v>869</v>
      </c>
      <c r="J307" s="23" t="s">
        <v>1092</v>
      </c>
      <c r="K307" s="24" t="s">
        <v>1093</v>
      </c>
      <c r="L307" s="22" t="s">
        <v>1094</v>
      </c>
      <c r="M307" s="25"/>
      <c r="N307" s="25"/>
      <c r="O307" s="26"/>
      <c r="P307" s="27"/>
      <c r="Q307" s="28"/>
      <c r="R307" s="28"/>
      <c r="S307" s="29" t="s">
        <v>5363</v>
      </c>
    </row>
    <row r="308" customFormat="false" ht="15" hidden="false" customHeight="false" outlineLevel="0" collapsed="false">
      <c r="A308" s="7" t="n">
        <v>304</v>
      </c>
      <c r="B308" s="9" t="s">
        <v>17</v>
      </c>
      <c r="C308" s="22" t="s">
        <v>562</v>
      </c>
      <c r="D308" s="9" t="s">
        <v>886</v>
      </c>
      <c r="E308" s="9" t="s">
        <v>47</v>
      </c>
      <c r="F308" s="9" t="s">
        <v>99</v>
      </c>
      <c r="G308" s="22" t="s">
        <v>5364</v>
      </c>
      <c r="H308" s="9" t="s">
        <v>4298</v>
      </c>
      <c r="I308" s="7"/>
      <c r="J308" s="23" t="s">
        <v>5365</v>
      </c>
      <c r="K308" s="24" t="s">
        <v>5366</v>
      </c>
      <c r="L308" s="22" t="s">
        <v>5367</v>
      </c>
      <c r="M308" s="25"/>
      <c r="N308" s="25"/>
      <c r="O308" s="26"/>
      <c r="P308" s="27"/>
      <c r="Q308" s="28"/>
      <c r="R308" s="28"/>
      <c r="S308" s="26"/>
    </row>
    <row r="309" customFormat="false" ht="15" hidden="false" customHeight="false" outlineLevel="0" collapsed="false">
      <c r="A309" s="7" t="n">
        <v>305</v>
      </c>
      <c r="B309" s="9" t="s">
        <v>17</v>
      </c>
      <c r="C309" s="22" t="s">
        <v>562</v>
      </c>
      <c r="D309" s="9" t="s">
        <v>886</v>
      </c>
      <c r="E309" s="9" t="s">
        <v>47</v>
      </c>
      <c r="F309" s="9" t="s">
        <v>99</v>
      </c>
      <c r="G309" s="22" t="s">
        <v>5368</v>
      </c>
      <c r="H309" s="9" t="s">
        <v>4298</v>
      </c>
      <c r="I309" s="7"/>
      <c r="J309" s="23" t="s">
        <v>5369</v>
      </c>
      <c r="K309" s="24" t="s">
        <v>5370</v>
      </c>
      <c r="L309" s="22" t="s">
        <v>5371</v>
      </c>
      <c r="M309" s="25"/>
      <c r="N309" s="25"/>
      <c r="O309" s="26"/>
      <c r="P309" s="27"/>
      <c r="Q309" s="28"/>
      <c r="R309" s="28"/>
      <c r="S309" s="29" t="s">
        <v>5372</v>
      </c>
    </row>
    <row r="310" customFormat="false" ht="15" hidden="false" customHeight="false" outlineLevel="0" collapsed="false">
      <c r="A310" s="7" t="n">
        <v>306</v>
      </c>
      <c r="B310" s="9" t="s">
        <v>17</v>
      </c>
      <c r="C310" s="22" t="s">
        <v>562</v>
      </c>
      <c r="D310" s="9" t="s">
        <v>886</v>
      </c>
      <c r="E310" s="9" t="s">
        <v>48</v>
      </c>
      <c r="F310" s="9" t="s">
        <v>124</v>
      </c>
      <c r="G310" s="22" t="s">
        <v>1099</v>
      </c>
      <c r="H310" s="9" t="s">
        <v>4298</v>
      </c>
      <c r="I310" s="7" t="s">
        <v>869</v>
      </c>
      <c r="J310" s="23" t="s">
        <v>1101</v>
      </c>
      <c r="K310" s="24" t="s">
        <v>1102</v>
      </c>
      <c r="L310" s="22" t="s">
        <v>1103</v>
      </c>
      <c r="M310" s="25"/>
      <c r="N310" s="25"/>
      <c r="O310" s="26"/>
      <c r="P310" s="27"/>
      <c r="Q310" s="28"/>
      <c r="R310" s="28"/>
      <c r="S310" s="26"/>
    </row>
    <row r="311" customFormat="false" ht="15" hidden="false" customHeight="false" outlineLevel="0" collapsed="false">
      <c r="A311" s="7" t="n">
        <v>307</v>
      </c>
      <c r="B311" s="9" t="s">
        <v>17</v>
      </c>
      <c r="C311" s="22" t="s">
        <v>562</v>
      </c>
      <c r="D311" s="9" t="s">
        <v>1061</v>
      </c>
      <c r="E311" s="9" t="s">
        <v>47</v>
      </c>
      <c r="F311" s="9" t="s">
        <v>99</v>
      </c>
      <c r="G311" s="22" t="s">
        <v>5373</v>
      </c>
      <c r="H311" s="9" t="s">
        <v>4298</v>
      </c>
      <c r="I311" s="7"/>
      <c r="J311" s="23" t="s">
        <v>5374</v>
      </c>
      <c r="K311" s="24" t="s">
        <v>5375</v>
      </c>
      <c r="L311" s="22" t="s">
        <v>5376</v>
      </c>
      <c r="M311" s="25"/>
      <c r="N311" s="25"/>
      <c r="O311" s="26"/>
      <c r="P311" s="27"/>
      <c r="Q311" s="28"/>
      <c r="R311" s="28"/>
      <c r="S311" s="29" t="s">
        <v>5377</v>
      </c>
    </row>
    <row r="312" customFormat="false" ht="15" hidden="false" customHeight="false" outlineLevel="0" collapsed="false">
      <c r="A312" s="7" t="n">
        <v>308</v>
      </c>
      <c r="B312" s="9" t="s">
        <v>17</v>
      </c>
      <c r="C312" s="22" t="s">
        <v>562</v>
      </c>
      <c r="D312" s="9" t="s">
        <v>1061</v>
      </c>
      <c r="E312" s="9" t="s">
        <v>47</v>
      </c>
      <c r="F312" s="9" t="s">
        <v>99</v>
      </c>
      <c r="G312" s="22" t="s">
        <v>5378</v>
      </c>
      <c r="H312" s="9" t="s">
        <v>4298</v>
      </c>
      <c r="I312" s="7"/>
      <c r="J312" s="23" t="s">
        <v>5379</v>
      </c>
      <c r="K312" s="24" t="s">
        <v>5380</v>
      </c>
      <c r="L312" s="22" t="s">
        <v>5381</v>
      </c>
      <c r="M312" s="25"/>
      <c r="N312" s="25"/>
      <c r="O312" s="26"/>
      <c r="P312" s="27"/>
      <c r="Q312" s="28"/>
      <c r="R312" s="28"/>
      <c r="S312" s="29" t="s">
        <v>5382</v>
      </c>
    </row>
    <row r="313" customFormat="false" ht="15" hidden="false" customHeight="false" outlineLevel="0" collapsed="false">
      <c r="A313" s="7" t="n">
        <v>309</v>
      </c>
      <c r="B313" s="9" t="s">
        <v>17</v>
      </c>
      <c r="C313" s="22" t="s">
        <v>562</v>
      </c>
      <c r="D313" s="9" t="s">
        <v>1061</v>
      </c>
      <c r="E313" s="9" t="s">
        <v>47</v>
      </c>
      <c r="F313" s="9" t="s">
        <v>99</v>
      </c>
      <c r="G313" s="22" t="s">
        <v>5383</v>
      </c>
      <c r="H313" s="9" t="s">
        <v>4298</v>
      </c>
      <c r="I313" s="7"/>
      <c r="J313" s="23" t="s">
        <v>5384</v>
      </c>
      <c r="K313" s="24" t="s">
        <v>5385</v>
      </c>
      <c r="L313" s="22" t="s">
        <v>5386</v>
      </c>
      <c r="M313" s="25"/>
      <c r="N313" s="25"/>
      <c r="O313" s="26"/>
      <c r="P313" s="27"/>
      <c r="Q313" s="28"/>
      <c r="R313" s="28"/>
      <c r="S313" s="29" t="s">
        <v>5387</v>
      </c>
    </row>
    <row r="314" customFormat="false" ht="15" hidden="false" customHeight="false" outlineLevel="0" collapsed="false">
      <c r="A314" s="7" t="n">
        <v>310</v>
      </c>
      <c r="B314" s="9" t="s">
        <v>17</v>
      </c>
      <c r="C314" s="22" t="s">
        <v>562</v>
      </c>
      <c r="D314" s="9" t="s">
        <v>1061</v>
      </c>
      <c r="E314" s="9" t="s">
        <v>47</v>
      </c>
      <c r="F314" s="9" t="s">
        <v>99</v>
      </c>
      <c r="G314" s="22" t="s">
        <v>5388</v>
      </c>
      <c r="H314" s="9" t="s">
        <v>4298</v>
      </c>
      <c r="I314" s="7"/>
      <c r="J314" s="23" t="s">
        <v>5389</v>
      </c>
      <c r="K314" s="24" t="s">
        <v>5390</v>
      </c>
      <c r="L314" s="22" t="s">
        <v>5391</v>
      </c>
      <c r="M314" s="25"/>
      <c r="N314" s="25"/>
      <c r="O314" s="26"/>
      <c r="P314" s="27"/>
      <c r="Q314" s="28"/>
      <c r="R314" s="28"/>
      <c r="S314" s="29" t="s">
        <v>5392</v>
      </c>
    </row>
    <row r="315" customFormat="false" ht="15" hidden="false" customHeight="false" outlineLevel="0" collapsed="false">
      <c r="A315" s="7" t="n">
        <v>311</v>
      </c>
      <c r="B315" s="9" t="s">
        <v>17</v>
      </c>
      <c r="C315" s="22" t="s">
        <v>562</v>
      </c>
      <c r="D315" s="9" t="s">
        <v>1061</v>
      </c>
      <c r="E315" s="9" t="s">
        <v>47</v>
      </c>
      <c r="F315" s="9" t="s">
        <v>99</v>
      </c>
      <c r="G315" s="22" t="s">
        <v>5393</v>
      </c>
      <c r="H315" s="9" t="s">
        <v>4298</v>
      </c>
      <c r="I315" s="7"/>
      <c r="J315" s="23" t="s">
        <v>5394</v>
      </c>
      <c r="K315" s="24" t="s">
        <v>5395</v>
      </c>
      <c r="L315" s="22" t="s">
        <v>5396</v>
      </c>
      <c r="M315" s="25"/>
      <c r="N315" s="25"/>
      <c r="O315" s="26"/>
      <c r="P315" s="27"/>
      <c r="Q315" s="28"/>
      <c r="R315" s="28"/>
      <c r="S315" s="29" t="s">
        <v>5397</v>
      </c>
    </row>
    <row r="316" customFormat="false" ht="15" hidden="false" customHeight="false" outlineLevel="0" collapsed="false">
      <c r="A316" s="7" t="n">
        <v>312</v>
      </c>
      <c r="B316" s="9" t="s">
        <v>17</v>
      </c>
      <c r="C316" s="22" t="s">
        <v>562</v>
      </c>
      <c r="D316" s="9" t="s">
        <v>1061</v>
      </c>
      <c r="E316" s="9" t="s">
        <v>47</v>
      </c>
      <c r="F316" s="9" t="s">
        <v>99</v>
      </c>
      <c r="G316" s="22" t="s">
        <v>5398</v>
      </c>
      <c r="H316" s="9" t="s">
        <v>4298</v>
      </c>
      <c r="I316" s="7"/>
      <c r="J316" s="23" t="s">
        <v>5399</v>
      </c>
      <c r="K316" s="24" t="s">
        <v>5400</v>
      </c>
      <c r="L316" s="22" t="s">
        <v>5401</v>
      </c>
      <c r="M316" s="25"/>
      <c r="N316" s="25"/>
      <c r="O316" s="26"/>
      <c r="P316" s="27"/>
      <c r="Q316" s="28"/>
      <c r="R316" s="28"/>
      <c r="S316" s="29" t="s">
        <v>5402</v>
      </c>
    </row>
    <row r="317" customFormat="false" ht="15" hidden="false" customHeight="false" outlineLevel="0" collapsed="false">
      <c r="A317" s="7" t="n">
        <v>313</v>
      </c>
      <c r="B317" s="9" t="s">
        <v>17</v>
      </c>
      <c r="C317" s="22" t="s">
        <v>562</v>
      </c>
      <c r="D317" s="9" t="s">
        <v>1061</v>
      </c>
      <c r="E317" s="9" t="s">
        <v>47</v>
      </c>
      <c r="F317" s="9" t="s">
        <v>99</v>
      </c>
      <c r="G317" s="22" t="s">
        <v>5403</v>
      </c>
      <c r="H317" s="9" t="s">
        <v>4298</v>
      </c>
      <c r="I317" s="7"/>
      <c r="J317" s="23" t="s">
        <v>5404</v>
      </c>
      <c r="K317" s="24" t="s">
        <v>5405</v>
      </c>
      <c r="L317" s="22" t="s">
        <v>5406</v>
      </c>
      <c r="M317" s="25"/>
      <c r="N317" s="25"/>
      <c r="O317" s="26"/>
      <c r="P317" s="27"/>
      <c r="Q317" s="28"/>
      <c r="R317" s="28"/>
      <c r="S317" s="29" t="s">
        <v>5407</v>
      </c>
    </row>
    <row r="318" customFormat="false" ht="15" hidden="false" customHeight="false" outlineLevel="0" collapsed="false">
      <c r="A318" s="7" t="n">
        <v>314</v>
      </c>
      <c r="B318" s="9" t="s">
        <v>17</v>
      </c>
      <c r="C318" s="22" t="s">
        <v>562</v>
      </c>
      <c r="D318" s="9" t="s">
        <v>1061</v>
      </c>
      <c r="E318" s="9" t="s">
        <v>47</v>
      </c>
      <c r="F318" s="9" t="s">
        <v>99</v>
      </c>
      <c r="G318" s="22" t="s">
        <v>5408</v>
      </c>
      <c r="H318" s="9" t="s">
        <v>4298</v>
      </c>
      <c r="I318" s="7"/>
      <c r="J318" s="23" t="s">
        <v>5409</v>
      </c>
      <c r="K318" s="24" t="s">
        <v>5410</v>
      </c>
      <c r="L318" s="22" t="s">
        <v>5411</v>
      </c>
      <c r="M318" s="25"/>
      <c r="N318" s="25"/>
      <c r="O318" s="26"/>
      <c r="P318" s="27"/>
      <c r="Q318" s="28"/>
      <c r="R318" s="28"/>
      <c r="S318" s="29" t="s">
        <v>5412</v>
      </c>
    </row>
    <row r="319" customFormat="false" ht="15" hidden="false" customHeight="false" outlineLevel="0" collapsed="false">
      <c r="A319" s="7" t="n">
        <v>315</v>
      </c>
      <c r="B319" s="9" t="s">
        <v>17</v>
      </c>
      <c r="C319" s="22" t="s">
        <v>562</v>
      </c>
      <c r="D319" s="9" t="s">
        <v>1061</v>
      </c>
      <c r="E319" s="9" t="s">
        <v>47</v>
      </c>
      <c r="F319" s="9" t="s">
        <v>99</v>
      </c>
      <c r="G319" s="22" t="s">
        <v>5413</v>
      </c>
      <c r="H319" s="9" t="s">
        <v>4298</v>
      </c>
      <c r="I319" s="7"/>
      <c r="J319" s="23" t="s">
        <v>5414</v>
      </c>
      <c r="K319" s="24" t="s">
        <v>5415</v>
      </c>
      <c r="L319" s="22" t="s">
        <v>5416</v>
      </c>
      <c r="M319" s="25"/>
      <c r="N319" s="25"/>
      <c r="O319" s="26"/>
      <c r="P319" s="27"/>
      <c r="Q319" s="28"/>
      <c r="R319" s="28"/>
      <c r="S319" s="29" t="s">
        <v>5417</v>
      </c>
    </row>
    <row r="320" customFormat="false" ht="15" hidden="false" customHeight="false" outlineLevel="0" collapsed="false">
      <c r="A320" s="7" t="n">
        <v>316</v>
      </c>
      <c r="B320" s="9" t="s">
        <v>17</v>
      </c>
      <c r="C320" s="22" t="s">
        <v>562</v>
      </c>
      <c r="D320" s="9" t="s">
        <v>1061</v>
      </c>
      <c r="E320" s="9" t="s">
        <v>47</v>
      </c>
      <c r="F320" s="9" t="s">
        <v>99</v>
      </c>
      <c r="G320" s="22" t="s">
        <v>5418</v>
      </c>
      <c r="H320" s="9" t="s">
        <v>4298</v>
      </c>
      <c r="I320" s="7"/>
      <c r="J320" s="23" t="s">
        <v>5419</v>
      </c>
      <c r="K320" s="24" t="s">
        <v>5420</v>
      </c>
      <c r="L320" s="22" t="s">
        <v>5421</v>
      </c>
      <c r="M320" s="25"/>
      <c r="N320" s="25"/>
      <c r="O320" s="26"/>
      <c r="P320" s="27"/>
      <c r="Q320" s="28"/>
      <c r="R320" s="28"/>
      <c r="S320" s="29" t="s">
        <v>5422</v>
      </c>
    </row>
    <row r="321" customFormat="false" ht="15" hidden="false" customHeight="false" outlineLevel="0" collapsed="false">
      <c r="A321" s="7" t="n">
        <v>317</v>
      </c>
      <c r="B321" s="9" t="s">
        <v>17</v>
      </c>
      <c r="C321" s="22" t="s">
        <v>562</v>
      </c>
      <c r="D321" s="9" t="s">
        <v>1061</v>
      </c>
      <c r="E321" s="9" t="s">
        <v>47</v>
      </c>
      <c r="F321" s="9" t="s">
        <v>124</v>
      </c>
      <c r="G321" s="22" t="s">
        <v>5423</v>
      </c>
      <c r="H321" s="9" t="s">
        <v>4298</v>
      </c>
      <c r="I321" s="7"/>
      <c r="J321" s="23" t="s">
        <v>5424</v>
      </c>
      <c r="K321" s="24" t="s">
        <v>5425</v>
      </c>
      <c r="L321" s="22" t="s">
        <v>5426</v>
      </c>
      <c r="M321" s="25"/>
      <c r="N321" s="25"/>
      <c r="O321" s="26"/>
      <c r="P321" s="27"/>
      <c r="Q321" s="28"/>
      <c r="R321" s="28"/>
      <c r="S321" s="26"/>
    </row>
    <row r="322" customFormat="false" ht="15" hidden="false" customHeight="false" outlineLevel="0" collapsed="false">
      <c r="A322" s="7" t="n">
        <v>318</v>
      </c>
      <c r="B322" s="9" t="s">
        <v>17</v>
      </c>
      <c r="C322" s="22" t="s">
        <v>562</v>
      </c>
      <c r="D322" s="9" t="s">
        <v>1061</v>
      </c>
      <c r="E322" s="9" t="s">
        <v>48</v>
      </c>
      <c r="F322" s="9" t="s">
        <v>124</v>
      </c>
      <c r="G322" s="22" t="s">
        <v>1124</v>
      </c>
      <c r="H322" s="9" t="s">
        <v>4298</v>
      </c>
      <c r="I322" s="7" t="s">
        <v>869</v>
      </c>
      <c r="J322" s="23" t="s">
        <v>1125</v>
      </c>
      <c r="K322" s="24" t="s">
        <v>1126</v>
      </c>
      <c r="L322" s="22" t="s">
        <v>1127</v>
      </c>
      <c r="M322" s="25"/>
      <c r="N322" s="25"/>
      <c r="O322" s="26"/>
      <c r="P322" s="27"/>
      <c r="Q322" s="28"/>
      <c r="R322" s="28"/>
      <c r="S322" s="26"/>
    </row>
    <row r="323" customFormat="false" ht="15" hidden="false" customHeight="false" outlineLevel="0" collapsed="false">
      <c r="A323" s="7" t="n">
        <v>319</v>
      </c>
      <c r="B323" s="9" t="s">
        <v>17</v>
      </c>
      <c r="C323" s="22" t="s">
        <v>562</v>
      </c>
      <c r="D323" s="9" t="s">
        <v>1061</v>
      </c>
      <c r="E323" s="9" t="s">
        <v>48</v>
      </c>
      <c r="F323" s="9" t="s">
        <v>99</v>
      </c>
      <c r="G323" s="22" t="s">
        <v>5427</v>
      </c>
      <c r="H323" s="9" t="s">
        <v>4298</v>
      </c>
      <c r="I323" s="7"/>
      <c r="J323" s="23" t="s">
        <v>5428</v>
      </c>
      <c r="K323" s="24" t="s">
        <v>5429</v>
      </c>
      <c r="L323" s="22" t="s">
        <v>5430</v>
      </c>
      <c r="M323" s="25"/>
      <c r="N323" s="25"/>
      <c r="O323" s="26"/>
      <c r="P323" s="27"/>
      <c r="Q323" s="28"/>
      <c r="R323" s="28"/>
      <c r="S323" s="26"/>
    </row>
    <row r="324" customFormat="false" ht="15" hidden="false" customHeight="false" outlineLevel="0" collapsed="false">
      <c r="A324" s="7" t="n">
        <v>320</v>
      </c>
      <c r="B324" s="9" t="s">
        <v>17</v>
      </c>
      <c r="C324" s="22" t="s">
        <v>562</v>
      </c>
      <c r="D324" s="9" t="s">
        <v>1061</v>
      </c>
      <c r="E324" s="9" t="s">
        <v>48</v>
      </c>
      <c r="F324" s="9" t="s">
        <v>124</v>
      </c>
      <c r="G324" s="22" t="s">
        <v>5431</v>
      </c>
      <c r="H324" s="9" t="s">
        <v>4298</v>
      </c>
      <c r="I324" s="7"/>
      <c r="J324" s="23" t="s">
        <v>5432</v>
      </c>
      <c r="K324" s="24" t="s">
        <v>5433</v>
      </c>
      <c r="L324" s="22" t="s">
        <v>5272</v>
      </c>
      <c r="M324" s="25"/>
      <c r="N324" s="25"/>
      <c r="O324" s="26"/>
      <c r="P324" s="27"/>
      <c r="Q324" s="28"/>
      <c r="R324" s="28"/>
      <c r="S324" s="26"/>
    </row>
    <row r="325" customFormat="false" ht="15" hidden="false" customHeight="false" outlineLevel="0" collapsed="false">
      <c r="A325" s="7" t="n">
        <v>321</v>
      </c>
      <c r="B325" s="9" t="s">
        <v>17</v>
      </c>
      <c r="C325" s="22" t="s">
        <v>562</v>
      </c>
      <c r="D325" s="9" t="s">
        <v>1061</v>
      </c>
      <c r="E325" s="9" t="s">
        <v>48</v>
      </c>
      <c r="F325" s="9" t="s">
        <v>124</v>
      </c>
      <c r="G325" s="22" t="s">
        <v>1151</v>
      </c>
      <c r="H325" s="9" t="s">
        <v>4298</v>
      </c>
      <c r="I325" s="7" t="s">
        <v>869</v>
      </c>
      <c r="J325" s="23" t="s">
        <v>1152</v>
      </c>
      <c r="K325" s="24" t="s">
        <v>1153</v>
      </c>
      <c r="L325" s="22" t="s">
        <v>1154</v>
      </c>
      <c r="M325" s="25"/>
      <c r="N325" s="25"/>
      <c r="O325" s="26"/>
      <c r="P325" s="27"/>
      <c r="Q325" s="28"/>
      <c r="R325" s="28"/>
      <c r="S325" s="26"/>
    </row>
    <row r="326" customFormat="false" ht="15" hidden="false" customHeight="false" outlineLevel="0" collapsed="false">
      <c r="A326" s="7" t="n">
        <v>322</v>
      </c>
      <c r="B326" s="9" t="s">
        <v>17</v>
      </c>
      <c r="C326" s="22" t="s">
        <v>562</v>
      </c>
      <c r="D326" s="9" t="s">
        <v>1061</v>
      </c>
      <c r="E326" s="9" t="s">
        <v>48</v>
      </c>
      <c r="F326" s="9" t="s">
        <v>124</v>
      </c>
      <c r="G326" s="22" t="s">
        <v>5434</v>
      </c>
      <c r="H326" s="9" t="s">
        <v>4298</v>
      </c>
      <c r="I326" s="7"/>
      <c r="J326" s="23" t="s">
        <v>5435</v>
      </c>
      <c r="K326" s="24" t="s">
        <v>5436</v>
      </c>
      <c r="L326" s="22" t="s">
        <v>5437</v>
      </c>
      <c r="M326" s="25"/>
      <c r="N326" s="25"/>
      <c r="O326" s="26"/>
      <c r="P326" s="27"/>
      <c r="Q326" s="28"/>
      <c r="R326" s="28"/>
      <c r="S326" s="26"/>
    </row>
    <row r="327" customFormat="false" ht="15" hidden="false" customHeight="false" outlineLevel="0" collapsed="false">
      <c r="A327" s="7" t="n">
        <v>323</v>
      </c>
      <c r="B327" s="9" t="s">
        <v>17</v>
      </c>
      <c r="C327" s="22" t="s">
        <v>562</v>
      </c>
      <c r="D327" s="9" t="s">
        <v>1061</v>
      </c>
      <c r="E327" s="9" t="s">
        <v>48</v>
      </c>
      <c r="F327" s="9" t="s">
        <v>124</v>
      </c>
      <c r="G327" s="22" t="s">
        <v>5438</v>
      </c>
      <c r="H327" s="9" t="s">
        <v>4298</v>
      </c>
      <c r="I327" s="7"/>
      <c r="J327" s="23" t="s">
        <v>5439</v>
      </c>
      <c r="K327" s="24" t="s">
        <v>5440</v>
      </c>
      <c r="L327" s="22" t="s">
        <v>5441</v>
      </c>
      <c r="M327" s="25"/>
      <c r="N327" s="25"/>
      <c r="O327" s="26"/>
      <c r="P327" s="27"/>
      <c r="Q327" s="28"/>
      <c r="R327" s="28"/>
      <c r="S327" s="26"/>
    </row>
    <row r="328" customFormat="false" ht="15" hidden="false" customHeight="false" outlineLevel="0" collapsed="false">
      <c r="A328" s="7" t="n">
        <v>324</v>
      </c>
      <c r="B328" s="9" t="s">
        <v>17</v>
      </c>
      <c r="C328" s="22" t="s">
        <v>562</v>
      </c>
      <c r="D328" s="9" t="s">
        <v>1061</v>
      </c>
      <c r="E328" s="9" t="s">
        <v>48</v>
      </c>
      <c r="F328" s="9" t="s">
        <v>124</v>
      </c>
      <c r="G328" s="22" t="s">
        <v>5442</v>
      </c>
      <c r="H328" s="9" t="s">
        <v>4298</v>
      </c>
      <c r="I328" s="7"/>
      <c r="J328" s="23" t="s">
        <v>5443</v>
      </c>
      <c r="K328" s="24" t="s">
        <v>5444</v>
      </c>
      <c r="L328" s="22" t="s">
        <v>5279</v>
      </c>
      <c r="M328" s="25"/>
      <c r="N328" s="25"/>
      <c r="O328" s="26"/>
      <c r="P328" s="27"/>
      <c r="Q328" s="28"/>
      <c r="R328" s="28"/>
      <c r="S328" s="26"/>
    </row>
    <row r="329" customFormat="false" ht="15" hidden="false" customHeight="false" outlineLevel="0" collapsed="false">
      <c r="A329" s="7" t="n">
        <v>325</v>
      </c>
      <c r="B329" s="9" t="s">
        <v>17</v>
      </c>
      <c r="C329" s="22" t="s">
        <v>1163</v>
      </c>
      <c r="D329" s="9" t="s">
        <v>1074</v>
      </c>
      <c r="E329" s="9" t="s">
        <v>47</v>
      </c>
      <c r="F329" s="9" t="s">
        <v>99</v>
      </c>
      <c r="G329" s="22" t="s">
        <v>5445</v>
      </c>
      <c r="H329" s="9" t="s">
        <v>4298</v>
      </c>
      <c r="I329" s="7"/>
      <c r="J329" s="23" t="s">
        <v>5446</v>
      </c>
      <c r="K329" s="24" t="s">
        <v>5447</v>
      </c>
      <c r="L329" s="22" t="s">
        <v>5448</v>
      </c>
      <c r="M329" s="25"/>
      <c r="N329" s="25"/>
      <c r="O329" s="26"/>
      <c r="P329" s="27"/>
      <c r="Q329" s="28"/>
      <c r="R329" s="28"/>
      <c r="S329" s="29" t="s">
        <v>5449</v>
      </c>
    </row>
    <row r="330" customFormat="false" ht="15" hidden="false" customHeight="false" outlineLevel="0" collapsed="false">
      <c r="A330" s="7" t="n">
        <v>326</v>
      </c>
      <c r="B330" s="9" t="s">
        <v>17</v>
      </c>
      <c r="C330" s="22" t="s">
        <v>1163</v>
      </c>
      <c r="D330" s="9" t="s">
        <v>1074</v>
      </c>
      <c r="E330" s="9" t="s">
        <v>47</v>
      </c>
      <c r="F330" s="9" t="s">
        <v>99</v>
      </c>
      <c r="G330" s="22" t="s">
        <v>5450</v>
      </c>
      <c r="H330" s="9" t="s">
        <v>4298</v>
      </c>
      <c r="I330" s="7"/>
      <c r="J330" s="23" t="s">
        <v>5451</v>
      </c>
      <c r="K330" s="24" t="s">
        <v>5452</v>
      </c>
      <c r="L330" s="22" t="s">
        <v>5453</v>
      </c>
      <c r="M330" s="25"/>
      <c r="N330" s="25"/>
      <c r="O330" s="26"/>
      <c r="P330" s="27"/>
      <c r="Q330" s="28"/>
      <c r="R330" s="28"/>
      <c r="S330" s="29" t="s">
        <v>5454</v>
      </c>
    </row>
    <row r="331" customFormat="false" ht="15" hidden="false" customHeight="false" outlineLevel="0" collapsed="false">
      <c r="A331" s="7" t="n">
        <v>327</v>
      </c>
      <c r="B331" s="9" t="s">
        <v>17</v>
      </c>
      <c r="C331" s="22" t="s">
        <v>1163</v>
      </c>
      <c r="D331" s="9" t="s">
        <v>1074</v>
      </c>
      <c r="E331" s="9" t="s">
        <v>47</v>
      </c>
      <c r="F331" s="9" t="s">
        <v>99</v>
      </c>
      <c r="G331" s="22" t="s">
        <v>5455</v>
      </c>
      <c r="H331" s="9" t="s">
        <v>4298</v>
      </c>
      <c r="I331" s="7"/>
      <c r="J331" s="23" t="s">
        <v>5456</v>
      </c>
      <c r="K331" s="24" t="s">
        <v>5457</v>
      </c>
      <c r="L331" s="22" t="s">
        <v>5458</v>
      </c>
      <c r="M331" s="25"/>
      <c r="N331" s="25"/>
      <c r="O331" s="26"/>
      <c r="P331" s="27"/>
      <c r="Q331" s="28"/>
      <c r="R331" s="28"/>
      <c r="S331" s="29" t="s">
        <v>5459</v>
      </c>
    </row>
    <row r="332" customFormat="false" ht="15" hidden="false" customHeight="false" outlineLevel="0" collapsed="false">
      <c r="A332" s="7" t="n">
        <v>328</v>
      </c>
      <c r="B332" s="9" t="s">
        <v>17</v>
      </c>
      <c r="C332" s="22" t="s">
        <v>1163</v>
      </c>
      <c r="D332" s="9" t="s">
        <v>1074</v>
      </c>
      <c r="E332" s="9" t="s">
        <v>47</v>
      </c>
      <c r="F332" s="9" t="s">
        <v>99</v>
      </c>
      <c r="G332" s="22" t="s">
        <v>5460</v>
      </c>
      <c r="H332" s="9" t="s">
        <v>4298</v>
      </c>
      <c r="I332" s="7"/>
      <c r="J332" s="23" t="s">
        <v>5461</v>
      </c>
      <c r="K332" s="24" t="s">
        <v>5462</v>
      </c>
      <c r="L332" s="22" t="s">
        <v>5463</v>
      </c>
      <c r="M332" s="25"/>
      <c r="N332" s="25"/>
      <c r="O332" s="26"/>
      <c r="P332" s="27"/>
      <c r="Q332" s="28"/>
      <c r="R332" s="28"/>
      <c r="S332" s="29" t="s">
        <v>5464</v>
      </c>
    </row>
    <row r="333" customFormat="false" ht="15" hidden="false" customHeight="false" outlineLevel="0" collapsed="false">
      <c r="A333" s="7" t="n">
        <v>329</v>
      </c>
      <c r="B333" s="9" t="s">
        <v>17</v>
      </c>
      <c r="C333" s="22" t="s">
        <v>1163</v>
      </c>
      <c r="D333" s="9" t="s">
        <v>1074</v>
      </c>
      <c r="E333" s="9" t="s">
        <v>47</v>
      </c>
      <c r="F333" s="9" t="s">
        <v>99</v>
      </c>
      <c r="G333" s="22" t="s">
        <v>5465</v>
      </c>
      <c r="H333" s="9" t="s">
        <v>4298</v>
      </c>
      <c r="I333" s="7"/>
      <c r="J333" s="23" t="s">
        <v>5466</v>
      </c>
      <c r="K333" s="24" t="s">
        <v>5467</v>
      </c>
      <c r="L333" s="22" t="s">
        <v>5468</v>
      </c>
      <c r="M333" s="25"/>
      <c r="N333" s="25"/>
      <c r="O333" s="26"/>
      <c r="P333" s="27"/>
      <c r="Q333" s="28"/>
      <c r="R333" s="28"/>
      <c r="S333" s="29" t="s">
        <v>5469</v>
      </c>
    </row>
    <row r="334" customFormat="false" ht="15" hidden="false" customHeight="false" outlineLevel="0" collapsed="false">
      <c r="A334" s="7" t="n">
        <v>330</v>
      </c>
      <c r="B334" s="9" t="s">
        <v>17</v>
      </c>
      <c r="C334" s="22" t="s">
        <v>1163</v>
      </c>
      <c r="D334" s="9" t="s">
        <v>1074</v>
      </c>
      <c r="E334" s="9" t="s">
        <v>47</v>
      </c>
      <c r="F334" s="9" t="s">
        <v>99</v>
      </c>
      <c r="G334" s="22" t="s">
        <v>1168</v>
      </c>
      <c r="H334" s="9" t="s">
        <v>4298</v>
      </c>
      <c r="I334" s="7" t="s">
        <v>869</v>
      </c>
      <c r="J334" s="23" t="s">
        <v>1169</v>
      </c>
      <c r="K334" s="24" t="s">
        <v>1170</v>
      </c>
      <c r="L334" s="22" t="s">
        <v>1171</v>
      </c>
      <c r="M334" s="25"/>
      <c r="N334" s="25"/>
      <c r="O334" s="26"/>
      <c r="P334" s="27"/>
      <c r="Q334" s="28"/>
      <c r="R334" s="28"/>
      <c r="S334" s="29" t="s">
        <v>5470</v>
      </c>
    </row>
    <row r="335" customFormat="false" ht="15" hidden="false" customHeight="false" outlineLevel="0" collapsed="false">
      <c r="A335" s="7" t="n">
        <v>331</v>
      </c>
      <c r="B335" s="9" t="s">
        <v>17</v>
      </c>
      <c r="C335" s="22" t="s">
        <v>1163</v>
      </c>
      <c r="D335" s="9" t="s">
        <v>1074</v>
      </c>
      <c r="E335" s="9" t="s">
        <v>47</v>
      </c>
      <c r="F335" s="9" t="s">
        <v>99</v>
      </c>
      <c r="G335" s="22" t="s">
        <v>5471</v>
      </c>
      <c r="H335" s="9" t="s">
        <v>4298</v>
      </c>
      <c r="I335" s="7"/>
      <c r="J335" s="23" t="s">
        <v>5472</v>
      </c>
      <c r="K335" s="24" t="s">
        <v>5473</v>
      </c>
      <c r="L335" s="22" t="s">
        <v>5474</v>
      </c>
      <c r="M335" s="25"/>
      <c r="N335" s="25"/>
      <c r="O335" s="26"/>
      <c r="P335" s="27"/>
      <c r="Q335" s="28"/>
      <c r="R335" s="28"/>
      <c r="S335" s="29" t="s">
        <v>5475</v>
      </c>
    </row>
    <row r="336" customFormat="false" ht="15" hidden="false" customHeight="false" outlineLevel="0" collapsed="false">
      <c r="A336" s="7" t="n">
        <v>332</v>
      </c>
      <c r="B336" s="9" t="s">
        <v>17</v>
      </c>
      <c r="C336" s="22" t="s">
        <v>1163</v>
      </c>
      <c r="D336" s="9" t="s">
        <v>1074</v>
      </c>
      <c r="E336" s="9" t="s">
        <v>47</v>
      </c>
      <c r="F336" s="9" t="s">
        <v>99</v>
      </c>
      <c r="G336" s="22" t="s">
        <v>5476</v>
      </c>
      <c r="H336" s="9" t="s">
        <v>4298</v>
      </c>
      <c r="I336" s="7"/>
      <c r="J336" s="23" t="s">
        <v>5477</v>
      </c>
      <c r="K336" s="24" t="s">
        <v>5478</v>
      </c>
      <c r="L336" s="22" t="s">
        <v>5479</v>
      </c>
      <c r="M336" s="25"/>
      <c r="N336" s="25"/>
      <c r="O336" s="26"/>
      <c r="P336" s="27"/>
      <c r="Q336" s="28"/>
      <c r="R336" s="28"/>
      <c r="S336" s="29" t="s">
        <v>5480</v>
      </c>
    </row>
    <row r="337" customFormat="false" ht="15" hidden="false" customHeight="false" outlineLevel="0" collapsed="false">
      <c r="A337" s="7" t="n">
        <v>333</v>
      </c>
      <c r="B337" s="9" t="s">
        <v>17</v>
      </c>
      <c r="C337" s="22" t="s">
        <v>1163</v>
      </c>
      <c r="D337" s="9" t="s">
        <v>1074</v>
      </c>
      <c r="E337" s="9" t="s">
        <v>47</v>
      </c>
      <c r="F337" s="9" t="s">
        <v>99</v>
      </c>
      <c r="G337" s="22" t="s">
        <v>5481</v>
      </c>
      <c r="H337" s="9" t="s">
        <v>4298</v>
      </c>
      <c r="I337" s="7"/>
      <c r="J337" s="23" t="s">
        <v>5482</v>
      </c>
      <c r="K337" s="24" t="s">
        <v>5483</v>
      </c>
      <c r="L337" s="22" t="s">
        <v>5484</v>
      </c>
      <c r="M337" s="25"/>
      <c r="N337" s="25"/>
      <c r="O337" s="26"/>
      <c r="P337" s="27"/>
      <c r="Q337" s="28"/>
      <c r="R337" s="28"/>
      <c r="S337" s="29" t="s">
        <v>5485</v>
      </c>
    </row>
    <row r="338" customFormat="false" ht="15" hidden="false" customHeight="false" outlineLevel="0" collapsed="false">
      <c r="A338" s="7" t="n">
        <v>334</v>
      </c>
      <c r="B338" s="9" t="s">
        <v>17</v>
      </c>
      <c r="C338" s="22" t="s">
        <v>1163</v>
      </c>
      <c r="D338" s="9" t="s">
        <v>1074</v>
      </c>
      <c r="E338" s="9" t="s">
        <v>47</v>
      </c>
      <c r="F338" s="9" t="s">
        <v>99</v>
      </c>
      <c r="G338" s="22" t="s">
        <v>5486</v>
      </c>
      <c r="H338" s="9" t="s">
        <v>4298</v>
      </c>
      <c r="I338" s="7"/>
      <c r="J338" s="23" t="s">
        <v>5487</v>
      </c>
      <c r="K338" s="24" t="s">
        <v>5488</v>
      </c>
      <c r="L338" s="22" t="s">
        <v>5489</v>
      </c>
      <c r="M338" s="25"/>
      <c r="N338" s="25"/>
      <c r="O338" s="26"/>
      <c r="P338" s="27"/>
      <c r="Q338" s="28"/>
      <c r="R338" s="28"/>
      <c r="S338" s="29" t="s">
        <v>5490</v>
      </c>
    </row>
    <row r="339" customFormat="false" ht="15" hidden="false" customHeight="false" outlineLevel="0" collapsed="false">
      <c r="A339" s="7" t="n">
        <v>335</v>
      </c>
      <c r="B339" s="9" t="s">
        <v>17</v>
      </c>
      <c r="C339" s="22" t="s">
        <v>1163</v>
      </c>
      <c r="D339" s="9" t="s">
        <v>1074</v>
      </c>
      <c r="E339" s="9" t="s">
        <v>47</v>
      </c>
      <c r="F339" s="9" t="s">
        <v>99</v>
      </c>
      <c r="G339" s="22" t="s">
        <v>5491</v>
      </c>
      <c r="H339" s="9" t="s">
        <v>4298</v>
      </c>
      <c r="I339" s="7"/>
      <c r="J339" s="23" t="s">
        <v>5492</v>
      </c>
      <c r="K339" s="24" t="s">
        <v>5493</v>
      </c>
      <c r="L339" s="22" t="s">
        <v>5494</v>
      </c>
      <c r="M339" s="25"/>
      <c r="N339" s="25"/>
      <c r="O339" s="26"/>
      <c r="P339" s="27"/>
      <c r="Q339" s="28"/>
      <c r="R339" s="28"/>
      <c r="S339" s="29" t="s">
        <v>5495</v>
      </c>
    </row>
    <row r="340" customFormat="false" ht="15" hidden="false" customHeight="false" outlineLevel="0" collapsed="false">
      <c r="A340" s="7" t="n">
        <v>336</v>
      </c>
      <c r="B340" s="9" t="s">
        <v>17</v>
      </c>
      <c r="C340" s="22" t="s">
        <v>1163</v>
      </c>
      <c r="D340" s="9" t="s">
        <v>1074</v>
      </c>
      <c r="E340" s="9" t="s">
        <v>47</v>
      </c>
      <c r="F340" s="9" t="s">
        <v>99</v>
      </c>
      <c r="G340" s="22" t="s">
        <v>5496</v>
      </c>
      <c r="H340" s="9" t="s">
        <v>4298</v>
      </c>
      <c r="I340" s="7"/>
      <c r="J340" s="23" t="s">
        <v>5497</v>
      </c>
      <c r="K340" s="24" t="s">
        <v>5498</v>
      </c>
      <c r="L340" s="22" t="s">
        <v>5499</v>
      </c>
      <c r="M340" s="25"/>
      <c r="N340" s="25"/>
      <c r="O340" s="26"/>
      <c r="P340" s="27"/>
      <c r="Q340" s="28"/>
      <c r="R340" s="28"/>
      <c r="S340" s="29" t="s">
        <v>5500</v>
      </c>
    </row>
    <row r="341" customFormat="false" ht="15" hidden="false" customHeight="false" outlineLevel="0" collapsed="false">
      <c r="A341" s="7" t="n">
        <v>337</v>
      </c>
      <c r="B341" s="9" t="s">
        <v>17</v>
      </c>
      <c r="C341" s="22" t="s">
        <v>1163</v>
      </c>
      <c r="D341" s="9" t="s">
        <v>1074</v>
      </c>
      <c r="E341" s="9" t="s">
        <v>47</v>
      </c>
      <c r="F341" s="9" t="s">
        <v>99</v>
      </c>
      <c r="G341" s="22" t="s">
        <v>5501</v>
      </c>
      <c r="H341" s="9" t="s">
        <v>4298</v>
      </c>
      <c r="I341" s="7"/>
      <c r="J341" s="23" t="s">
        <v>5502</v>
      </c>
      <c r="K341" s="24" t="s">
        <v>5503</v>
      </c>
      <c r="L341" s="22" t="s">
        <v>5504</v>
      </c>
      <c r="M341" s="25"/>
      <c r="N341" s="25"/>
      <c r="O341" s="26"/>
      <c r="P341" s="27"/>
      <c r="Q341" s="28"/>
      <c r="R341" s="28"/>
      <c r="S341" s="29" t="s">
        <v>5505</v>
      </c>
    </row>
    <row r="342" customFormat="false" ht="15" hidden="false" customHeight="false" outlineLevel="0" collapsed="false">
      <c r="A342" s="7" t="n">
        <v>338</v>
      </c>
      <c r="B342" s="9" t="s">
        <v>17</v>
      </c>
      <c r="C342" s="22" t="s">
        <v>1163</v>
      </c>
      <c r="D342" s="9" t="s">
        <v>1074</v>
      </c>
      <c r="E342" s="9" t="s">
        <v>47</v>
      </c>
      <c r="F342" s="9" t="s">
        <v>99</v>
      </c>
      <c r="G342" s="22" t="s">
        <v>1176</v>
      </c>
      <c r="H342" s="9" t="s">
        <v>4298</v>
      </c>
      <c r="I342" s="7" t="s">
        <v>869</v>
      </c>
      <c r="J342" s="23" t="s">
        <v>1177</v>
      </c>
      <c r="K342" s="24" t="s">
        <v>1178</v>
      </c>
      <c r="L342" s="22" t="s">
        <v>1179</v>
      </c>
      <c r="M342" s="25"/>
      <c r="N342" s="25"/>
      <c r="O342" s="26"/>
      <c r="P342" s="27"/>
      <c r="Q342" s="28"/>
      <c r="R342" s="28"/>
      <c r="S342" s="29" t="s">
        <v>5506</v>
      </c>
    </row>
    <row r="343" customFormat="false" ht="15" hidden="false" customHeight="false" outlineLevel="0" collapsed="false">
      <c r="A343" s="7" t="n">
        <v>339</v>
      </c>
      <c r="B343" s="9" t="s">
        <v>17</v>
      </c>
      <c r="C343" s="22" t="s">
        <v>1163</v>
      </c>
      <c r="D343" s="9" t="s">
        <v>1074</v>
      </c>
      <c r="E343" s="9" t="s">
        <v>47</v>
      </c>
      <c r="F343" s="9" t="s">
        <v>99</v>
      </c>
      <c r="G343" s="22" t="s">
        <v>5507</v>
      </c>
      <c r="H343" s="9" t="s">
        <v>4298</v>
      </c>
      <c r="I343" s="7"/>
      <c r="J343" s="23" t="s">
        <v>5508</v>
      </c>
      <c r="K343" s="24" t="s">
        <v>5509</v>
      </c>
      <c r="L343" s="22" t="s">
        <v>5510</v>
      </c>
      <c r="M343" s="25"/>
      <c r="N343" s="25"/>
      <c r="O343" s="26"/>
      <c r="P343" s="27"/>
      <c r="Q343" s="28"/>
      <c r="R343" s="28"/>
      <c r="S343" s="29" t="s">
        <v>5511</v>
      </c>
    </row>
    <row r="344" customFormat="false" ht="15" hidden="false" customHeight="false" outlineLevel="0" collapsed="false">
      <c r="A344" s="7" t="n">
        <v>340</v>
      </c>
      <c r="B344" s="9" t="s">
        <v>17</v>
      </c>
      <c r="C344" s="22" t="s">
        <v>1163</v>
      </c>
      <c r="D344" s="9" t="s">
        <v>1074</v>
      </c>
      <c r="E344" s="9" t="s">
        <v>48</v>
      </c>
      <c r="F344" s="9" t="s">
        <v>124</v>
      </c>
      <c r="G344" s="22" t="s">
        <v>5512</v>
      </c>
      <c r="H344" s="9" t="s">
        <v>4298</v>
      </c>
      <c r="I344" s="7"/>
      <c r="J344" s="23" t="s">
        <v>5513</v>
      </c>
      <c r="K344" s="24" t="s">
        <v>5514</v>
      </c>
      <c r="L344" s="22" t="s">
        <v>5515</v>
      </c>
      <c r="M344" s="25"/>
      <c r="N344" s="25"/>
      <c r="O344" s="26"/>
      <c r="P344" s="27"/>
      <c r="Q344" s="28"/>
      <c r="R344" s="28"/>
      <c r="S344" s="26"/>
    </row>
    <row r="345" customFormat="false" ht="15" hidden="false" customHeight="false" outlineLevel="0" collapsed="false">
      <c r="A345" s="7" t="n">
        <v>341</v>
      </c>
      <c r="B345" s="9" t="s">
        <v>17</v>
      </c>
      <c r="C345" s="22" t="s">
        <v>1163</v>
      </c>
      <c r="D345" s="9" t="s">
        <v>1074</v>
      </c>
      <c r="E345" s="9" t="s">
        <v>48</v>
      </c>
      <c r="F345" s="9" t="s">
        <v>99</v>
      </c>
      <c r="G345" s="22" t="s">
        <v>5516</v>
      </c>
      <c r="H345" s="9" t="s">
        <v>4298</v>
      </c>
      <c r="I345" s="7"/>
      <c r="J345" s="23" t="s">
        <v>5517</v>
      </c>
      <c r="K345" s="24" t="s">
        <v>5518</v>
      </c>
      <c r="L345" s="22" t="s">
        <v>5519</v>
      </c>
      <c r="M345" s="25"/>
      <c r="N345" s="25"/>
      <c r="O345" s="26"/>
      <c r="P345" s="27"/>
      <c r="Q345" s="28"/>
      <c r="R345" s="28"/>
      <c r="S345" s="26"/>
    </row>
    <row r="346" customFormat="false" ht="15" hidden="false" customHeight="false" outlineLevel="0" collapsed="false">
      <c r="A346" s="7" t="n">
        <v>342</v>
      </c>
      <c r="B346" s="9" t="s">
        <v>17</v>
      </c>
      <c r="C346" s="22" t="s">
        <v>1163</v>
      </c>
      <c r="D346" s="9" t="s">
        <v>1074</v>
      </c>
      <c r="E346" s="9" t="s">
        <v>48</v>
      </c>
      <c r="F346" s="9" t="s">
        <v>124</v>
      </c>
      <c r="G346" s="22" t="s">
        <v>1188</v>
      </c>
      <c r="H346" s="9" t="s">
        <v>4298</v>
      </c>
      <c r="I346" s="7" t="s">
        <v>869</v>
      </c>
      <c r="J346" s="23" t="s">
        <v>1189</v>
      </c>
      <c r="K346" s="24" t="s">
        <v>1190</v>
      </c>
      <c r="L346" s="22" t="s">
        <v>1191</v>
      </c>
      <c r="M346" s="25"/>
      <c r="N346" s="25"/>
      <c r="O346" s="26"/>
      <c r="P346" s="27"/>
      <c r="Q346" s="28"/>
      <c r="R346" s="28"/>
      <c r="S346" s="26"/>
    </row>
    <row r="347" customFormat="false" ht="15" hidden="false" customHeight="false" outlineLevel="0" collapsed="false">
      <c r="A347" s="7" t="n">
        <v>343</v>
      </c>
      <c r="B347" s="9" t="s">
        <v>17</v>
      </c>
      <c r="C347" s="22" t="s">
        <v>1163</v>
      </c>
      <c r="D347" s="9" t="s">
        <v>1074</v>
      </c>
      <c r="E347" s="9" t="s">
        <v>48</v>
      </c>
      <c r="F347" s="9" t="s">
        <v>99</v>
      </c>
      <c r="G347" s="22" t="s">
        <v>5520</v>
      </c>
      <c r="H347" s="9" t="s">
        <v>4298</v>
      </c>
      <c r="I347" s="7"/>
      <c r="J347" s="23" t="s">
        <v>5521</v>
      </c>
      <c r="K347" s="24" t="s">
        <v>5522</v>
      </c>
      <c r="L347" s="22" t="s">
        <v>5523</v>
      </c>
      <c r="M347" s="25"/>
      <c r="N347" s="25"/>
      <c r="O347" s="26"/>
      <c r="P347" s="27"/>
      <c r="Q347" s="28"/>
      <c r="R347" s="28"/>
      <c r="S347" s="26"/>
    </row>
    <row r="348" customFormat="false" ht="15" hidden="false" customHeight="false" outlineLevel="0" collapsed="false">
      <c r="A348" s="7" t="n">
        <v>344</v>
      </c>
      <c r="B348" s="9" t="s">
        <v>17</v>
      </c>
      <c r="C348" s="22" t="s">
        <v>1163</v>
      </c>
      <c r="D348" s="9" t="s">
        <v>1074</v>
      </c>
      <c r="E348" s="9" t="s">
        <v>48</v>
      </c>
      <c r="F348" s="9" t="s">
        <v>124</v>
      </c>
      <c r="G348" s="22" t="s">
        <v>5524</v>
      </c>
      <c r="H348" s="9" t="s">
        <v>4298</v>
      </c>
      <c r="I348" s="7"/>
      <c r="J348" s="23" t="s">
        <v>5525</v>
      </c>
      <c r="K348" s="24" t="s">
        <v>5526</v>
      </c>
      <c r="L348" s="22" t="s">
        <v>5527</v>
      </c>
      <c r="M348" s="25"/>
      <c r="N348" s="25"/>
      <c r="O348" s="26"/>
      <c r="P348" s="27"/>
      <c r="Q348" s="28"/>
      <c r="R348" s="28"/>
      <c r="S348" s="26"/>
    </row>
    <row r="349" customFormat="false" ht="15" hidden="false" customHeight="false" outlineLevel="0" collapsed="false">
      <c r="A349" s="7" t="n">
        <v>345</v>
      </c>
      <c r="B349" s="9" t="s">
        <v>17</v>
      </c>
      <c r="C349" s="22" t="s">
        <v>611</v>
      </c>
      <c r="D349" s="9" t="s">
        <v>899</v>
      </c>
      <c r="E349" s="9" t="s">
        <v>47</v>
      </c>
      <c r="F349" s="9" t="s">
        <v>99</v>
      </c>
      <c r="G349" s="22" t="s">
        <v>1196</v>
      </c>
      <c r="H349" s="9" t="s">
        <v>4298</v>
      </c>
      <c r="I349" s="7" t="s">
        <v>869</v>
      </c>
      <c r="J349" s="23" t="s">
        <v>1197</v>
      </c>
      <c r="K349" s="24" t="s">
        <v>1198</v>
      </c>
      <c r="L349" s="22" t="s">
        <v>1199</v>
      </c>
      <c r="M349" s="25"/>
      <c r="N349" s="25"/>
      <c r="O349" s="26"/>
      <c r="P349" s="27"/>
      <c r="Q349" s="28"/>
      <c r="R349" s="28"/>
      <c r="S349" s="29" t="s">
        <v>5528</v>
      </c>
    </row>
    <row r="350" customFormat="false" ht="15" hidden="false" customHeight="false" outlineLevel="0" collapsed="false">
      <c r="A350" s="7" t="n">
        <v>346</v>
      </c>
      <c r="B350" s="9" t="s">
        <v>17</v>
      </c>
      <c r="C350" s="22" t="s">
        <v>611</v>
      </c>
      <c r="D350" s="9" t="s">
        <v>899</v>
      </c>
      <c r="E350" s="9" t="s">
        <v>47</v>
      </c>
      <c r="F350" s="9" t="s">
        <v>99</v>
      </c>
      <c r="G350" s="22" t="s">
        <v>5529</v>
      </c>
      <c r="H350" s="9" t="s">
        <v>4298</v>
      </c>
      <c r="I350" s="7"/>
      <c r="J350" s="23" t="s">
        <v>5530</v>
      </c>
      <c r="K350" s="24" t="s">
        <v>5531</v>
      </c>
      <c r="L350" s="22" t="s">
        <v>5532</v>
      </c>
      <c r="M350" s="25"/>
      <c r="N350" s="25"/>
      <c r="O350" s="26"/>
      <c r="P350" s="27"/>
      <c r="Q350" s="28"/>
      <c r="R350" s="28"/>
      <c r="S350" s="29" t="s">
        <v>5533</v>
      </c>
    </row>
    <row r="351" customFormat="false" ht="15" hidden="false" customHeight="false" outlineLevel="0" collapsed="false">
      <c r="A351" s="7" t="n">
        <v>347</v>
      </c>
      <c r="B351" s="9" t="s">
        <v>17</v>
      </c>
      <c r="C351" s="22" t="s">
        <v>611</v>
      </c>
      <c r="D351" s="9" t="s">
        <v>899</v>
      </c>
      <c r="E351" s="9" t="s">
        <v>47</v>
      </c>
      <c r="F351" s="9" t="s">
        <v>99</v>
      </c>
      <c r="G351" s="22" t="s">
        <v>5534</v>
      </c>
      <c r="H351" s="9" t="s">
        <v>4298</v>
      </c>
      <c r="I351" s="7"/>
      <c r="J351" s="23" t="s">
        <v>5535</v>
      </c>
      <c r="K351" s="24" t="s">
        <v>5536</v>
      </c>
      <c r="L351" s="22" t="s">
        <v>5537</v>
      </c>
      <c r="M351" s="25"/>
      <c r="N351" s="25"/>
      <c r="O351" s="26"/>
      <c r="P351" s="27"/>
      <c r="Q351" s="28"/>
      <c r="R351" s="28"/>
      <c r="S351" s="29" t="s">
        <v>5538</v>
      </c>
    </row>
    <row r="352" customFormat="false" ht="15" hidden="false" customHeight="false" outlineLevel="0" collapsed="false">
      <c r="A352" s="7" t="n">
        <v>348</v>
      </c>
      <c r="B352" s="9" t="s">
        <v>17</v>
      </c>
      <c r="C352" s="22" t="s">
        <v>611</v>
      </c>
      <c r="D352" s="9" t="s">
        <v>899</v>
      </c>
      <c r="E352" s="9" t="s">
        <v>47</v>
      </c>
      <c r="F352" s="9" t="s">
        <v>99</v>
      </c>
      <c r="G352" s="22" t="s">
        <v>5539</v>
      </c>
      <c r="H352" s="9" t="s">
        <v>4298</v>
      </c>
      <c r="I352" s="7"/>
      <c r="J352" s="23" t="s">
        <v>5540</v>
      </c>
      <c r="K352" s="24" t="s">
        <v>5541</v>
      </c>
      <c r="L352" s="22" t="s">
        <v>5542</v>
      </c>
      <c r="M352" s="25"/>
      <c r="N352" s="25"/>
      <c r="O352" s="26"/>
      <c r="P352" s="27"/>
      <c r="Q352" s="28"/>
      <c r="R352" s="28"/>
      <c r="S352" s="29" t="s">
        <v>5543</v>
      </c>
    </row>
    <row r="353" customFormat="false" ht="15" hidden="false" customHeight="false" outlineLevel="0" collapsed="false">
      <c r="A353" s="7" t="n">
        <v>349</v>
      </c>
      <c r="B353" s="9" t="s">
        <v>17</v>
      </c>
      <c r="C353" s="22" t="s">
        <v>611</v>
      </c>
      <c r="D353" s="9" t="s">
        <v>899</v>
      </c>
      <c r="E353" s="9" t="s">
        <v>47</v>
      </c>
      <c r="F353" s="9" t="s">
        <v>99</v>
      </c>
      <c r="G353" s="22" t="s">
        <v>1200</v>
      </c>
      <c r="H353" s="9" t="s">
        <v>4298</v>
      </c>
      <c r="I353" s="7" t="s">
        <v>869</v>
      </c>
      <c r="J353" s="23" t="s">
        <v>1201</v>
      </c>
      <c r="K353" s="24" t="s">
        <v>1202</v>
      </c>
      <c r="L353" s="22" t="s">
        <v>1203</v>
      </c>
      <c r="M353" s="25"/>
      <c r="N353" s="25"/>
      <c r="O353" s="26"/>
      <c r="P353" s="27"/>
      <c r="Q353" s="28"/>
      <c r="R353" s="28"/>
      <c r="S353" s="29" t="s">
        <v>5544</v>
      </c>
    </row>
    <row r="354" customFormat="false" ht="15" hidden="false" customHeight="false" outlineLevel="0" collapsed="false">
      <c r="A354" s="7" t="n">
        <v>350</v>
      </c>
      <c r="B354" s="9" t="s">
        <v>17</v>
      </c>
      <c r="C354" s="22" t="s">
        <v>611</v>
      </c>
      <c r="D354" s="9" t="s">
        <v>899</v>
      </c>
      <c r="E354" s="9" t="s">
        <v>47</v>
      </c>
      <c r="F354" s="9" t="s">
        <v>99</v>
      </c>
      <c r="G354" s="22" t="s">
        <v>5545</v>
      </c>
      <c r="H354" s="9" t="s">
        <v>4298</v>
      </c>
      <c r="I354" s="7"/>
      <c r="J354" s="23" t="s">
        <v>5546</v>
      </c>
      <c r="K354" s="24" t="s">
        <v>5547</v>
      </c>
      <c r="L354" s="22" t="s">
        <v>5548</v>
      </c>
      <c r="M354" s="25"/>
      <c r="N354" s="25"/>
      <c r="O354" s="26"/>
      <c r="P354" s="27"/>
      <c r="Q354" s="28"/>
      <c r="R354" s="28"/>
      <c r="S354" s="29" t="s">
        <v>5549</v>
      </c>
    </row>
    <row r="355" customFormat="false" ht="15" hidden="false" customHeight="false" outlineLevel="0" collapsed="false">
      <c r="A355" s="7" t="n">
        <v>351</v>
      </c>
      <c r="B355" s="9" t="s">
        <v>17</v>
      </c>
      <c r="C355" s="22" t="s">
        <v>611</v>
      </c>
      <c r="D355" s="9" t="s">
        <v>899</v>
      </c>
      <c r="E355" s="9" t="s">
        <v>47</v>
      </c>
      <c r="F355" s="9" t="s">
        <v>124</v>
      </c>
      <c r="G355" s="22" t="s">
        <v>5550</v>
      </c>
      <c r="H355" s="9" t="s">
        <v>4298</v>
      </c>
      <c r="I355" s="7"/>
      <c r="J355" s="23" t="s">
        <v>5551</v>
      </c>
      <c r="K355" s="24" t="s">
        <v>5552</v>
      </c>
      <c r="L355" s="22" t="s">
        <v>5553</v>
      </c>
      <c r="M355" s="25"/>
      <c r="N355" s="25"/>
      <c r="O355" s="26"/>
      <c r="P355" s="27"/>
      <c r="Q355" s="28"/>
      <c r="R355" s="28"/>
      <c r="S355" s="26"/>
    </row>
    <row r="356" customFormat="false" ht="15" hidden="false" customHeight="false" outlineLevel="0" collapsed="false">
      <c r="A356" s="7" t="n">
        <v>352</v>
      </c>
      <c r="B356" s="9" t="s">
        <v>17</v>
      </c>
      <c r="C356" s="22" t="s">
        <v>611</v>
      </c>
      <c r="D356" s="9" t="s">
        <v>899</v>
      </c>
      <c r="E356" s="9" t="s">
        <v>48</v>
      </c>
      <c r="F356" s="9" t="s">
        <v>99</v>
      </c>
      <c r="G356" s="22" t="s">
        <v>5554</v>
      </c>
      <c r="H356" s="9" t="s">
        <v>4298</v>
      </c>
      <c r="I356" s="7"/>
      <c r="J356" s="23" t="s">
        <v>5555</v>
      </c>
      <c r="K356" s="24" t="s">
        <v>5556</v>
      </c>
      <c r="L356" s="22" t="s">
        <v>5557</v>
      </c>
      <c r="M356" s="25"/>
      <c r="N356" s="25"/>
      <c r="O356" s="26"/>
      <c r="P356" s="27"/>
      <c r="Q356" s="28"/>
      <c r="R356" s="28"/>
      <c r="S356" s="26"/>
    </row>
    <row r="357" customFormat="false" ht="15" hidden="false" customHeight="false" outlineLevel="0" collapsed="false">
      <c r="A357" s="7" t="n">
        <v>353</v>
      </c>
      <c r="B357" s="9" t="s">
        <v>17</v>
      </c>
      <c r="C357" s="22" t="s">
        <v>611</v>
      </c>
      <c r="D357" s="9" t="s">
        <v>1083</v>
      </c>
      <c r="E357" s="9" t="s">
        <v>47</v>
      </c>
      <c r="F357" s="9" t="s">
        <v>99</v>
      </c>
      <c r="G357" s="22" t="s">
        <v>1208</v>
      </c>
      <c r="H357" s="9" t="s">
        <v>4298</v>
      </c>
      <c r="I357" s="7" t="s">
        <v>869</v>
      </c>
      <c r="J357" s="23" t="s">
        <v>1209</v>
      </c>
      <c r="K357" s="24" t="s">
        <v>1210</v>
      </c>
      <c r="L357" s="22" t="s">
        <v>1211</v>
      </c>
      <c r="M357" s="25"/>
      <c r="N357" s="25"/>
      <c r="O357" s="26"/>
      <c r="P357" s="27"/>
      <c r="Q357" s="28"/>
      <c r="R357" s="28"/>
      <c r="S357" s="29" t="s">
        <v>5558</v>
      </c>
    </row>
    <row r="358" customFormat="false" ht="15" hidden="false" customHeight="false" outlineLevel="0" collapsed="false">
      <c r="A358" s="7" t="n">
        <v>354</v>
      </c>
      <c r="B358" s="9" t="s">
        <v>17</v>
      </c>
      <c r="C358" s="22" t="s">
        <v>611</v>
      </c>
      <c r="D358" s="9" t="s">
        <v>1083</v>
      </c>
      <c r="E358" s="9" t="s">
        <v>47</v>
      </c>
      <c r="F358" s="9" t="s">
        <v>99</v>
      </c>
      <c r="G358" s="22" t="s">
        <v>5559</v>
      </c>
      <c r="H358" s="9" t="s">
        <v>4298</v>
      </c>
      <c r="I358" s="7"/>
      <c r="J358" s="23" t="s">
        <v>5560</v>
      </c>
      <c r="K358" s="24" t="s">
        <v>5561</v>
      </c>
      <c r="L358" s="22" t="s">
        <v>5562</v>
      </c>
      <c r="M358" s="25"/>
      <c r="N358" s="25"/>
      <c r="O358" s="26"/>
      <c r="P358" s="27"/>
      <c r="Q358" s="28"/>
      <c r="R358" s="28"/>
      <c r="S358" s="29" t="s">
        <v>5563</v>
      </c>
    </row>
    <row r="359" customFormat="false" ht="15" hidden="false" customHeight="false" outlineLevel="0" collapsed="false">
      <c r="A359" s="7" t="n">
        <v>355</v>
      </c>
      <c r="B359" s="9" t="s">
        <v>17</v>
      </c>
      <c r="C359" s="22" t="s">
        <v>611</v>
      </c>
      <c r="D359" s="9" t="s">
        <v>1083</v>
      </c>
      <c r="E359" s="9" t="s">
        <v>47</v>
      </c>
      <c r="F359" s="9" t="s">
        <v>99</v>
      </c>
      <c r="G359" s="22" t="s">
        <v>5564</v>
      </c>
      <c r="H359" s="9" t="s">
        <v>4298</v>
      </c>
      <c r="I359" s="7"/>
      <c r="J359" s="23" t="s">
        <v>5565</v>
      </c>
      <c r="K359" s="24" t="s">
        <v>5566</v>
      </c>
      <c r="L359" s="22" t="s">
        <v>5567</v>
      </c>
      <c r="M359" s="25"/>
      <c r="N359" s="25"/>
      <c r="O359" s="26"/>
      <c r="P359" s="27"/>
      <c r="Q359" s="28"/>
      <c r="R359" s="28"/>
      <c r="S359" s="29" t="s">
        <v>5568</v>
      </c>
    </row>
    <row r="360" customFormat="false" ht="15" hidden="false" customHeight="false" outlineLevel="0" collapsed="false">
      <c r="A360" s="7" t="n">
        <v>356</v>
      </c>
      <c r="B360" s="9" t="s">
        <v>17</v>
      </c>
      <c r="C360" s="22" t="s">
        <v>611</v>
      </c>
      <c r="D360" s="9" t="s">
        <v>1083</v>
      </c>
      <c r="E360" s="9" t="s">
        <v>47</v>
      </c>
      <c r="F360" s="9" t="s">
        <v>99</v>
      </c>
      <c r="G360" s="22" t="s">
        <v>5569</v>
      </c>
      <c r="H360" s="9" t="s">
        <v>4298</v>
      </c>
      <c r="I360" s="7"/>
      <c r="J360" s="23" t="s">
        <v>5570</v>
      </c>
      <c r="K360" s="24" t="s">
        <v>5571</v>
      </c>
      <c r="L360" s="22" t="s">
        <v>5572</v>
      </c>
      <c r="M360" s="25"/>
      <c r="N360" s="25"/>
      <c r="O360" s="26"/>
      <c r="P360" s="27"/>
      <c r="Q360" s="28"/>
      <c r="R360" s="28"/>
      <c r="S360" s="29" t="s">
        <v>5573</v>
      </c>
    </row>
    <row r="361" customFormat="false" ht="15" hidden="false" customHeight="false" outlineLevel="0" collapsed="false">
      <c r="A361" s="7" t="n">
        <v>357</v>
      </c>
      <c r="B361" s="9" t="s">
        <v>17</v>
      </c>
      <c r="C361" s="22" t="s">
        <v>611</v>
      </c>
      <c r="D361" s="9" t="s">
        <v>1083</v>
      </c>
      <c r="E361" s="9" t="s">
        <v>47</v>
      </c>
      <c r="F361" s="9" t="s">
        <v>99</v>
      </c>
      <c r="G361" s="22" t="s">
        <v>5574</v>
      </c>
      <c r="H361" s="9" t="s">
        <v>4298</v>
      </c>
      <c r="I361" s="7"/>
      <c r="J361" s="23" t="s">
        <v>5575</v>
      </c>
      <c r="K361" s="24" t="s">
        <v>5576</v>
      </c>
      <c r="L361" s="22" t="s">
        <v>5577</v>
      </c>
      <c r="M361" s="25"/>
      <c r="N361" s="25"/>
      <c r="O361" s="26"/>
      <c r="P361" s="27"/>
      <c r="Q361" s="28"/>
      <c r="R361" s="28"/>
      <c r="S361" s="29" t="s">
        <v>5578</v>
      </c>
    </row>
    <row r="362" customFormat="false" ht="15" hidden="false" customHeight="false" outlineLevel="0" collapsed="false">
      <c r="A362" s="7" t="n">
        <v>358</v>
      </c>
      <c r="B362" s="9" t="s">
        <v>17</v>
      </c>
      <c r="C362" s="22" t="s">
        <v>611</v>
      </c>
      <c r="D362" s="9" t="s">
        <v>1083</v>
      </c>
      <c r="E362" s="9" t="s">
        <v>47</v>
      </c>
      <c r="F362" s="9" t="s">
        <v>99</v>
      </c>
      <c r="G362" s="22" t="s">
        <v>5579</v>
      </c>
      <c r="H362" s="9" t="s">
        <v>4298</v>
      </c>
      <c r="I362" s="7"/>
      <c r="J362" s="23" t="s">
        <v>5580</v>
      </c>
      <c r="K362" s="24" t="s">
        <v>5581</v>
      </c>
      <c r="L362" s="22" t="s">
        <v>5582</v>
      </c>
      <c r="M362" s="25"/>
      <c r="N362" s="25"/>
      <c r="O362" s="26"/>
      <c r="P362" s="27"/>
      <c r="Q362" s="28"/>
      <c r="R362" s="28"/>
      <c r="S362" s="29" t="s">
        <v>5583</v>
      </c>
    </row>
    <row r="363" customFormat="false" ht="15" hidden="false" customHeight="false" outlineLevel="0" collapsed="false">
      <c r="A363" s="7" t="n">
        <v>359</v>
      </c>
      <c r="B363" s="9" t="s">
        <v>17</v>
      </c>
      <c r="C363" s="22" t="s">
        <v>611</v>
      </c>
      <c r="D363" s="9" t="s">
        <v>1083</v>
      </c>
      <c r="E363" s="9" t="s">
        <v>47</v>
      </c>
      <c r="F363" s="9" t="s">
        <v>99</v>
      </c>
      <c r="G363" s="22" t="s">
        <v>5584</v>
      </c>
      <c r="H363" s="9" t="s">
        <v>4298</v>
      </c>
      <c r="I363" s="7"/>
      <c r="J363" s="23" t="s">
        <v>5585</v>
      </c>
      <c r="K363" s="24" t="s">
        <v>5586</v>
      </c>
      <c r="L363" s="22" t="s">
        <v>5587</v>
      </c>
      <c r="M363" s="25"/>
      <c r="N363" s="25"/>
      <c r="O363" s="26"/>
      <c r="P363" s="27"/>
      <c r="Q363" s="28"/>
      <c r="R363" s="28"/>
      <c r="S363" s="29" t="s">
        <v>5588</v>
      </c>
    </row>
    <row r="364" customFormat="false" ht="15" hidden="false" customHeight="false" outlineLevel="0" collapsed="false">
      <c r="A364" s="7" t="n">
        <v>360</v>
      </c>
      <c r="B364" s="9" t="s">
        <v>17</v>
      </c>
      <c r="C364" s="22" t="s">
        <v>611</v>
      </c>
      <c r="D364" s="9" t="s">
        <v>1083</v>
      </c>
      <c r="E364" s="9" t="s">
        <v>47</v>
      </c>
      <c r="F364" s="9" t="s">
        <v>99</v>
      </c>
      <c r="G364" s="22" t="s">
        <v>5589</v>
      </c>
      <c r="H364" s="9" t="s">
        <v>4298</v>
      </c>
      <c r="I364" s="7"/>
      <c r="J364" s="23" t="s">
        <v>5590</v>
      </c>
      <c r="K364" s="24" t="s">
        <v>5591</v>
      </c>
      <c r="L364" s="22" t="s">
        <v>5592</v>
      </c>
      <c r="M364" s="25"/>
      <c r="N364" s="25"/>
      <c r="O364" s="26"/>
      <c r="P364" s="27"/>
      <c r="Q364" s="28"/>
      <c r="R364" s="28"/>
      <c r="S364" s="29" t="s">
        <v>5593</v>
      </c>
    </row>
    <row r="365" customFormat="false" ht="15" hidden="false" customHeight="false" outlineLevel="0" collapsed="false">
      <c r="A365" s="7" t="n">
        <v>361</v>
      </c>
      <c r="B365" s="9" t="s">
        <v>17</v>
      </c>
      <c r="C365" s="22" t="s">
        <v>611</v>
      </c>
      <c r="D365" s="9" t="s">
        <v>1083</v>
      </c>
      <c r="E365" s="9" t="s">
        <v>47</v>
      </c>
      <c r="F365" s="9" t="s">
        <v>99</v>
      </c>
      <c r="G365" s="22" t="s">
        <v>5594</v>
      </c>
      <c r="H365" s="9" t="s">
        <v>4298</v>
      </c>
      <c r="I365" s="7"/>
      <c r="J365" s="23" t="s">
        <v>5595</v>
      </c>
      <c r="K365" s="24" t="s">
        <v>5596</v>
      </c>
      <c r="L365" s="22" t="s">
        <v>5597</v>
      </c>
      <c r="M365" s="25"/>
      <c r="N365" s="25"/>
      <c r="O365" s="26"/>
      <c r="P365" s="27"/>
      <c r="Q365" s="28"/>
      <c r="R365" s="28"/>
      <c r="S365" s="29" t="s">
        <v>5598</v>
      </c>
    </row>
    <row r="366" customFormat="false" ht="15" hidden="false" customHeight="false" outlineLevel="0" collapsed="false">
      <c r="A366" s="7" t="n">
        <v>362</v>
      </c>
      <c r="B366" s="9" t="s">
        <v>17</v>
      </c>
      <c r="C366" s="22" t="s">
        <v>611</v>
      </c>
      <c r="D366" s="9" t="s">
        <v>1083</v>
      </c>
      <c r="E366" s="9" t="s">
        <v>48</v>
      </c>
      <c r="F366" s="9" t="s">
        <v>124</v>
      </c>
      <c r="G366" s="22" t="s">
        <v>5599</v>
      </c>
      <c r="H366" s="9" t="s">
        <v>4298</v>
      </c>
      <c r="I366" s="7"/>
      <c r="J366" s="23" t="s">
        <v>5600</v>
      </c>
      <c r="K366" s="24" t="s">
        <v>5601</v>
      </c>
      <c r="L366" s="22" t="s">
        <v>5343</v>
      </c>
      <c r="M366" s="25"/>
      <c r="N366" s="25"/>
      <c r="O366" s="26"/>
      <c r="P366" s="27"/>
      <c r="Q366" s="28"/>
      <c r="R366" s="28"/>
      <c r="S366" s="26"/>
    </row>
    <row r="367" customFormat="false" ht="15" hidden="false" customHeight="false" outlineLevel="0" collapsed="false">
      <c r="A367" s="7" t="n">
        <v>363</v>
      </c>
      <c r="B367" s="9" t="s">
        <v>17</v>
      </c>
      <c r="C367" s="22" t="s">
        <v>611</v>
      </c>
      <c r="D367" s="9" t="s">
        <v>1083</v>
      </c>
      <c r="E367" s="9" t="s">
        <v>48</v>
      </c>
      <c r="F367" s="9" t="s">
        <v>124</v>
      </c>
      <c r="G367" s="22" t="s">
        <v>1216</v>
      </c>
      <c r="H367" s="9" t="s">
        <v>4298</v>
      </c>
      <c r="I367" s="7" t="s">
        <v>869</v>
      </c>
      <c r="J367" s="23" t="s">
        <v>1217</v>
      </c>
      <c r="K367" s="24" t="s">
        <v>1218</v>
      </c>
      <c r="L367" s="22" t="s">
        <v>1219</v>
      </c>
      <c r="M367" s="25"/>
      <c r="N367" s="25"/>
      <c r="O367" s="26"/>
      <c r="P367" s="27"/>
      <c r="Q367" s="28"/>
      <c r="R367" s="28"/>
      <c r="S367" s="26"/>
    </row>
    <row r="368" customFormat="false" ht="15" hidden="false" customHeight="false" outlineLevel="0" collapsed="false">
      <c r="A368" s="7" t="n">
        <v>364</v>
      </c>
      <c r="B368" s="9" t="s">
        <v>17</v>
      </c>
      <c r="C368" s="22" t="s">
        <v>611</v>
      </c>
      <c r="D368" s="9" t="s">
        <v>1083</v>
      </c>
      <c r="E368" s="9" t="s">
        <v>48</v>
      </c>
      <c r="F368" s="9" t="s">
        <v>124</v>
      </c>
      <c r="G368" s="22" t="s">
        <v>1220</v>
      </c>
      <c r="H368" s="9" t="s">
        <v>4298</v>
      </c>
      <c r="I368" s="7" t="s">
        <v>869</v>
      </c>
      <c r="J368" s="23" t="s">
        <v>1221</v>
      </c>
      <c r="K368" s="24" t="s">
        <v>1222</v>
      </c>
      <c r="L368" s="22" t="s">
        <v>1223</v>
      </c>
      <c r="M368" s="25"/>
      <c r="N368" s="25"/>
      <c r="O368" s="26"/>
      <c r="P368" s="27"/>
      <c r="Q368" s="28"/>
      <c r="R368" s="28"/>
      <c r="S368" s="26"/>
    </row>
    <row r="369" customFormat="false" ht="15" hidden="false" customHeight="false" outlineLevel="0" collapsed="false">
      <c r="A369" s="7" t="n">
        <v>365</v>
      </c>
      <c r="B369" s="9" t="s">
        <v>17</v>
      </c>
      <c r="C369" s="22" t="s">
        <v>611</v>
      </c>
      <c r="D369" s="9" t="s">
        <v>1083</v>
      </c>
      <c r="E369" s="9" t="s">
        <v>48</v>
      </c>
      <c r="F369" s="9" t="s">
        <v>99</v>
      </c>
      <c r="G369" s="22" t="s">
        <v>1224</v>
      </c>
      <c r="H369" s="9" t="s">
        <v>4298</v>
      </c>
      <c r="I369" s="7" t="s">
        <v>869</v>
      </c>
      <c r="J369" s="23" t="s">
        <v>1225</v>
      </c>
      <c r="K369" s="24" t="s">
        <v>1226</v>
      </c>
      <c r="L369" s="22" t="s">
        <v>1227</v>
      </c>
      <c r="M369" s="25"/>
      <c r="N369" s="25"/>
      <c r="O369" s="26"/>
      <c r="P369" s="27"/>
      <c r="Q369" s="28"/>
      <c r="R369" s="28"/>
      <c r="S369" s="26"/>
    </row>
    <row r="370" customFormat="false" ht="15" hidden="false" customHeight="false" outlineLevel="0" collapsed="false">
      <c r="A370" s="7" t="n">
        <v>366</v>
      </c>
      <c r="B370" s="9" t="s">
        <v>17</v>
      </c>
      <c r="C370" s="22" t="s">
        <v>611</v>
      </c>
      <c r="D370" s="9" t="s">
        <v>1083</v>
      </c>
      <c r="E370" s="9" t="s">
        <v>48</v>
      </c>
      <c r="F370" s="9" t="s">
        <v>124</v>
      </c>
      <c r="G370" s="22" t="s">
        <v>5602</v>
      </c>
      <c r="H370" s="9" t="s">
        <v>4298</v>
      </c>
      <c r="I370" s="7"/>
      <c r="J370" s="23" t="s">
        <v>5603</v>
      </c>
      <c r="K370" s="24" t="s">
        <v>5604</v>
      </c>
      <c r="L370" s="22" t="s">
        <v>5605</v>
      </c>
      <c r="M370" s="25"/>
      <c r="N370" s="25"/>
      <c r="O370" s="26"/>
      <c r="P370" s="27"/>
      <c r="Q370" s="28"/>
      <c r="R370" s="28"/>
      <c r="S370" s="26"/>
    </row>
    <row r="371" customFormat="false" ht="15" hidden="false" customHeight="false" outlineLevel="0" collapsed="false">
      <c r="A371" s="7" t="n">
        <v>367</v>
      </c>
      <c r="B371" s="9" t="s">
        <v>17</v>
      </c>
      <c r="C371" s="22" t="s">
        <v>611</v>
      </c>
      <c r="D371" s="9" t="s">
        <v>1083</v>
      </c>
      <c r="E371" s="9" t="s">
        <v>48</v>
      </c>
      <c r="F371" s="9" t="s">
        <v>99</v>
      </c>
      <c r="G371" s="22" t="s">
        <v>5606</v>
      </c>
      <c r="H371" s="9" t="s">
        <v>4298</v>
      </c>
      <c r="I371" s="7"/>
      <c r="J371" s="23" t="s">
        <v>5607</v>
      </c>
      <c r="K371" s="24" t="s">
        <v>5608</v>
      </c>
      <c r="L371" s="22" t="s">
        <v>5609</v>
      </c>
      <c r="M371" s="25"/>
      <c r="N371" s="25"/>
      <c r="O371" s="26"/>
      <c r="P371" s="27"/>
      <c r="Q371" s="28"/>
      <c r="R371" s="28"/>
      <c r="S371" s="26"/>
    </row>
    <row r="372" customFormat="false" ht="15" hidden="false" customHeight="false" outlineLevel="0" collapsed="false">
      <c r="A372" s="7" t="n">
        <v>368</v>
      </c>
      <c r="B372" s="9" t="s">
        <v>17</v>
      </c>
      <c r="C372" s="22" t="s">
        <v>611</v>
      </c>
      <c r="D372" s="9" t="s">
        <v>1083</v>
      </c>
      <c r="E372" s="9" t="s">
        <v>48</v>
      </c>
      <c r="F372" s="9" t="s">
        <v>124</v>
      </c>
      <c r="G372" s="22" t="s">
        <v>5610</v>
      </c>
      <c r="H372" s="9" t="s">
        <v>4298</v>
      </c>
      <c r="I372" s="7"/>
      <c r="J372" s="23" t="s">
        <v>5611</v>
      </c>
      <c r="K372" s="24" t="s">
        <v>5612</v>
      </c>
      <c r="L372" s="22" t="s">
        <v>5354</v>
      </c>
      <c r="M372" s="25"/>
      <c r="N372" s="25"/>
      <c r="O372" s="26"/>
      <c r="P372" s="27"/>
      <c r="Q372" s="28"/>
      <c r="R372" s="28"/>
      <c r="S372" s="26"/>
    </row>
    <row r="373" customFormat="false" ht="15" hidden="false" customHeight="false" outlineLevel="0" collapsed="false">
      <c r="A373" s="7" t="n">
        <v>369</v>
      </c>
      <c r="B373" s="9" t="s">
        <v>17</v>
      </c>
      <c r="C373" s="22" t="s">
        <v>611</v>
      </c>
      <c r="D373" s="9" t="s">
        <v>1083</v>
      </c>
      <c r="E373" s="9" t="s">
        <v>48</v>
      </c>
      <c r="F373" s="9" t="s">
        <v>124</v>
      </c>
      <c r="G373" s="22" t="s">
        <v>5613</v>
      </c>
      <c r="H373" s="9" t="s">
        <v>4298</v>
      </c>
      <c r="I373" s="7"/>
      <c r="J373" s="23" t="s">
        <v>5614</v>
      </c>
      <c r="K373" s="24" t="s">
        <v>5615</v>
      </c>
      <c r="L373" s="22" t="s">
        <v>5358</v>
      </c>
      <c r="M373" s="25"/>
      <c r="N373" s="25"/>
      <c r="O373" s="26"/>
      <c r="P373" s="27"/>
      <c r="Q373" s="28"/>
      <c r="R373" s="28"/>
      <c r="S373" s="26"/>
    </row>
    <row r="374" customFormat="false" ht="15" hidden="false" customHeight="false" outlineLevel="0" collapsed="false">
      <c r="A374" s="7" t="n">
        <v>370</v>
      </c>
      <c r="B374" s="9" t="s">
        <v>17</v>
      </c>
      <c r="C374" s="22" t="s">
        <v>611</v>
      </c>
      <c r="D374" s="9" t="s">
        <v>526</v>
      </c>
      <c r="E374" s="9" t="s">
        <v>47</v>
      </c>
      <c r="F374" s="9" t="s">
        <v>124</v>
      </c>
      <c r="G374" s="22" t="s">
        <v>2768</v>
      </c>
      <c r="H374" s="9" t="s">
        <v>4298</v>
      </c>
      <c r="I374" s="7"/>
      <c r="J374" s="23" t="s">
        <v>5616</v>
      </c>
      <c r="K374" s="24" t="s">
        <v>5617</v>
      </c>
      <c r="L374" s="22" t="s">
        <v>5618</v>
      </c>
      <c r="M374" s="25"/>
      <c r="N374" s="25"/>
      <c r="O374" s="26"/>
      <c r="P374" s="27"/>
      <c r="Q374" s="28"/>
      <c r="R374" s="28"/>
      <c r="S374" s="26"/>
    </row>
    <row r="375" customFormat="false" ht="15" hidden="false" customHeight="false" outlineLevel="0" collapsed="false">
      <c r="A375" s="7" t="n">
        <v>371</v>
      </c>
      <c r="B375" s="9" t="s">
        <v>17</v>
      </c>
      <c r="C375" s="22" t="s">
        <v>611</v>
      </c>
      <c r="D375" s="9" t="s">
        <v>526</v>
      </c>
      <c r="E375" s="9" t="s">
        <v>47</v>
      </c>
      <c r="F375" s="9" t="s">
        <v>99</v>
      </c>
      <c r="G375" s="22" t="s">
        <v>5619</v>
      </c>
      <c r="H375" s="9" t="s">
        <v>4298</v>
      </c>
      <c r="I375" s="7"/>
      <c r="J375" s="23" t="s">
        <v>5620</v>
      </c>
      <c r="K375" s="24" t="s">
        <v>5621</v>
      </c>
      <c r="L375" s="22" t="s">
        <v>5622</v>
      </c>
      <c r="M375" s="25"/>
      <c r="N375" s="25"/>
      <c r="O375" s="26"/>
      <c r="P375" s="27"/>
      <c r="Q375" s="28"/>
      <c r="R375" s="28"/>
      <c r="S375" s="29" t="s">
        <v>5623</v>
      </c>
    </row>
    <row r="376" customFormat="false" ht="15" hidden="false" customHeight="false" outlineLevel="0" collapsed="false">
      <c r="A376" s="7" t="n">
        <v>372</v>
      </c>
      <c r="B376" s="9" t="s">
        <v>17</v>
      </c>
      <c r="C376" s="22" t="s">
        <v>611</v>
      </c>
      <c r="D376" s="9" t="s">
        <v>526</v>
      </c>
      <c r="E376" s="9" t="s">
        <v>47</v>
      </c>
      <c r="F376" s="9" t="s">
        <v>99</v>
      </c>
      <c r="G376" s="22" t="s">
        <v>5624</v>
      </c>
      <c r="H376" s="9" t="s">
        <v>4298</v>
      </c>
      <c r="I376" s="7"/>
      <c r="J376" s="23" t="s">
        <v>5625</v>
      </c>
      <c r="K376" s="24" t="s">
        <v>5626</v>
      </c>
      <c r="L376" s="22" t="s">
        <v>5627</v>
      </c>
      <c r="M376" s="25"/>
      <c r="N376" s="25"/>
      <c r="O376" s="26"/>
      <c r="P376" s="27"/>
      <c r="Q376" s="28"/>
      <c r="R376" s="28"/>
      <c r="S376" s="29" t="s">
        <v>5628</v>
      </c>
    </row>
    <row r="377" customFormat="false" ht="15" hidden="false" customHeight="false" outlineLevel="0" collapsed="false">
      <c r="A377" s="7" t="n">
        <v>373</v>
      </c>
      <c r="B377" s="9" t="s">
        <v>17</v>
      </c>
      <c r="C377" s="22" t="s">
        <v>611</v>
      </c>
      <c r="D377" s="9" t="s">
        <v>526</v>
      </c>
      <c r="E377" s="9" t="s">
        <v>47</v>
      </c>
      <c r="F377" s="9" t="s">
        <v>99</v>
      </c>
      <c r="G377" s="22" t="s">
        <v>5629</v>
      </c>
      <c r="H377" s="9" t="s">
        <v>4298</v>
      </c>
      <c r="I377" s="7"/>
      <c r="J377" s="23" t="s">
        <v>5630</v>
      </c>
      <c r="K377" s="24" t="s">
        <v>5631</v>
      </c>
      <c r="L377" s="22" t="s">
        <v>5632</v>
      </c>
      <c r="M377" s="25"/>
      <c r="N377" s="25"/>
      <c r="O377" s="26"/>
      <c r="P377" s="27"/>
      <c r="Q377" s="28"/>
      <c r="R377" s="28"/>
      <c r="S377" s="29" t="s">
        <v>5633</v>
      </c>
    </row>
    <row r="378" customFormat="false" ht="15" hidden="false" customHeight="false" outlineLevel="0" collapsed="false">
      <c r="A378" s="7" t="n">
        <v>374</v>
      </c>
      <c r="B378" s="9" t="s">
        <v>17</v>
      </c>
      <c r="C378" s="22" t="s">
        <v>725</v>
      </c>
      <c r="D378" s="9" t="s">
        <v>917</v>
      </c>
      <c r="E378" s="9" t="s">
        <v>47</v>
      </c>
      <c r="F378" s="9" t="s">
        <v>99</v>
      </c>
      <c r="G378" s="22" t="s">
        <v>5634</v>
      </c>
      <c r="H378" s="9" t="s">
        <v>4298</v>
      </c>
      <c r="I378" s="7"/>
      <c r="J378" s="23" t="s">
        <v>5635</v>
      </c>
      <c r="K378" s="24" t="s">
        <v>5636</v>
      </c>
      <c r="L378" s="22" t="s">
        <v>5637</v>
      </c>
      <c r="M378" s="25"/>
      <c r="N378" s="25"/>
      <c r="O378" s="26"/>
      <c r="P378" s="27"/>
      <c r="Q378" s="28"/>
      <c r="R378" s="28"/>
      <c r="S378" s="29" t="s">
        <v>5638</v>
      </c>
    </row>
    <row r="379" customFormat="false" ht="15" hidden="false" customHeight="false" outlineLevel="0" collapsed="false">
      <c r="A379" s="7" t="n">
        <v>375</v>
      </c>
      <c r="B379" s="9" t="s">
        <v>17</v>
      </c>
      <c r="C379" s="22" t="s">
        <v>725</v>
      </c>
      <c r="D379" s="9" t="s">
        <v>917</v>
      </c>
      <c r="E379" s="9" t="s">
        <v>47</v>
      </c>
      <c r="F379" s="9" t="s">
        <v>99</v>
      </c>
      <c r="G379" s="22" t="s">
        <v>5639</v>
      </c>
      <c r="H379" s="9" t="s">
        <v>4298</v>
      </c>
      <c r="I379" s="7"/>
      <c r="J379" s="23" t="s">
        <v>5640</v>
      </c>
      <c r="K379" s="24" t="s">
        <v>5641</v>
      </c>
      <c r="L379" s="22" t="s">
        <v>5642</v>
      </c>
      <c r="M379" s="25"/>
      <c r="N379" s="25"/>
      <c r="O379" s="26"/>
      <c r="P379" s="27"/>
      <c r="Q379" s="28"/>
      <c r="R379" s="28"/>
      <c r="S379" s="29" t="s">
        <v>5643</v>
      </c>
    </row>
    <row r="380" customFormat="false" ht="15" hidden="false" customHeight="false" outlineLevel="0" collapsed="false">
      <c r="A380" s="7" t="n">
        <v>376</v>
      </c>
      <c r="B380" s="9" t="s">
        <v>17</v>
      </c>
      <c r="C380" s="22" t="s">
        <v>725</v>
      </c>
      <c r="D380" s="9" t="s">
        <v>917</v>
      </c>
      <c r="E380" s="9" t="s">
        <v>47</v>
      </c>
      <c r="F380" s="9" t="s">
        <v>99</v>
      </c>
      <c r="G380" s="22" t="s">
        <v>5644</v>
      </c>
      <c r="H380" s="9" t="s">
        <v>4298</v>
      </c>
      <c r="I380" s="7"/>
      <c r="J380" s="23" t="s">
        <v>5645</v>
      </c>
      <c r="K380" s="24" t="s">
        <v>5646</v>
      </c>
      <c r="L380" s="22" t="s">
        <v>5647</v>
      </c>
      <c r="M380" s="25"/>
      <c r="N380" s="25"/>
      <c r="O380" s="26"/>
      <c r="P380" s="27"/>
      <c r="Q380" s="28"/>
      <c r="R380" s="28"/>
      <c r="S380" s="29" t="s">
        <v>5648</v>
      </c>
    </row>
    <row r="381" customFormat="false" ht="15" hidden="false" customHeight="false" outlineLevel="0" collapsed="false">
      <c r="A381" s="7" t="n">
        <v>377</v>
      </c>
      <c r="B381" s="9" t="s">
        <v>17</v>
      </c>
      <c r="C381" s="22" t="s">
        <v>725</v>
      </c>
      <c r="D381" s="9" t="s">
        <v>917</v>
      </c>
      <c r="E381" s="9" t="s">
        <v>47</v>
      </c>
      <c r="F381" s="9" t="s">
        <v>99</v>
      </c>
      <c r="G381" s="22" t="s">
        <v>5649</v>
      </c>
      <c r="H381" s="9" t="s">
        <v>4298</v>
      </c>
      <c r="I381" s="7"/>
      <c r="J381" s="23" t="s">
        <v>5650</v>
      </c>
      <c r="K381" s="24" t="s">
        <v>5651</v>
      </c>
      <c r="L381" s="22" t="s">
        <v>5652</v>
      </c>
      <c r="M381" s="25"/>
      <c r="N381" s="25"/>
      <c r="O381" s="26"/>
      <c r="P381" s="27"/>
      <c r="Q381" s="28"/>
      <c r="R381" s="28"/>
      <c r="S381" s="29" t="s">
        <v>5653</v>
      </c>
    </row>
    <row r="382" customFormat="false" ht="15" hidden="false" customHeight="false" outlineLevel="0" collapsed="false">
      <c r="A382" s="7" t="n">
        <v>378</v>
      </c>
      <c r="B382" s="9" t="s">
        <v>17</v>
      </c>
      <c r="C382" s="22" t="s">
        <v>725</v>
      </c>
      <c r="D382" s="9" t="s">
        <v>917</v>
      </c>
      <c r="E382" s="9" t="s">
        <v>47</v>
      </c>
      <c r="F382" s="9" t="s">
        <v>99</v>
      </c>
      <c r="G382" s="22" t="s">
        <v>5654</v>
      </c>
      <c r="H382" s="9" t="s">
        <v>4298</v>
      </c>
      <c r="I382" s="7"/>
      <c r="J382" s="23" t="s">
        <v>5655</v>
      </c>
      <c r="K382" s="24" t="s">
        <v>5656</v>
      </c>
      <c r="L382" s="22" t="s">
        <v>5657</v>
      </c>
      <c r="M382" s="25"/>
      <c r="N382" s="25"/>
      <c r="O382" s="26"/>
      <c r="P382" s="27"/>
      <c r="Q382" s="28"/>
      <c r="R382" s="28"/>
      <c r="S382" s="29" t="s">
        <v>5658</v>
      </c>
    </row>
    <row r="383" customFormat="false" ht="15" hidden="false" customHeight="false" outlineLevel="0" collapsed="false">
      <c r="A383" s="7" t="n">
        <v>379</v>
      </c>
      <c r="B383" s="9" t="s">
        <v>17</v>
      </c>
      <c r="C383" s="22" t="s">
        <v>725</v>
      </c>
      <c r="D383" s="9" t="s">
        <v>917</v>
      </c>
      <c r="E383" s="9" t="s">
        <v>47</v>
      </c>
      <c r="F383" s="9" t="s">
        <v>99</v>
      </c>
      <c r="G383" s="22" t="s">
        <v>5659</v>
      </c>
      <c r="H383" s="9" t="s">
        <v>4298</v>
      </c>
      <c r="I383" s="7"/>
      <c r="J383" s="23" t="s">
        <v>5660</v>
      </c>
      <c r="K383" s="24" t="s">
        <v>5661</v>
      </c>
      <c r="L383" s="22" t="s">
        <v>5662</v>
      </c>
      <c r="M383" s="25"/>
      <c r="N383" s="25"/>
      <c r="O383" s="26"/>
      <c r="P383" s="27"/>
      <c r="Q383" s="28"/>
      <c r="R383" s="28"/>
      <c r="S383" s="29" t="s">
        <v>5663</v>
      </c>
    </row>
    <row r="384" customFormat="false" ht="15" hidden="false" customHeight="false" outlineLevel="0" collapsed="false">
      <c r="A384" s="7" t="n">
        <v>380</v>
      </c>
      <c r="B384" s="9" t="s">
        <v>17</v>
      </c>
      <c r="C384" s="22" t="s">
        <v>725</v>
      </c>
      <c r="D384" s="9" t="s">
        <v>917</v>
      </c>
      <c r="E384" s="9" t="s">
        <v>47</v>
      </c>
      <c r="F384" s="9" t="s">
        <v>99</v>
      </c>
      <c r="G384" s="22" t="s">
        <v>5664</v>
      </c>
      <c r="H384" s="9" t="s">
        <v>4298</v>
      </c>
      <c r="I384" s="7"/>
      <c r="J384" s="23" t="s">
        <v>5665</v>
      </c>
      <c r="K384" s="24" t="s">
        <v>5666</v>
      </c>
      <c r="L384" s="22" t="s">
        <v>5667</v>
      </c>
      <c r="M384" s="25"/>
      <c r="N384" s="25"/>
      <c r="O384" s="26"/>
      <c r="P384" s="27"/>
      <c r="Q384" s="28"/>
      <c r="R384" s="28"/>
      <c r="S384" s="29" t="s">
        <v>5668</v>
      </c>
    </row>
    <row r="385" customFormat="false" ht="15" hidden="false" customHeight="false" outlineLevel="0" collapsed="false">
      <c r="A385" s="7" t="n">
        <v>381</v>
      </c>
      <c r="B385" s="9" t="s">
        <v>17</v>
      </c>
      <c r="C385" s="22" t="s">
        <v>725</v>
      </c>
      <c r="D385" s="9" t="s">
        <v>917</v>
      </c>
      <c r="E385" s="9" t="s">
        <v>48</v>
      </c>
      <c r="F385" s="9" t="s">
        <v>99</v>
      </c>
      <c r="G385" s="22" t="s">
        <v>5669</v>
      </c>
      <c r="H385" s="9" t="s">
        <v>4298</v>
      </c>
      <c r="I385" s="7"/>
      <c r="J385" s="23" t="s">
        <v>5670</v>
      </c>
      <c r="K385" s="24" t="s">
        <v>5671</v>
      </c>
      <c r="L385" s="22" t="s">
        <v>5672</v>
      </c>
      <c r="M385" s="25"/>
      <c r="N385" s="25"/>
      <c r="O385" s="26"/>
      <c r="P385" s="27"/>
      <c r="Q385" s="28"/>
      <c r="R385" s="28"/>
      <c r="S385" s="26"/>
    </row>
    <row r="386" customFormat="false" ht="15" hidden="false" customHeight="false" outlineLevel="0" collapsed="false">
      <c r="A386" s="7" t="n">
        <v>382</v>
      </c>
      <c r="B386" s="9" t="s">
        <v>17</v>
      </c>
      <c r="C386" s="22" t="s">
        <v>725</v>
      </c>
      <c r="D386" s="9" t="s">
        <v>917</v>
      </c>
      <c r="E386" s="9" t="s">
        <v>48</v>
      </c>
      <c r="F386" s="9" t="s">
        <v>99</v>
      </c>
      <c r="G386" s="22" t="s">
        <v>5673</v>
      </c>
      <c r="H386" s="9" t="s">
        <v>4298</v>
      </c>
      <c r="I386" s="7"/>
      <c r="J386" s="23" t="s">
        <v>5674</v>
      </c>
      <c r="K386" s="24" t="s">
        <v>5675</v>
      </c>
      <c r="L386" s="22" t="s">
        <v>5676</v>
      </c>
      <c r="M386" s="25"/>
      <c r="N386" s="25"/>
      <c r="O386" s="26"/>
      <c r="P386" s="27"/>
      <c r="Q386" s="28"/>
      <c r="R386" s="28"/>
      <c r="S386" s="26"/>
    </row>
    <row r="387" customFormat="false" ht="15" hidden="false" customHeight="false" outlineLevel="0" collapsed="false">
      <c r="A387" s="7" t="n">
        <v>383</v>
      </c>
      <c r="B387" s="9" t="s">
        <v>17</v>
      </c>
      <c r="C387" s="22" t="s">
        <v>725</v>
      </c>
      <c r="D387" s="9" t="s">
        <v>917</v>
      </c>
      <c r="E387" s="9" t="s">
        <v>48</v>
      </c>
      <c r="F387" s="9" t="s">
        <v>99</v>
      </c>
      <c r="G387" s="22" t="s">
        <v>1268</v>
      </c>
      <c r="H387" s="9" t="s">
        <v>4298</v>
      </c>
      <c r="I387" s="7" t="s">
        <v>869</v>
      </c>
      <c r="J387" s="23" t="s">
        <v>1269</v>
      </c>
      <c r="K387" s="24" t="s">
        <v>1270</v>
      </c>
      <c r="L387" s="22" t="s">
        <v>1271</v>
      </c>
      <c r="M387" s="25"/>
      <c r="N387" s="25"/>
      <c r="O387" s="26"/>
      <c r="P387" s="27"/>
      <c r="Q387" s="28"/>
      <c r="R387" s="28"/>
      <c r="S387" s="26"/>
    </row>
    <row r="388" customFormat="false" ht="15" hidden="false" customHeight="false" outlineLevel="0" collapsed="false">
      <c r="A388" s="7" t="n">
        <v>384</v>
      </c>
      <c r="B388" s="9" t="s">
        <v>17</v>
      </c>
      <c r="C388" s="22" t="s">
        <v>725</v>
      </c>
      <c r="D388" s="9" t="s">
        <v>917</v>
      </c>
      <c r="E388" s="9" t="s">
        <v>48</v>
      </c>
      <c r="F388" s="9" t="s">
        <v>124</v>
      </c>
      <c r="G388" s="22" t="s">
        <v>1272</v>
      </c>
      <c r="H388" s="9" t="s">
        <v>4298</v>
      </c>
      <c r="I388" s="7" t="s">
        <v>869</v>
      </c>
      <c r="J388" s="23" t="s">
        <v>1273</v>
      </c>
      <c r="K388" s="24" t="s">
        <v>1274</v>
      </c>
      <c r="L388" s="22" t="s">
        <v>1275</v>
      </c>
      <c r="M388" s="25"/>
      <c r="N388" s="25"/>
      <c r="O388" s="26"/>
      <c r="P388" s="27"/>
      <c r="Q388" s="28"/>
      <c r="R388" s="28"/>
      <c r="S388" s="26"/>
    </row>
    <row r="389" customFormat="false" ht="15" hidden="false" customHeight="false" outlineLevel="0" collapsed="false">
      <c r="A389" s="7" t="n">
        <v>385</v>
      </c>
      <c r="B389" s="9" t="s">
        <v>17</v>
      </c>
      <c r="C389" s="22" t="s">
        <v>725</v>
      </c>
      <c r="D389" s="9" t="s">
        <v>917</v>
      </c>
      <c r="E389" s="9" t="s">
        <v>48</v>
      </c>
      <c r="F389" s="9" t="s">
        <v>124</v>
      </c>
      <c r="G389" s="22" t="s">
        <v>5677</v>
      </c>
      <c r="H389" s="9" t="s">
        <v>4298</v>
      </c>
      <c r="I389" s="7"/>
      <c r="J389" s="23" t="s">
        <v>5678</v>
      </c>
      <c r="K389" s="24" t="s">
        <v>5679</v>
      </c>
      <c r="L389" s="22" t="s">
        <v>5680</v>
      </c>
      <c r="M389" s="25"/>
      <c r="N389" s="25"/>
      <c r="O389" s="26"/>
      <c r="P389" s="27"/>
      <c r="Q389" s="28"/>
      <c r="R389" s="28"/>
      <c r="S389" s="26"/>
    </row>
    <row r="390" customFormat="false" ht="15" hidden="false" customHeight="false" outlineLevel="0" collapsed="false">
      <c r="A390" s="7" t="n">
        <v>386</v>
      </c>
      <c r="B390" s="9" t="s">
        <v>17</v>
      </c>
      <c r="C390" s="22" t="s">
        <v>725</v>
      </c>
      <c r="D390" s="9" t="s">
        <v>917</v>
      </c>
      <c r="E390" s="9" t="s">
        <v>48</v>
      </c>
      <c r="F390" s="9" t="s">
        <v>99</v>
      </c>
      <c r="G390" s="22" t="s">
        <v>1276</v>
      </c>
      <c r="H390" s="9" t="s">
        <v>4298</v>
      </c>
      <c r="I390" s="7" t="s">
        <v>869</v>
      </c>
      <c r="J390" s="23" t="s">
        <v>1277</v>
      </c>
      <c r="K390" s="24" t="s">
        <v>1278</v>
      </c>
      <c r="L390" s="22" t="s">
        <v>1279</v>
      </c>
      <c r="M390" s="25"/>
      <c r="N390" s="25"/>
      <c r="O390" s="26"/>
      <c r="P390" s="27"/>
      <c r="Q390" s="28"/>
      <c r="R390" s="28"/>
      <c r="S390" s="26"/>
    </row>
    <row r="391" customFormat="false" ht="15" hidden="false" customHeight="false" outlineLevel="0" collapsed="false">
      <c r="A391" s="7" t="n">
        <v>387</v>
      </c>
      <c r="B391" s="9" t="s">
        <v>17</v>
      </c>
      <c r="C391" s="22" t="s">
        <v>725</v>
      </c>
      <c r="D391" s="9" t="s">
        <v>917</v>
      </c>
      <c r="E391" s="9" t="s">
        <v>48</v>
      </c>
      <c r="F391" s="9" t="s">
        <v>99</v>
      </c>
      <c r="G391" s="22" t="s">
        <v>5681</v>
      </c>
      <c r="H391" s="9" t="s">
        <v>4298</v>
      </c>
      <c r="I391" s="7"/>
      <c r="J391" s="23" t="s">
        <v>5682</v>
      </c>
      <c r="K391" s="24" t="s">
        <v>5683</v>
      </c>
      <c r="L391" s="22" t="s">
        <v>5684</v>
      </c>
      <c r="M391" s="25"/>
      <c r="N391" s="25"/>
      <c r="O391" s="26"/>
      <c r="P391" s="27"/>
      <c r="Q391" s="28"/>
      <c r="R391" s="28"/>
      <c r="S391" s="26"/>
    </row>
    <row r="392" customFormat="false" ht="15" hidden="false" customHeight="false" outlineLevel="0" collapsed="false">
      <c r="A392" s="7" t="n">
        <v>388</v>
      </c>
      <c r="B392" s="9" t="s">
        <v>17</v>
      </c>
      <c r="C392" s="22" t="s">
        <v>725</v>
      </c>
      <c r="D392" s="9" t="s">
        <v>1000</v>
      </c>
      <c r="E392" s="9" t="s">
        <v>47</v>
      </c>
      <c r="F392" s="9" t="s">
        <v>99</v>
      </c>
      <c r="G392" s="22" t="s">
        <v>5685</v>
      </c>
      <c r="H392" s="9" t="s">
        <v>4298</v>
      </c>
      <c r="I392" s="7"/>
      <c r="J392" s="23" t="s">
        <v>5686</v>
      </c>
      <c r="K392" s="24" t="s">
        <v>5687</v>
      </c>
      <c r="L392" s="22" t="s">
        <v>5688</v>
      </c>
      <c r="M392" s="25"/>
      <c r="N392" s="25"/>
      <c r="O392" s="26"/>
      <c r="P392" s="27"/>
      <c r="Q392" s="28"/>
      <c r="R392" s="28"/>
      <c r="S392" s="29" t="s">
        <v>5689</v>
      </c>
    </row>
    <row r="393" customFormat="false" ht="15" hidden="false" customHeight="false" outlineLevel="0" collapsed="false">
      <c r="A393" s="7" t="n">
        <v>389</v>
      </c>
      <c r="B393" s="9" t="s">
        <v>17</v>
      </c>
      <c r="C393" s="22" t="s">
        <v>725</v>
      </c>
      <c r="D393" s="9" t="s">
        <v>1000</v>
      </c>
      <c r="E393" s="9" t="s">
        <v>47</v>
      </c>
      <c r="F393" s="9" t="s">
        <v>99</v>
      </c>
      <c r="G393" s="22" t="s">
        <v>5690</v>
      </c>
      <c r="H393" s="9" t="s">
        <v>4298</v>
      </c>
      <c r="I393" s="7"/>
      <c r="J393" s="23" t="s">
        <v>5691</v>
      </c>
      <c r="K393" s="24" t="s">
        <v>5692</v>
      </c>
      <c r="L393" s="22" t="s">
        <v>5693</v>
      </c>
      <c r="M393" s="25"/>
      <c r="N393" s="25"/>
      <c r="O393" s="26"/>
      <c r="P393" s="27"/>
      <c r="Q393" s="28"/>
      <c r="R393" s="28"/>
      <c r="S393" s="29" t="s">
        <v>5694</v>
      </c>
    </row>
    <row r="394" customFormat="false" ht="15" hidden="false" customHeight="false" outlineLevel="0" collapsed="false">
      <c r="A394" s="7" t="n">
        <v>390</v>
      </c>
      <c r="B394" s="9" t="s">
        <v>17</v>
      </c>
      <c r="C394" s="22" t="s">
        <v>725</v>
      </c>
      <c r="D394" s="9" t="s">
        <v>1000</v>
      </c>
      <c r="E394" s="9" t="s">
        <v>48</v>
      </c>
      <c r="F394" s="9" t="s">
        <v>99</v>
      </c>
      <c r="G394" s="22" t="s">
        <v>5695</v>
      </c>
      <c r="H394" s="9" t="s">
        <v>4298</v>
      </c>
      <c r="I394" s="7"/>
      <c r="J394" s="23" t="s">
        <v>5696</v>
      </c>
      <c r="K394" s="24" t="s">
        <v>5697</v>
      </c>
      <c r="L394" s="22" t="s">
        <v>5698</v>
      </c>
      <c r="M394" s="25"/>
      <c r="N394" s="25"/>
      <c r="O394" s="26"/>
      <c r="P394" s="27"/>
      <c r="Q394" s="28"/>
      <c r="R394" s="28"/>
      <c r="S394" s="26"/>
    </row>
    <row r="395" customFormat="false" ht="15" hidden="false" customHeight="false" outlineLevel="0" collapsed="false">
      <c r="A395" s="7" t="n">
        <v>391</v>
      </c>
      <c r="B395" s="9" t="s">
        <v>17</v>
      </c>
      <c r="C395" s="22" t="s">
        <v>725</v>
      </c>
      <c r="D395" s="9" t="s">
        <v>1000</v>
      </c>
      <c r="E395" s="9" t="s">
        <v>48</v>
      </c>
      <c r="F395" s="9" t="s">
        <v>124</v>
      </c>
      <c r="G395" s="22" t="s">
        <v>1300</v>
      </c>
      <c r="H395" s="9" t="s">
        <v>4298</v>
      </c>
      <c r="I395" s="7" t="s">
        <v>869</v>
      </c>
      <c r="J395" s="23" t="s">
        <v>1301</v>
      </c>
      <c r="K395" s="24" t="s">
        <v>1302</v>
      </c>
      <c r="L395" s="22" t="s">
        <v>1303</v>
      </c>
      <c r="M395" s="25"/>
      <c r="N395" s="25"/>
      <c r="O395" s="26"/>
      <c r="P395" s="27"/>
      <c r="Q395" s="28"/>
      <c r="R395" s="28"/>
      <c r="S395" s="26"/>
    </row>
    <row r="396" customFormat="false" ht="15" hidden="false" customHeight="false" outlineLevel="0" collapsed="false">
      <c r="A396" s="7" t="n">
        <v>392</v>
      </c>
      <c r="B396" s="9" t="s">
        <v>17</v>
      </c>
      <c r="C396" s="22" t="s">
        <v>725</v>
      </c>
      <c r="D396" s="9" t="s">
        <v>1000</v>
      </c>
      <c r="E396" s="9" t="s">
        <v>48</v>
      </c>
      <c r="F396" s="9" t="s">
        <v>99</v>
      </c>
      <c r="G396" s="22" t="s">
        <v>5699</v>
      </c>
      <c r="H396" s="9" t="s">
        <v>4298</v>
      </c>
      <c r="I396" s="7"/>
      <c r="J396" s="23" t="s">
        <v>5700</v>
      </c>
      <c r="K396" s="24" t="s">
        <v>5701</v>
      </c>
      <c r="L396" s="22" t="s">
        <v>5702</v>
      </c>
      <c r="M396" s="25"/>
      <c r="N396" s="25"/>
      <c r="O396" s="26"/>
      <c r="P396" s="27"/>
      <c r="Q396" s="28"/>
      <c r="R396" s="28"/>
      <c r="S396" s="26"/>
    </row>
    <row r="397" customFormat="false" ht="15" hidden="false" customHeight="false" outlineLevel="0" collapsed="false">
      <c r="A397" s="7" t="n">
        <v>393</v>
      </c>
      <c r="B397" s="9" t="s">
        <v>17</v>
      </c>
      <c r="C397" s="22" t="s">
        <v>725</v>
      </c>
      <c r="D397" s="9" t="s">
        <v>1000</v>
      </c>
      <c r="E397" s="9" t="s">
        <v>48</v>
      </c>
      <c r="F397" s="9" t="s">
        <v>99</v>
      </c>
      <c r="G397" s="22" t="s">
        <v>5703</v>
      </c>
      <c r="H397" s="9" t="s">
        <v>4298</v>
      </c>
      <c r="I397" s="7"/>
      <c r="J397" s="23" t="s">
        <v>5704</v>
      </c>
      <c r="K397" s="24" t="s">
        <v>5705</v>
      </c>
      <c r="L397" s="22" t="s">
        <v>5706</v>
      </c>
      <c r="M397" s="25"/>
      <c r="N397" s="25"/>
      <c r="O397" s="26"/>
      <c r="P397" s="27"/>
      <c r="Q397" s="28"/>
      <c r="R397" s="28"/>
      <c r="S397" s="26"/>
    </row>
    <row r="398" customFormat="false" ht="15" hidden="false" customHeight="false" outlineLevel="0" collapsed="false">
      <c r="A398" s="7" t="n">
        <v>394</v>
      </c>
      <c r="B398" s="9" t="s">
        <v>19</v>
      </c>
      <c r="C398" s="22" t="s">
        <v>1304</v>
      </c>
      <c r="D398" s="9" t="s">
        <v>1305</v>
      </c>
      <c r="E398" s="9" t="s">
        <v>48</v>
      </c>
      <c r="F398" s="9" t="s">
        <v>99</v>
      </c>
      <c r="G398" s="22" t="s">
        <v>5707</v>
      </c>
      <c r="H398" s="9" t="s">
        <v>4298</v>
      </c>
      <c r="I398" s="7"/>
      <c r="J398" s="23" t="s">
        <v>5708</v>
      </c>
      <c r="K398" s="24" t="s">
        <v>5709</v>
      </c>
      <c r="L398" s="22" t="s">
        <v>5710</v>
      </c>
      <c r="M398" s="25"/>
      <c r="N398" s="25"/>
      <c r="O398" s="26"/>
      <c r="P398" s="27"/>
      <c r="Q398" s="28"/>
      <c r="R398" s="28"/>
      <c r="S398" s="26"/>
    </row>
    <row r="399" customFormat="false" ht="15" hidden="false" customHeight="false" outlineLevel="0" collapsed="false">
      <c r="A399" s="7" t="n">
        <v>395</v>
      </c>
      <c r="B399" s="9" t="s">
        <v>19</v>
      </c>
      <c r="C399" s="22" t="s">
        <v>300</v>
      </c>
      <c r="D399" s="9" t="s">
        <v>1326</v>
      </c>
      <c r="E399" s="9" t="s">
        <v>49</v>
      </c>
      <c r="F399" s="9" t="s">
        <v>99</v>
      </c>
      <c r="G399" s="22" t="s">
        <v>5711</v>
      </c>
      <c r="H399" s="9" t="s">
        <v>4298</v>
      </c>
      <c r="I399" s="7"/>
      <c r="J399" s="23" t="s">
        <v>5712</v>
      </c>
      <c r="K399" s="24" t="s">
        <v>5713</v>
      </c>
      <c r="L399" s="22" t="s">
        <v>5714</v>
      </c>
      <c r="M399" s="25"/>
      <c r="N399" s="25"/>
      <c r="O399" s="26"/>
      <c r="P399" s="27"/>
      <c r="Q399" s="28"/>
      <c r="R399" s="28"/>
      <c r="S399" s="26"/>
    </row>
    <row r="400" customFormat="false" ht="15" hidden="false" customHeight="false" outlineLevel="0" collapsed="false">
      <c r="A400" s="7" t="n">
        <v>396</v>
      </c>
      <c r="B400" s="9" t="s">
        <v>19</v>
      </c>
      <c r="C400" s="22" t="s">
        <v>300</v>
      </c>
      <c r="D400" s="9" t="s">
        <v>1326</v>
      </c>
      <c r="E400" s="9" t="s">
        <v>49</v>
      </c>
      <c r="F400" s="9" t="s">
        <v>99</v>
      </c>
      <c r="G400" s="22" t="s">
        <v>5715</v>
      </c>
      <c r="H400" s="9" t="s">
        <v>4298</v>
      </c>
      <c r="I400" s="7"/>
      <c r="J400" s="23" t="s">
        <v>5716</v>
      </c>
      <c r="K400" s="24" t="s">
        <v>5717</v>
      </c>
      <c r="L400" s="22" t="s">
        <v>5718</v>
      </c>
      <c r="M400" s="25"/>
      <c r="N400" s="25"/>
      <c r="O400" s="26"/>
      <c r="P400" s="27"/>
      <c r="Q400" s="28"/>
      <c r="R400" s="28"/>
      <c r="S400" s="26"/>
    </row>
    <row r="401" customFormat="false" ht="15" hidden="false" customHeight="false" outlineLevel="0" collapsed="false">
      <c r="A401" s="7" t="n">
        <v>397</v>
      </c>
      <c r="B401" s="9" t="s">
        <v>19</v>
      </c>
      <c r="C401" s="22" t="s">
        <v>300</v>
      </c>
      <c r="D401" s="9" t="s">
        <v>1335</v>
      </c>
      <c r="E401" s="9" t="s">
        <v>49</v>
      </c>
      <c r="F401" s="9" t="s">
        <v>99</v>
      </c>
      <c r="G401" s="22" t="s">
        <v>5719</v>
      </c>
      <c r="H401" s="9" t="s">
        <v>4298</v>
      </c>
      <c r="I401" s="7"/>
      <c r="J401" s="23" t="s">
        <v>5720</v>
      </c>
      <c r="K401" s="24" t="s">
        <v>5721</v>
      </c>
      <c r="L401" s="22" t="s">
        <v>5722</v>
      </c>
      <c r="M401" s="25"/>
      <c r="N401" s="25"/>
      <c r="O401" s="26"/>
      <c r="P401" s="27"/>
      <c r="Q401" s="28"/>
      <c r="R401" s="28"/>
      <c r="S401" s="26"/>
    </row>
    <row r="402" customFormat="false" ht="15" hidden="false" customHeight="false" outlineLevel="0" collapsed="false">
      <c r="A402" s="7" t="n">
        <v>398</v>
      </c>
      <c r="B402" s="9" t="s">
        <v>19</v>
      </c>
      <c r="C402" s="22" t="s">
        <v>300</v>
      </c>
      <c r="D402" s="9" t="s">
        <v>1344</v>
      </c>
      <c r="E402" s="9" t="s">
        <v>49</v>
      </c>
      <c r="F402" s="9" t="s">
        <v>124</v>
      </c>
      <c r="G402" s="22" t="s">
        <v>5723</v>
      </c>
      <c r="H402" s="9" t="s">
        <v>4298</v>
      </c>
      <c r="I402" s="7"/>
      <c r="J402" s="23" t="s">
        <v>5724</v>
      </c>
      <c r="K402" s="24" t="s">
        <v>5725</v>
      </c>
      <c r="L402" s="22" t="s">
        <v>5726</v>
      </c>
      <c r="M402" s="25"/>
      <c r="N402" s="25"/>
      <c r="O402" s="26"/>
      <c r="P402" s="27"/>
      <c r="Q402" s="28"/>
      <c r="R402" s="28"/>
      <c r="S402" s="26"/>
    </row>
    <row r="403" customFormat="false" ht="15" hidden="false" customHeight="false" outlineLevel="0" collapsed="false">
      <c r="A403" s="7" t="n">
        <v>399</v>
      </c>
      <c r="B403" s="9" t="s">
        <v>19</v>
      </c>
      <c r="C403" s="22" t="s">
        <v>300</v>
      </c>
      <c r="D403" s="9" t="s">
        <v>1344</v>
      </c>
      <c r="E403" s="9" t="s">
        <v>49</v>
      </c>
      <c r="F403" s="9" t="s">
        <v>99</v>
      </c>
      <c r="G403" s="22" t="s">
        <v>5727</v>
      </c>
      <c r="H403" s="9" t="s">
        <v>4298</v>
      </c>
      <c r="I403" s="7"/>
      <c r="J403" s="23" t="s">
        <v>5728</v>
      </c>
      <c r="K403" s="24" t="s">
        <v>5729</v>
      </c>
      <c r="L403" s="22" t="s">
        <v>5730</v>
      </c>
      <c r="M403" s="25"/>
      <c r="N403" s="25"/>
      <c r="O403" s="26"/>
      <c r="P403" s="27"/>
      <c r="Q403" s="28"/>
      <c r="R403" s="28"/>
      <c r="S403" s="26"/>
    </row>
    <row r="404" customFormat="false" ht="15" hidden="false" customHeight="false" outlineLevel="0" collapsed="false">
      <c r="A404" s="7" t="n">
        <v>400</v>
      </c>
      <c r="B404" s="9" t="s">
        <v>19</v>
      </c>
      <c r="C404" s="22" t="s">
        <v>300</v>
      </c>
      <c r="D404" s="9" t="s">
        <v>1344</v>
      </c>
      <c r="E404" s="9" t="s">
        <v>326</v>
      </c>
      <c r="F404" s="9" t="s">
        <v>99</v>
      </c>
      <c r="G404" s="22" t="s">
        <v>5731</v>
      </c>
      <c r="H404" s="9" t="s">
        <v>4298</v>
      </c>
      <c r="I404" s="7"/>
      <c r="J404" s="23" t="s">
        <v>5732</v>
      </c>
      <c r="K404" s="24" t="s">
        <v>5733</v>
      </c>
      <c r="L404" s="22" t="s">
        <v>5734</v>
      </c>
      <c r="M404" s="25"/>
      <c r="N404" s="25"/>
      <c r="O404" s="26"/>
      <c r="P404" s="27"/>
      <c r="Q404" s="28"/>
      <c r="R404" s="28"/>
      <c r="S404" s="26"/>
    </row>
    <row r="405" customFormat="false" ht="15" hidden="false" customHeight="false" outlineLevel="0" collapsed="false">
      <c r="A405" s="7" t="n">
        <v>401</v>
      </c>
      <c r="B405" s="9" t="s">
        <v>19</v>
      </c>
      <c r="C405" s="22" t="s">
        <v>300</v>
      </c>
      <c r="D405" s="9" t="s">
        <v>1365</v>
      </c>
      <c r="E405" s="9" t="s">
        <v>49</v>
      </c>
      <c r="F405" s="9" t="s">
        <v>99</v>
      </c>
      <c r="G405" s="22" t="s">
        <v>5735</v>
      </c>
      <c r="H405" s="9" t="s">
        <v>4298</v>
      </c>
      <c r="I405" s="7"/>
      <c r="J405" s="23" t="s">
        <v>5736</v>
      </c>
      <c r="K405" s="24" t="s">
        <v>5737</v>
      </c>
      <c r="L405" s="22" t="s">
        <v>5738</v>
      </c>
      <c r="M405" s="25"/>
      <c r="N405" s="25"/>
      <c r="O405" s="26"/>
      <c r="P405" s="27"/>
      <c r="Q405" s="28"/>
      <c r="R405" s="28"/>
      <c r="S405" s="26"/>
    </row>
    <row r="406" customFormat="false" ht="15" hidden="false" customHeight="false" outlineLevel="0" collapsed="false">
      <c r="A406" s="7" t="n">
        <v>402</v>
      </c>
      <c r="B406" s="9" t="s">
        <v>19</v>
      </c>
      <c r="C406" s="22" t="s">
        <v>300</v>
      </c>
      <c r="D406" s="9" t="s">
        <v>1365</v>
      </c>
      <c r="E406" s="9" t="s">
        <v>49</v>
      </c>
      <c r="F406" s="9" t="s">
        <v>124</v>
      </c>
      <c r="G406" s="22" t="s">
        <v>5739</v>
      </c>
      <c r="H406" s="9" t="s">
        <v>4298</v>
      </c>
      <c r="I406" s="7"/>
      <c r="J406" s="23" t="s">
        <v>5740</v>
      </c>
      <c r="K406" s="24" t="s">
        <v>5741</v>
      </c>
      <c r="L406" s="22" t="s">
        <v>1494</v>
      </c>
      <c r="M406" s="25"/>
      <c r="N406" s="25"/>
      <c r="O406" s="26"/>
      <c r="P406" s="27"/>
      <c r="Q406" s="28"/>
      <c r="R406" s="28"/>
      <c r="S406" s="26"/>
    </row>
    <row r="407" customFormat="false" ht="15" hidden="false" customHeight="false" outlineLevel="0" collapsed="false">
      <c r="A407" s="7" t="n">
        <v>403</v>
      </c>
      <c r="B407" s="9" t="s">
        <v>19</v>
      </c>
      <c r="C407" s="22" t="s">
        <v>300</v>
      </c>
      <c r="D407" s="9" t="s">
        <v>1365</v>
      </c>
      <c r="E407" s="9" t="s">
        <v>49</v>
      </c>
      <c r="F407" s="9" t="s">
        <v>99</v>
      </c>
      <c r="G407" s="22" t="s">
        <v>5742</v>
      </c>
      <c r="H407" s="9" t="s">
        <v>4298</v>
      </c>
      <c r="I407" s="7"/>
      <c r="J407" s="23" t="s">
        <v>5743</v>
      </c>
      <c r="K407" s="24" t="s">
        <v>5744</v>
      </c>
      <c r="L407" s="22" t="s">
        <v>5745</v>
      </c>
      <c r="M407" s="25"/>
      <c r="N407" s="25"/>
      <c r="O407" s="26"/>
      <c r="P407" s="27"/>
      <c r="Q407" s="28"/>
      <c r="R407" s="28"/>
      <c r="S407" s="26"/>
    </row>
    <row r="408" customFormat="false" ht="15" hidden="false" customHeight="false" outlineLevel="0" collapsed="false">
      <c r="A408" s="7" t="n">
        <v>404</v>
      </c>
      <c r="B408" s="9" t="s">
        <v>19</v>
      </c>
      <c r="C408" s="22" t="s">
        <v>300</v>
      </c>
      <c r="D408" s="9" t="s">
        <v>1374</v>
      </c>
      <c r="E408" s="9" t="s">
        <v>49</v>
      </c>
      <c r="F408" s="9" t="s">
        <v>99</v>
      </c>
      <c r="G408" s="22" t="s">
        <v>5746</v>
      </c>
      <c r="H408" s="9" t="s">
        <v>4298</v>
      </c>
      <c r="I408" s="7"/>
      <c r="J408" s="23" t="s">
        <v>5747</v>
      </c>
      <c r="K408" s="24" t="s">
        <v>5748</v>
      </c>
      <c r="L408" s="22" t="s">
        <v>5749</v>
      </c>
      <c r="M408" s="25"/>
      <c r="N408" s="25"/>
      <c r="O408" s="26"/>
      <c r="P408" s="27"/>
      <c r="Q408" s="28"/>
      <c r="R408" s="28"/>
      <c r="S408" s="26"/>
    </row>
    <row r="409" customFormat="false" ht="15" hidden="false" customHeight="false" outlineLevel="0" collapsed="false">
      <c r="A409" s="7" t="n">
        <v>405</v>
      </c>
      <c r="B409" s="9" t="s">
        <v>19</v>
      </c>
      <c r="C409" s="22" t="s">
        <v>300</v>
      </c>
      <c r="D409" s="9" t="s">
        <v>1374</v>
      </c>
      <c r="E409" s="9" t="s">
        <v>49</v>
      </c>
      <c r="F409" s="9" t="s">
        <v>99</v>
      </c>
      <c r="G409" s="22" t="s">
        <v>1395</v>
      </c>
      <c r="H409" s="9" t="s">
        <v>5750</v>
      </c>
      <c r="I409" s="7" t="s">
        <v>869</v>
      </c>
      <c r="J409" s="23" t="s">
        <v>1396</v>
      </c>
      <c r="K409" s="24" t="s">
        <v>1397</v>
      </c>
      <c r="L409" s="22" t="s">
        <v>1398</v>
      </c>
      <c r="M409" s="25"/>
      <c r="N409" s="25"/>
      <c r="O409" s="26"/>
      <c r="P409" s="27"/>
      <c r="Q409" s="28"/>
      <c r="R409" s="28"/>
      <c r="S409" s="26"/>
    </row>
    <row r="410" customFormat="false" ht="15" hidden="false" customHeight="false" outlineLevel="0" collapsed="false">
      <c r="A410" s="7" t="n">
        <v>406</v>
      </c>
      <c r="B410" s="9" t="s">
        <v>19</v>
      </c>
      <c r="C410" s="22" t="s">
        <v>300</v>
      </c>
      <c r="D410" s="9" t="s">
        <v>1403</v>
      </c>
      <c r="E410" s="9" t="s">
        <v>49</v>
      </c>
      <c r="F410" s="9" t="s">
        <v>124</v>
      </c>
      <c r="G410" s="22" t="s">
        <v>5751</v>
      </c>
      <c r="H410" s="9" t="s">
        <v>4298</v>
      </c>
      <c r="I410" s="7"/>
      <c r="J410" s="23" t="s">
        <v>5752</v>
      </c>
      <c r="K410" s="24" t="s">
        <v>5753</v>
      </c>
      <c r="L410" s="22" t="s">
        <v>5754</v>
      </c>
      <c r="M410" s="25"/>
      <c r="N410" s="25"/>
      <c r="O410" s="26"/>
      <c r="P410" s="27"/>
      <c r="Q410" s="28"/>
      <c r="R410" s="28"/>
      <c r="S410" s="26"/>
    </row>
    <row r="411" customFormat="false" ht="15" hidden="false" customHeight="false" outlineLevel="0" collapsed="false">
      <c r="A411" s="7" t="n">
        <v>407</v>
      </c>
      <c r="B411" s="9" t="s">
        <v>19</v>
      </c>
      <c r="C411" s="22" t="s">
        <v>300</v>
      </c>
      <c r="D411" s="9" t="s">
        <v>1403</v>
      </c>
      <c r="E411" s="9" t="s">
        <v>49</v>
      </c>
      <c r="F411" s="9" t="s">
        <v>99</v>
      </c>
      <c r="G411" s="22" t="s">
        <v>5755</v>
      </c>
      <c r="H411" s="9" t="s">
        <v>4298</v>
      </c>
      <c r="I411" s="7"/>
      <c r="J411" s="23" t="s">
        <v>5756</v>
      </c>
      <c r="K411" s="24" t="s">
        <v>5757</v>
      </c>
      <c r="L411" s="22" t="s">
        <v>5758</v>
      </c>
      <c r="M411" s="25"/>
      <c r="N411" s="25"/>
      <c r="O411" s="26"/>
      <c r="P411" s="27"/>
      <c r="Q411" s="28"/>
      <c r="R411" s="28"/>
      <c r="S411" s="26"/>
    </row>
    <row r="412" customFormat="false" ht="15" hidden="false" customHeight="false" outlineLevel="0" collapsed="false">
      <c r="A412" s="7" t="n">
        <v>408</v>
      </c>
      <c r="B412" s="9" t="s">
        <v>19</v>
      </c>
      <c r="C412" s="22" t="s">
        <v>300</v>
      </c>
      <c r="D412" s="9" t="s">
        <v>1428</v>
      </c>
      <c r="E412" s="9" t="s">
        <v>49</v>
      </c>
      <c r="F412" s="9" t="s">
        <v>99</v>
      </c>
      <c r="G412" s="22" t="s">
        <v>5759</v>
      </c>
      <c r="H412" s="9" t="s">
        <v>4298</v>
      </c>
      <c r="I412" s="7"/>
      <c r="J412" s="23" t="s">
        <v>5760</v>
      </c>
      <c r="K412" s="24" t="s">
        <v>5761</v>
      </c>
      <c r="L412" s="22" t="s">
        <v>5762</v>
      </c>
      <c r="M412" s="25"/>
      <c r="N412" s="25"/>
      <c r="O412" s="26"/>
      <c r="P412" s="27"/>
      <c r="Q412" s="28"/>
      <c r="R412" s="28"/>
      <c r="S412" s="26"/>
    </row>
    <row r="413" customFormat="false" ht="15" hidden="false" customHeight="false" outlineLevel="0" collapsed="false">
      <c r="A413" s="7" t="n">
        <v>409</v>
      </c>
      <c r="B413" s="9" t="s">
        <v>19</v>
      </c>
      <c r="C413" s="22" t="s">
        <v>300</v>
      </c>
      <c r="D413" s="9" t="s">
        <v>1428</v>
      </c>
      <c r="E413" s="9" t="s">
        <v>49</v>
      </c>
      <c r="F413" s="9" t="s">
        <v>99</v>
      </c>
      <c r="G413" s="22" t="s">
        <v>5763</v>
      </c>
      <c r="H413" s="9" t="s">
        <v>4298</v>
      </c>
      <c r="I413" s="7"/>
      <c r="J413" s="23" t="s">
        <v>5764</v>
      </c>
      <c r="K413" s="24" t="s">
        <v>5765</v>
      </c>
      <c r="L413" s="22" t="s">
        <v>5766</v>
      </c>
      <c r="M413" s="25"/>
      <c r="N413" s="25"/>
      <c r="O413" s="26"/>
      <c r="P413" s="27"/>
      <c r="Q413" s="28"/>
      <c r="R413" s="28"/>
      <c r="S413" s="26"/>
    </row>
    <row r="414" customFormat="false" ht="15" hidden="false" customHeight="false" outlineLevel="0" collapsed="false">
      <c r="A414" s="7" t="n">
        <v>410</v>
      </c>
      <c r="B414" s="9" t="s">
        <v>19</v>
      </c>
      <c r="C414" s="22" t="s">
        <v>300</v>
      </c>
      <c r="D414" s="9" t="s">
        <v>1428</v>
      </c>
      <c r="E414" s="9" t="s">
        <v>49</v>
      </c>
      <c r="F414" s="9" t="s">
        <v>99</v>
      </c>
      <c r="G414" s="22" t="s">
        <v>5767</v>
      </c>
      <c r="H414" s="9" t="s">
        <v>4298</v>
      </c>
      <c r="I414" s="7"/>
      <c r="J414" s="23" t="s">
        <v>5768</v>
      </c>
      <c r="K414" s="24" t="s">
        <v>5769</v>
      </c>
      <c r="L414" s="22" t="s">
        <v>5770</v>
      </c>
      <c r="M414" s="25"/>
      <c r="N414" s="25"/>
      <c r="O414" s="26"/>
      <c r="P414" s="27"/>
      <c r="Q414" s="28"/>
      <c r="R414" s="28"/>
      <c r="S414" s="26"/>
    </row>
    <row r="415" customFormat="false" ht="15" hidden="false" customHeight="false" outlineLevel="0" collapsed="false">
      <c r="A415" s="7" t="n">
        <v>411</v>
      </c>
      <c r="B415" s="9" t="s">
        <v>19</v>
      </c>
      <c r="C415" s="22" t="s">
        <v>300</v>
      </c>
      <c r="D415" s="9" t="s">
        <v>1428</v>
      </c>
      <c r="E415" s="9" t="s">
        <v>49</v>
      </c>
      <c r="F415" s="9" t="s">
        <v>124</v>
      </c>
      <c r="G415" s="22" t="s">
        <v>5771</v>
      </c>
      <c r="H415" s="9" t="s">
        <v>4298</v>
      </c>
      <c r="I415" s="7"/>
      <c r="J415" s="23" t="s">
        <v>5772</v>
      </c>
      <c r="K415" s="24" t="s">
        <v>5773</v>
      </c>
      <c r="L415" s="22" t="s">
        <v>5774</v>
      </c>
      <c r="M415" s="25"/>
      <c r="N415" s="25"/>
      <c r="O415" s="26"/>
      <c r="P415" s="27"/>
      <c r="Q415" s="28"/>
      <c r="R415" s="28"/>
      <c r="S415" s="26"/>
    </row>
    <row r="416" customFormat="false" ht="15" hidden="false" customHeight="false" outlineLevel="0" collapsed="false">
      <c r="A416" s="7" t="n">
        <v>412</v>
      </c>
      <c r="B416" s="9" t="s">
        <v>19</v>
      </c>
      <c r="C416" s="22" t="s">
        <v>300</v>
      </c>
      <c r="D416" s="9" t="s">
        <v>1428</v>
      </c>
      <c r="E416" s="9" t="s">
        <v>49</v>
      </c>
      <c r="F416" s="9" t="s">
        <v>99</v>
      </c>
      <c r="G416" s="22" t="s">
        <v>5775</v>
      </c>
      <c r="H416" s="9" t="s">
        <v>4298</v>
      </c>
      <c r="I416" s="7"/>
      <c r="J416" s="23" t="s">
        <v>5776</v>
      </c>
      <c r="K416" s="24" t="s">
        <v>5777</v>
      </c>
      <c r="L416" s="22" t="s">
        <v>5778</v>
      </c>
      <c r="M416" s="25"/>
      <c r="N416" s="25"/>
      <c r="O416" s="26"/>
      <c r="P416" s="27"/>
      <c r="Q416" s="28"/>
      <c r="R416" s="28"/>
      <c r="S416" s="26"/>
    </row>
    <row r="417" customFormat="false" ht="15" hidden="false" customHeight="false" outlineLevel="0" collapsed="false">
      <c r="A417" s="7" t="n">
        <v>413</v>
      </c>
      <c r="B417" s="9" t="s">
        <v>19</v>
      </c>
      <c r="C417" s="22" t="s">
        <v>300</v>
      </c>
      <c r="D417" s="9" t="s">
        <v>1428</v>
      </c>
      <c r="E417" s="9" t="s">
        <v>49</v>
      </c>
      <c r="F417" s="9" t="s">
        <v>99</v>
      </c>
      <c r="G417" s="22" t="s">
        <v>5779</v>
      </c>
      <c r="H417" s="9" t="s">
        <v>4298</v>
      </c>
      <c r="I417" s="7"/>
      <c r="J417" s="23" t="s">
        <v>5780</v>
      </c>
      <c r="K417" s="24" t="s">
        <v>5781</v>
      </c>
      <c r="L417" s="22" t="s">
        <v>5782</v>
      </c>
      <c r="M417" s="25"/>
      <c r="N417" s="25"/>
      <c r="O417" s="26"/>
      <c r="P417" s="27"/>
      <c r="Q417" s="28"/>
      <c r="R417" s="28"/>
      <c r="S417" s="26"/>
    </row>
    <row r="418" customFormat="false" ht="15" hidden="false" customHeight="false" outlineLevel="0" collapsed="false">
      <c r="A418" s="7" t="n">
        <v>414</v>
      </c>
      <c r="B418" s="9" t="s">
        <v>19</v>
      </c>
      <c r="C418" s="22" t="s">
        <v>300</v>
      </c>
      <c r="D418" s="9" t="s">
        <v>1428</v>
      </c>
      <c r="E418" s="9" t="s">
        <v>49</v>
      </c>
      <c r="F418" s="9" t="s">
        <v>99</v>
      </c>
      <c r="G418" s="22" t="s">
        <v>5783</v>
      </c>
      <c r="H418" s="9" t="s">
        <v>4298</v>
      </c>
      <c r="I418" s="7"/>
      <c r="J418" s="23" t="s">
        <v>5784</v>
      </c>
      <c r="K418" s="24" t="s">
        <v>5785</v>
      </c>
      <c r="L418" s="22" t="s">
        <v>5786</v>
      </c>
      <c r="M418" s="25"/>
      <c r="N418" s="25"/>
      <c r="O418" s="26"/>
      <c r="P418" s="27"/>
      <c r="Q418" s="28"/>
      <c r="R418" s="28"/>
      <c r="S418" s="26"/>
    </row>
    <row r="419" customFormat="false" ht="15" hidden="false" customHeight="false" outlineLevel="0" collapsed="false">
      <c r="A419" s="7" t="n">
        <v>415</v>
      </c>
      <c r="B419" s="9" t="s">
        <v>19</v>
      </c>
      <c r="C419" s="22" t="s">
        <v>300</v>
      </c>
      <c r="D419" s="9" t="s">
        <v>1428</v>
      </c>
      <c r="E419" s="9" t="s">
        <v>326</v>
      </c>
      <c r="F419" s="9" t="s">
        <v>99</v>
      </c>
      <c r="G419" s="22" t="s">
        <v>5787</v>
      </c>
      <c r="H419" s="9" t="s">
        <v>4298</v>
      </c>
      <c r="I419" s="7"/>
      <c r="J419" s="23" t="s">
        <v>5788</v>
      </c>
      <c r="K419" s="24" t="s">
        <v>5789</v>
      </c>
      <c r="L419" s="22" t="s">
        <v>5790</v>
      </c>
      <c r="M419" s="25"/>
      <c r="N419" s="25"/>
      <c r="O419" s="26"/>
      <c r="P419" s="27"/>
      <c r="Q419" s="28"/>
      <c r="R419" s="28"/>
      <c r="S419" s="26"/>
    </row>
    <row r="420" customFormat="false" ht="15" hidden="false" customHeight="false" outlineLevel="0" collapsed="false">
      <c r="A420" s="7" t="n">
        <v>416</v>
      </c>
      <c r="B420" s="9" t="s">
        <v>19</v>
      </c>
      <c r="C420" s="22" t="s">
        <v>300</v>
      </c>
      <c r="D420" s="9" t="s">
        <v>1458</v>
      </c>
      <c r="E420" s="9" t="s">
        <v>49</v>
      </c>
      <c r="F420" s="9" t="s">
        <v>124</v>
      </c>
      <c r="G420" s="22" t="s">
        <v>5791</v>
      </c>
      <c r="H420" s="9" t="s">
        <v>4298</v>
      </c>
      <c r="I420" s="7"/>
      <c r="J420" s="23" t="s">
        <v>5792</v>
      </c>
      <c r="K420" s="24" t="s">
        <v>5793</v>
      </c>
      <c r="L420" s="22" t="s">
        <v>1527</v>
      </c>
      <c r="M420" s="25"/>
      <c r="N420" s="25"/>
      <c r="O420" s="26"/>
      <c r="P420" s="27"/>
      <c r="Q420" s="28"/>
      <c r="R420" s="28"/>
      <c r="S420" s="26"/>
    </row>
    <row r="421" customFormat="false" ht="15" hidden="false" customHeight="false" outlineLevel="0" collapsed="false">
      <c r="A421" s="7" t="n">
        <v>417</v>
      </c>
      <c r="B421" s="9" t="s">
        <v>19</v>
      </c>
      <c r="C421" s="22" t="s">
        <v>300</v>
      </c>
      <c r="D421" s="9" t="s">
        <v>1458</v>
      </c>
      <c r="E421" s="9" t="s">
        <v>49</v>
      </c>
      <c r="F421" s="9" t="s">
        <v>124</v>
      </c>
      <c r="G421" s="22" t="s">
        <v>5794</v>
      </c>
      <c r="H421" s="9" t="s">
        <v>4298</v>
      </c>
      <c r="I421" s="7"/>
      <c r="J421" s="23" t="s">
        <v>5795</v>
      </c>
      <c r="K421" s="24" t="s">
        <v>5796</v>
      </c>
      <c r="L421" s="22" t="s">
        <v>5797</v>
      </c>
      <c r="M421" s="25"/>
      <c r="N421" s="25"/>
      <c r="O421" s="26"/>
      <c r="P421" s="27"/>
      <c r="Q421" s="28"/>
      <c r="R421" s="28"/>
      <c r="S421" s="26"/>
    </row>
    <row r="422" customFormat="false" ht="15" hidden="false" customHeight="false" outlineLevel="0" collapsed="false">
      <c r="A422" s="7" t="n">
        <v>418</v>
      </c>
      <c r="B422" s="9" t="s">
        <v>19</v>
      </c>
      <c r="C422" s="22" t="s">
        <v>300</v>
      </c>
      <c r="D422" s="9" t="s">
        <v>1458</v>
      </c>
      <c r="E422" s="9" t="s">
        <v>49</v>
      </c>
      <c r="F422" s="9" t="s">
        <v>124</v>
      </c>
      <c r="G422" s="22" t="s">
        <v>5798</v>
      </c>
      <c r="H422" s="9" t="s">
        <v>4298</v>
      </c>
      <c r="I422" s="7"/>
      <c r="J422" s="23" t="s">
        <v>5799</v>
      </c>
      <c r="K422" s="24" t="s">
        <v>5800</v>
      </c>
      <c r="L422" s="22" t="s">
        <v>5801</v>
      </c>
      <c r="M422" s="25"/>
      <c r="N422" s="25"/>
      <c r="O422" s="26"/>
      <c r="P422" s="27"/>
      <c r="Q422" s="28"/>
      <c r="R422" s="28"/>
      <c r="S422" s="26"/>
    </row>
    <row r="423" customFormat="false" ht="15" hidden="false" customHeight="false" outlineLevel="0" collapsed="false">
      <c r="A423" s="7" t="n">
        <v>419</v>
      </c>
      <c r="B423" s="9" t="s">
        <v>19</v>
      </c>
      <c r="C423" s="22" t="s">
        <v>300</v>
      </c>
      <c r="D423" s="9" t="s">
        <v>1458</v>
      </c>
      <c r="E423" s="9" t="s">
        <v>49</v>
      </c>
      <c r="F423" s="9" t="s">
        <v>124</v>
      </c>
      <c r="G423" s="22" t="s">
        <v>5802</v>
      </c>
      <c r="H423" s="9" t="s">
        <v>4298</v>
      </c>
      <c r="I423" s="7"/>
      <c r="J423" s="23" t="s">
        <v>5803</v>
      </c>
      <c r="K423" s="24" t="s">
        <v>5804</v>
      </c>
      <c r="L423" s="22" t="s">
        <v>5805</v>
      </c>
      <c r="M423" s="25"/>
      <c r="N423" s="25"/>
      <c r="O423" s="26"/>
      <c r="P423" s="27"/>
      <c r="Q423" s="28"/>
      <c r="R423" s="28"/>
      <c r="S423" s="29" t="s">
        <v>5806</v>
      </c>
    </row>
    <row r="424" customFormat="false" ht="15" hidden="false" customHeight="false" outlineLevel="0" collapsed="false">
      <c r="A424" s="7" t="n">
        <v>420</v>
      </c>
      <c r="B424" s="9" t="s">
        <v>19</v>
      </c>
      <c r="C424" s="22" t="s">
        <v>562</v>
      </c>
      <c r="D424" s="9" t="s">
        <v>1365</v>
      </c>
      <c r="E424" s="9" t="s">
        <v>47</v>
      </c>
      <c r="F424" s="9" t="s">
        <v>99</v>
      </c>
      <c r="G424" s="22" t="s">
        <v>5807</v>
      </c>
      <c r="H424" s="9" t="s">
        <v>4298</v>
      </c>
      <c r="I424" s="7"/>
      <c r="J424" s="23" t="s">
        <v>5808</v>
      </c>
      <c r="K424" s="24" t="s">
        <v>5809</v>
      </c>
      <c r="L424" s="22" t="s">
        <v>5810</v>
      </c>
      <c r="M424" s="25"/>
      <c r="N424" s="25"/>
      <c r="O424" s="26"/>
      <c r="P424" s="27"/>
      <c r="Q424" s="28"/>
      <c r="R424" s="28"/>
      <c r="S424" s="26"/>
    </row>
    <row r="425" customFormat="false" ht="15" hidden="false" customHeight="false" outlineLevel="0" collapsed="false">
      <c r="A425" s="7" t="n">
        <v>421</v>
      </c>
      <c r="B425" s="9" t="s">
        <v>19</v>
      </c>
      <c r="C425" s="22" t="s">
        <v>562</v>
      </c>
      <c r="D425" s="9" t="s">
        <v>1365</v>
      </c>
      <c r="E425" s="9" t="s">
        <v>47</v>
      </c>
      <c r="F425" s="9" t="s">
        <v>99</v>
      </c>
      <c r="G425" s="22" t="s">
        <v>5811</v>
      </c>
      <c r="H425" s="9" t="s">
        <v>4298</v>
      </c>
      <c r="I425" s="7"/>
      <c r="J425" s="23" t="s">
        <v>5812</v>
      </c>
      <c r="K425" s="24" t="s">
        <v>5813</v>
      </c>
      <c r="L425" s="22" t="s">
        <v>5814</v>
      </c>
      <c r="M425" s="25"/>
      <c r="N425" s="25"/>
      <c r="O425" s="26"/>
      <c r="P425" s="27"/>
      <c r="Q425" s="28"/>
      <c r="R425" s="28"/>
      <c r="S425" s="26"/>
    </row>
    <row r="426" customFormat="false" ht="15" hidden="false" customHeight="false" outlineLevel="0" collapsed="false">
      <c r="A426" s="7" t="n">
        <v>422</v>
      </c>
      <c r="B426" s="9" t="s">
        <v>19</v>
      </c>
      <c r="C426" s="22" t="s">
        <v>562</v>
      </c>
      <c r="D426" s="9" t="s">
        <v>1365</v>
      </c>
      <c r="E426" s="9" t="s">
        <v>48</v>
      </c>
      <c r="F426" s="9" t="s">
        <v>99</v>
      </c>
      <c r="G426" s="22" t="s">
        <v>5815</v>
      </c>
      <c r="H426" s="9" t="s">
        <v>4298</v>
      </c>
      <c r="I426" s="7"/>
      <c r="J426" s="23" t="s">
        <v>5816</v>
      </c>
      <c r="K426" s="24" t="s">
        <v>5817</v>
      </c>
      <c r="L426" s="22" t="s">
        <v>5818</v>
      </c>
      <c r="M426" s="25"/>
      <c r="N426" s="25"/>
      <c r="O426" s="26"/>
      <c r="P426" s="27"/>
      <c r="Q426" s="28"/>
      <c r="R426" s="28"/>
      <c r="S426" s="26"/>
    </row>
    <row r="427" customFormat="false" ht="15" hidden="false" customHeight="false" outlineLevel="0" collapsed="false">
      <c r="A427" s="7" t="n">
        <v>423</v>
      </c>
      <c r="B427" s="9" t="s">
        <v>19</v>
      </c>
      <c r="C427" s="22" t="s">
        <v>562</v>
      </c>
      <c r="D427" s="9" t="s">
        <v>1365</v>
      </c>
      <c r="E427" s="9" t="s">
        <v>48</v>
      </c>
      <c r="F427" s="9" t="s">
        <v>99</v>
      </c>
      <c r="G427" s="22" t="s">
        <v>5110</v>
      </c>
      <c r="H427" s="9" t="s">
        <v>4298</v>
      </c>
      <c r="I427" s="7"/>
      <c r="J427" s="23" t="s">
        <v>5819</v>
      </c>
      <c r="K427" s="24" t="s">
        <v>5820</v>
      </c>
      <c r="L427" s="22" t="s">
        <v>5745</v>
      </c>
      <c r="M427" s="25"/>
      <c r="N427" s="25"/>
      <c r="O427" s="26"/>
      <c r="P427" s="27"/>
      <c r="Q427" s="28"/>
      <c r="R427" s="28"/>
      <c r="S427" s="26"/>
    </row>
    <row r="428" customFormat="false" ht="15" hidden="false" customHeight="false" outlineLevel="0" collapsed="false">
      <c r="A428" s="7" t="n">
        <v>424</v>
      </c>
      <c r="B428" s="9" t="s">
        <v>19</v>
      </c>
      <c r="C428" s="22" t="s">
        <v>562</v>
      </c>
      <c r="D428" s="9" t="s">
        <v>1365</v>
      </c>
      <c r="E428" s="9" t="s">
        <v>48</v>
      </c>
      <c r="F428" s="9" t="s">
        <v>99</v>
      </c>
      <c r="G428" s="22" t="s">
        <v>5821</v>
      </c>
      <c r="H428" s="9" t="s">
        <v>4298</v>
      </c>
      <c r="I428" s="7"/>
      <c r="J428" s="23" t="s">
        <v>5822</v>
      </c>
      <c r="K428" s="24" t="s">
        <v>5823</v>
      </c>
      <c r="L428" s="22" t="s">
        <v>5824</v>
      </c>
      <c r="M428" s="25"/>
      <c r="N428" s="25"/>
      <c r="O428" s="26"/>
      <c r="P428" s="27"/>
      <c r="Q428" s="28"/>
      <c r="R428" s="28"/>
      <c r="S428" s="26"/>
    </row>
    <row r="429" customFormat="false" ht="15" hidden="false" customHeight="false" outlineLevel="0" collapsed="false">
      <c r="A429" s="7" t="n">
        <v>425</v>
      </c>
      <c r="B429" s="9" t="s">
        <v>19</v>
      </c>
      <c r="C429" s="22" t="s">
        <v>562</v>
      </c>
      <c r="D429" s="9" t="s">
        <v>1365</v>
      </c>
      <c r="E429" s="9" t="s">
        <v>48</v>
      </c>
      <c r="F429" s="9" t="s">
        <v>99</v>
      </c>
      <c r="G429" s="22" t="s">
        <v>5825</v>
      </c>
      <c r="H429" s="9" t="s">
        <v>4298</v>
      </c>
      <c r="I429" s="7"/>
      <c r="J429" s="23" t="s">
        <v>5826</v>
      </c>
      <c r="K429" s="24" t="s">
        <v>5827</v>
      </c>
      <c r="L429" s="22" t="s">
        <v>5828</v>
      </c>
      <c r="M429" s="25"/>
      <c r="N429" s="25"/>
      <c r="O429" s="26"/>
      <c r="P429" s="27"/>
      <c r="Q429" s="28"/>
      <c r="R429" s="28"/>
      <c r="S429" s="26"/>
    </row>
    <row r="430" customFormat="false" ht="15" hidden="false" customHeight="false" outlineLevel="0" collapsed="false">
      <c r="A430" s="7" t="n">
        <v>426</v>
      </c>
      <c r="B430" s="9" t="s">
        <v>19</v>
      </c>
      <c r="C430" s="22" t="s">
        <v>562</v>
      </c>
      <c r="D430" s="9" t="s">
        <v>1445</v>
      </c>
      <c r="E430" s="9" t="s">
        <v>48</v>
      </c>
      <c r="F430" s="9" t="s">
        <v>99</v>
      </c>
      <c r="G430" s="22" t="s">
        <v>5829</v>
      </c>
      <c r="H430" s="9" t="s">
        <v>5750</v>
      </c>
      <c r="I430" s="7"/>
      <c r="J430" s="23" t="s">
        <v>5830</v>
      </c>
      <c r="K430" s="24" t="s">
        <v>5831</v>
      </c>
      <c r="L430" s="22" t="s">
        <v>5832</v>
      </c>
      <c r="M430" s="25"/>
      <c r="N430" s="25"/>
      <c r="O430" s="26"/>
      <c r="P430" s="27"/>
      <c r="Q430" s="28"/>
      <c r="R430" s="28"/>
      <c r="S430" s="26"/>
    </row>
    <row r="431" customFormat="false" ht="15" hidden="false" customHeight="false" outlineLevel="0" collapsed="false">
      <c r="A431" s="7" t="n">
        <v>427</v>
      </c>
      <c r="B431" s="9" t="s">
        <v>19</v>
      </c>
      <c r="C431" s="22" t="s">
        <v>562</v>
      </c>
      <c r="D431" s="9" t="s">
        <v>1445</v>
      </c>
      <c r="E431" s="9" t="s">
        <v>48</v>
      </c>
      <c r="F431" s="9" t="s">
        <v>99</v>
      </c>
      <c r="G431" s="22" t="s">
        <v>5833</v>
      </c>
      <c r="H431" s="9" t="s">
        <v>4298</v>
      </c>
      <c r="I431" s="7"/>
      <c r="J431" s="23" t="s">
        <v>5834</v>
      </c>
      <c r="K431" s="24" t="s">
        <v>5835</v>
      </c>
      <c r="L431" s="22" t="s">
        <v>5836</v>
      </c>
      <c r="M431" s="25"/>
      <c r="N431" s="25"/>
      <c r="O431" s="26"/>
      <c r="P431" s="27"/>
      <c r="Q431" s="28"/>
      <c r="R431" s="28"/>
      <c r="S431" s="26"/>
    </row>
    <row r="432" customFormat="false" ht="15" hidden="false" customHeight="false" outlineLevel="0" collapsed="false">
      <c r="A432" s="7" t="n">
        <v>428</v>
      </c>
      <c r="B432" s="9" t="s">
        <v>19</v>
      </c>
      <c r="C432" s="22" t="s">
        <v>562</v>
      </c>
      <c r="D432" s="9" t="s">
        <v>1515</v>
      </c>
      <c r="E432" s="9" t="s">
        <v>47</v>
      </c>
      <c r="F432" s="9" t="s">
        <v>99</v>
      </c>
      <c r="G432" s="22" t="s">
        <v>5837</v>
      </c>
      <c r="H432" s="9" t="s">
        <v>4298</v>
      </c>
      <c r="I432" s="7"/>
      <c r="J432" s="23" t="s">
        <v>5838</v>
      </c>
      <c r="K432" s="24" t="s">
        <v>5839</v>
      </c>
      <c r="L432" s="22" t="s">
        <v>5840</v>
      </c>
      <c r="M432" s="25"/>
      <c r="N432" s="25"/>
      <c r="O432" s="26"/>
      <c r="P432" s="27"/>
      <c r="Q432" s="28"/>
      <c r="R432" s="28"/>
      <c r="S432" s="26"/>
    </row>
    <row r="433" customFormat="false" ht="15" hidden="false" customHeight="false" outlineLevel="0" collapsed="false">
      <c r="A433" s="7" t="n">
        <v>429</v>
      </c>
      <c r="B433" s="9" t="s">
        <v>19</v>
      </c>
      <c r="C433" s="22" t="s">
        <v>562</v>
      </c>
      <c r="D433" s="9" t="s">
        <v>1458</v>
      </c>
      <c r="E433" s="9" t="s">
        <v>47</v>
      </c>
      <c r="F433" s="9" t="s">
        <v>99</v>
      </c>
      <c r="G433" s="22" t="s">
        <v>5841</v>
      </c>
      <c r="H433" s="9" t="s">
        <v>4298</v>
      </c>
      <c r="I433" s="7"/>
      <c r="J433" s="23" t="s">
        <v>5842</v>
      </c>
      <c r="K433" s="24" t="s">
        <v>5843</v>
      </c>
      <c r="L433" s="22" t="s">
        <v>5844</v>
      </c>
      <c r="M433" s="25"/>
      <c r="N433" s="25"/>
      <c r="O433" s="26"/>
      <c r="P433" s="27"/>
      <c r="Q433" s="28"/>
      <c r="R433" s="28"/>
      <c r="S433" s="26"/>
    </row>
    <row r="434" customFormat="false" ht="15" hidden="false" customHeight="false" outlineLevel="0" collapsed="false">
      <c r="A434" s="7" t="n">
        <v>430</v>
      </c>
      <c r="B434" s="9" t="s">
        <v>19</v>
      </c>
      <c r="C434" s="22" t="s">
        <v>562</v>
      </c>
      <c r="D434" s="9" t="s">
        <v>1458</v>
      </c>
      <c r="E434" s="9" t="s">
        <v>48</v>
      </c>
      <c r="F434" s="9" t="s">
        <v>124</v>
      </c>
      <c r="G434" s="22" t="s">
        <v>5845</v>
      </c>
      <c r="H434" s="9" t="s">
        <v>4298</v>
      </c>
      <c r="I434" s="7"/>
      <c r="J434" s="23" t="s">
        <v>5846</v>
      </c>
      <c r="K434" s="24" t="s">
        <v>5847</v>
      </c>
      <c r="L434" s="22" t="s">
        <v>5805</v>
      </c>
      <c r="M434" s="25"/>
      <c r="N434" s="25"/>
      <c r="O434" s="26"/>
      <c r="P434" s="27"/>
      <c r="Q434" s="28"/>
      <c r="R434" s="28"/>
      <c r="S434" s="26"/>
    </row>
    <row r="435" customFormat="false" ht="15" hidden="false" customHeight="false" outlineLevel="0" collapsed="false">
      <c r="A435" s="7" t="n">
        <v>431</v>
      </c>
      <c r="B435" s="9" t="s">
        <v>19</v>
      </c>
      <c r="C435" s="22" t="s">
        <v>611</v>
      </c>
      <c r="D435" s="9" t="s">
        <v>1344</v>
      </c>
      <c r="E435" s="9" t="s">
        <v>47</v>
      </c>
      <c r="F435" s="9" t="s">
        <v>99</v>
      </c>
      <c r="G435" s="22" t="s">
        <v>5848</v>
      </c>
      <c r="H435" s="9" t="s">
        <v>4298</v>
      </c>
      <c r="I435" s="7"/>
      <c r="J435" s="23" t="s">
        <v>5849</v>
      </c>
      <c r="K435" s="24" t="s">
        <v>5850</v>
      </c>
      <c r="L435" s="22" t="s">
        <v>5851</v>
      </c>
      <c r="M435" s="25"/>
      <c r="N435" s="25"/>
      <c r="O435" s="26"/>
      <c r="P435" s="27"/>
      <c r="Q435" s="28"/>
      <c r="R435" s="28"/>
      <c r="S435" s="26"/>
    </row>
    <row r="436" customFormat="false" ht="15" hidden="false" customHeight="false" outlineLevel="0" collapsed="false">
      <c r="A436" s="7" t="n">
        <v>432</v>
      </c>
      <c r="B436" s="9" t="s">
        <v>19</v>
      </c>
      <c r="C436" s="22" t="s">
        <v>611</v>
      </c>
      <c r="D436" s="9" t="s">
        <v>1344</v>
      </c>
      <c r="E436" s="9" t="s">
        <v>47</v>
      </c>
      <c r="F436" s="9" t="s">
        <v>99</v>
      </c>
      <c r="G436" s="22" t="s">
        <v>5852</v>
      </c>
      <c r="H436" s="9" t="s">
        <v>4298</v>
      </c>
      <c r="I436" s="7"/>
      <c r="J436" s="23" t="s">
        <v>5853</v>
      </c>
      <c r="K436" s="24" t="s">
        <v>5854</v>
      </c>
      <c r="L436" s="22" t="s">
        <v>5855</v>
      </c>
      <c r="M436" s="25"/>
      <c r="N436" s="25"/>
      <c r="O436" s="26"/>
      <c r="P436" s="27"/>
      <c r="Q436" s="28"/>
      <c r="R436" s="28"/>
      <c r="S436" s="26"/>
    </row>
    <row r="437" customFormat="false" ht="15" hidden="false" customHeight="false" outlineLevel="0" collapsed="false">
      <c r="A437" s="7" t="n">
        <v>433</v>
      </c>
      <c r="B437" s="9" t="s">
        <v>19</v>
      </c>
      <c r="C437" s="22" t="s">
        <v>611</v>
      </c>
      <c r="D437" s="9" t="s">
        <v>1344</v>
      </c>
      <c r="E437" s="9" t="s">
        <v>47</v>
      </c>
      <c r="F437" s="9" t="s">
        <v>99</v>
      </c>
      <c r="G437" s="22" t="s">
        <v>5856</v>
      </c>
      <c r="H437" s="9" t="s">
        <v>4298</v>
      </c>
      <c r="I437" s="7"/>
      <c r="J437" s="23" t="s">
        <v>5857</v>
      </c>
      <c r="K437" s="24" t="s">
        <v>5858</v>
      </c>
      <c r="L437" s="22" t="s">
        <v>5859</v>
      </c>
      <c r="M437" s="25"/>
      <c r="N437" s="25"/>
      <c r="O437" s="26"/>
      <c r="P437" s="27"/>
      <c r="Q437" s="28"/>
      <c r="R437" s="28"/>
      <c r="S437" s="26"/>
    </row>
    <row r="438" customFormat="false" ht="15" hidden="false" customHeight="false" outlineLevel="0" collapsed="false">
      <c r="A438" s="7" t="n">
        <v>434</v>
      </c>
      <c r="B438" s="9" t="s">
        <v>19</v>
      </c>
      <c r="C438" s="22" t="s">
        <v>611</v>
      </c>
      <c r="D438" s="9" t="s">
        <v>1344</v>
      </c>
      <c r="E438" s="9" t="s">
        <v>47</v>
      </c>
      <c r="F438" s="9" t="s">
        <v>99</v>
      </c>
      <c r="G438" s="22" t="s">
        <v>5860</v>
      </c>
      <c r="H438" s="9" t="s">
        <v>4298</v>
      </c>
      <c r="I438" s="7"/>
      <c r="J438" s="23" t="s">
        <v>5861</v>
      </c>
      <c r="K438" s="24" t="s">
        <v>5862</v>
      </c>
      <c r="L438" s="22" t="s">
        <v>5863</v>
      </c>
      <c r="M438" s="25"/>
      <c r="N438" s="25"/>
      <c r="O438" s="26"/>
      <c r="P438" s="27"/>
      <c r="Q438" s="28"/>
      <c r="R438" s="28"/>
      <c r="S438" s="26"/>
    </row>
    <row r="439" customFormat="false" ht="15" hidden="false" customHeight="false" outlineLevel="0" collapsed="false">
      <c r="A439" s="7" t="n">
        <v>435</v>
      </c>
      <c r="B439" s="9" t="s">
        <v>19</v>
      </c>
      <c r="C439" s="22" t="s">
        <v>611</v>
      </c>
      <c r="D439" s="9" t="s">
        <v>1344</v>
      </c>
      <c r="E439" s="9" t="s">
        <v>47</v>
      </c>
      <c r="F439" s="9" t="s">
        <v>99</v>
      </c>
      <c r="G439" s="22" t="s">
        <v>5864</v>
      </c>
      <c r="H439" s="9" t="s">
        <v>4298</v>
      </c>
      <c r="I439" s="7"/>
      <c r="J439" s="23" t="s">
        <v>5865</v>
      </c>
      <c r="K439" s="24" t="s">
        <v>5866</v>
      </c>
      <c r="L439" s="22" t="s">
        <v>5867</v>
      </c>
      <c r="M439" s="25"/>
      <c r="N439" s="25"/>
      <c r="O439" s="26"/>
      <c r="P439" s="27"/>
      <c r="Q439" s="28"/>
      <c r="R439" s="28"/>
      <c r="S439" s="26"/>
    </row>
    <row r="440" customFormat="false" ht="15" hidden="false" customHeight="false" outlineLevel="0" collapsed="false">
      <c r="A440" s="7" t="n">
        <v>436</v>
      </c>
      <c r="B440" s="9" t="s">
        <v>19</v>
      </c>
      <c r="C440" s="22" t="s">
        <v>611</v>
      </c>
      <c r="D440" s="9" t="s">
        <v>1344</v>
      </c>
      <c r="E440" s="9" t="s">
        <v>48</v>
      </c>
      <c r="F440" s="9" t="s">
        <v>124</v>
      </c>
      <c r="G440" s="22" t="s">
        <v>5868</v>
      </c>
      <c r="H440" s="9" t="s">
        <v>4298</v>
      </c>
      <c r="I440" s="7"/>
      <c r="J440" s="23" t="s">
        <v>5869</v>
      </c>
      <c r="K440" s="24" t="s">
        <v>5870</v>
      </c>
      <c r="L440" s="22" t="s">
        <v>5871</v>
      </c>
      <c r="M440" s="25"/>
      <c r="N440" s="25"/>
      <c r="O440" s="26"/>
      <c r="P440" s="27"/>
      <c r="Q440" s="28"/>
      <c r="R440" s="28"/>
      <c r="S440" s="26"/>
    </row>
    <row r="441" customFormat="false" ht="15" hidden="false" customHeight="false" outlineLevel="0" collapsed="false">
      <c r="A441" s="7" t="n">
        <v>437</v>
      </c>
      <c r="B441" s="9" t="s">
        <v>19</v>
      </c>
      <c r="C441" s="22" t="s">
        <v>611</v>
      </c>
      <c r="D441" s="9" t="s">
        <v>1428</v>
      </c>
      <c r="E441" s="9" t="s">
        <v>47</v>
      </c>
      <c r="F441" s="9" t="s">
        <v>99</v>
      </c>
      <c r="G441" s="22" t="s">
        <v>5872</v>
      </c>
      <c r="H441" s="9" t="s">
        <v>4298</v>
      </c>
      <c r="I441" s="7"/>
      <c r="J441" s="23" t="s">
        <v>5873</v>
      </c>
      <c r="K441" s="24" t="s">
        <v>5874</v>
      </c>
      <c r="L441" s="22" t="s">
        <v>5875</v>
      </c>
      <c r="M441" s="25"/>
      <c r="N441" s="25"/>
      <c r="O441" s="26"/>
      <c r="P441" s="27"/>
      <c r="Q441" s="28"/>
      <c r="R441" s="28"/>
      <c r="S441" s="26"/>
    </row>
    <row r="442" customFormat="false" ht="15" hidden="false" customHeight="false" outlineLevel="0" collapsed="false">
      <c r="A442" s="7" t="n">
        <v>438</v>
      </c>
      <c r="B442" s="9" t="s">
        <v>19</v>
      </c>
      <c r="C442" s="22" t="s">
        <v>611</v>
      </c>
      <c r="D442" s="9" t="s">
        <v>1428</v>
      </c>
      <c r="E442" s="9" t="s">
        <v>47</v>
      </c>
      <c r="F442" s="9" t="s">
        <v>99</v>
      </c>
      <c r="G442" s="22" t="s">
        <v>5876</v>
      </c>
      <c r="H442" s="9" t="s">
        <v>4298</v>
      </c>
      <c r="I442" s="7"/>
      <c r="J442" s="23" t="s">
        <v>5877</v>
      </c>
      <c r="K442" s="24" t="s">
        <v>5878</v>
      </c>
      <c r="L442" s="22" t="s">
        <v>5879</v>
      </c>
      <c r="M442" s="25"/>
      <c r="N442" s="25"/>
      <c r="O442" s="26"/>
      <c r="P442" s="27"/>
      <c r="Q442" s="28"/>
      <c r="R442" s="28"/>
      <c r="S442" s="26"/>
    </row>
    <row r="443" customFormat="false" ht="15" hidden="false" customHeight="false" outlineLevel="0" collapsed="false">
      <c r="A443" s="7" t="n">
        <v>439</v>
      </c>
      <c r="B443" s="9" t="s">
        <v>19</v>
      </c>
      <c r="C443" s="22" t="s">
        <v>611</v>
      </c>
      <c r="D443" s="9" t="s">
        <v>1428</v>
      </c>
      <c r="E443" s="9" t="s">
        <v>47</v>
      </c>
      <c r="F443" s="9" t="s">
        <v>99</v>
      </c>
      <c r="G443" s="22" t="s">
        <v>5880</v>
      </c>
      <c r="H443" s="9" t="s">
        <v>4298</v>
      </c>
      <c r="I443" s="7"/>
      <c r="J443" s="23" t="s">
        <v>5881</v>
      </c>
      <c r="K443" s="24" t="s">
        <v>5882</v>
      </c>
      <c r="L443" s="22" t="s">
        <v>5883</v>
      </c>
      <c r="M443" s="25"/>
      <c r="N443" s="25"/>
      <c r="O443" s="26"/>
      <c r="P443" s="27"/>
      <c r="Q443" s="28"/>
      <c r="R443" s="28"/>
      <c r="S443" s="26"/>
    </row>
    <row r="444" customFormat="false" ht="15" hidden="false" customHeight="false" outlineLevel="0" collapsed="false">
      <c r="A444" s="7" t="n">
        <v>440</v>
      </c>
      <c r="B444" s="9" t="s">
        <v>19</v>
      </c>
      <c r="C444" s="22" t="s">
        <v>611</v>
      </c>
      <c r="D444" s="9" t="s">
        <v>1428</v>
      </c>
      <c r="E444" s="9" t="s">
        <v>48</v>
      </c>
      <c r="F444" s="9" t="s">
        <v>99</v>
      </c>
      <c r="G444" s="22" t="s">
        <v>5884</v>
      </c>
      <c r="H444" s="9" t="s">
        <v>4298</v>
      </c>
      <c r="I444" s="7"/>
      <c r="J444" s="23" t="s">
        <v>5885</v>
      </c>
      <c r="K444" s="24" t="s">
        <v>5886</v>
      </c>
      <c r="L444" s="22" t="s">
        <v>5887</v>
      </c>
      <c r="M444" s="25"/>
      <c r="N444" s="25"/>
      <c r="O444" s="26"/>
      <c r="P444" s="27"/>
      <c r="Q444" s="28"/>
      <c r="R444" s="28"/>
      <c r="S444" s="26"/>
    </row>
    <row r="445" customFormat="false" ht="15" hidden="false" customHeight="false" outlineLevel="0" collapsed="false">
      <c r="A445" s="7" t="n">
        <v>441</v>
      </c>
      <c r="B445" s="9" t="s">
        <v>19</v>
      </c>
      <c r="C445" s="22" t="s">
        <v>669</v>
      </c>
      <c r="D445" s="9" t="s">
        <v>1335</v>
      </c>
      <c r="E445" s="9" t="s">
        <v>47</v>
      </c>
      <c r="F445" s="9" t="s">
        <v>99</v>
      </c>
      <c r="G445" s="22" t="s">
        <v>5888</v>
      </c>
      <c r="H445" s="9" t="s">
        <v>4298</v>
      </c>
      <c r="I445" s="7"/>
      <c r="J445" s="23" t="s">
        <v>5889</v>
      </c>
      <c r="K445" s="24" t="s">
        <v>5890</v>
      </c>
      <c r="L445" s="22" t="s">
        <v>5891</v>
      </c>
      <c r="M445" s="25"/>
      <c r="N445" s="25"/>
      <c r="O445" s="26"/>
      <c r="P445" s="27"/>
      <c r="Q445" s="28"/>
      <c r="R445" s="28"/>
      <c r="S445" s="26"/>
    </row>
    <row r="446" customFormat="false" ht="15" hidden="false" customHeight="false" outlineLevel="0" collapsed="false">
      <c r="A446" s="7" t="n">
        <v>442</v>
      </c>
      <c r="B446" s="9" t="s">
        <v>19</v>
      </c>
      <c r="C446" s="22" t="s">
        <v>669</v>
      </c>
      <c r="D446" s="9" t="s">
        <v>1335</v>
      </c>
      <c r="E446" s="9" t="s">
        <v>47</v>
      </c>
      <c r="F446" s="9" t="s">
        <v>99</v>
      </c>
      <c r="G446" s="22" t="s">
        <v>5892</v>
      </c>
      <c r="H446" s="9" t="s">
        <v>4298</v>
      </c>
      <c r="I446" s="7"/>
      <c r="J446" s="23" t="s">
        <v>5893</v>
      </c>
      <c r="K446" s="24" t="s">
        <v>5894</v>
      </c>
      <c r="L446" s="22" t="s">
        <v>5895</v>
      </c>
      <c r="M446" s="25"/>
      <c r="N446" s="25"/>
      <c r="O446" s="26"/>
      <c r="P446" s="27"/>
      <c r="Q446" s="28"/>
      <c r="R446" s="28"/>
      <c r="S446" s="26"/>
    </row>
    <row r="447" customFormat="false" ht="15" hidden="false" customHeight="false" outlineLevel="0" collapsed="false">
      <c r="A447" s="7" t="n">
        <v>443</v>
      </c>
      <c r="B447" s="9" t="s">
        <v>19</v>
      </c>
      <c r="C447" s="22" t="s">
        <v>669</v>
      </c>
      <c r="D447" s="9" t="s">
        <v>1335</v>
      </c>
      <c r="E447" s="9" t="s">
        <v>47</v>
      </c>
      <c r="F447" s="9" t="s">
        <v>99</v>
      </c>
      <c r="G447" s="22" t="s">
        <v>5896</v>
      </c>
      <c r="H447" s="9" t="s">
        <v>4298</v>
      </c>
      <c r="I447" s="7"/>
      <c r="J447" s="23" t="s">
        <v>5897</v>
      </c>
      <c r="K447" s="24" t="s">
        <v>5898</v>
      </c>
      <c r="L447" s="22" t="s">
        <v>5899</v>
      </c>
      <c r="M447" s="25"/>
      <c r="N447" s="25"/>
      <c r="O447" s="26"/>
      <c r="P447" s="27"/>
      <c r="Q447" s="28"/>
      <c r="R447" s="28"/>
      <c r="S447" s="26"/>
    </row>
    <row r="448" customFormat="false" ht="15" hidden="false" customHeight="false" outlineLevel="0" collapsed="false">
      <c r="A448" s="7" t="n">
        <v>444</v>
      </c>
      <c r="B448" s="9" t="s">
        <v>19</v>
      </c>
      <c r="C448" s="22" t="s">
        <v>669</v>
      </c>
      <c r="D448" s="9" t="s">
        <v>1374</v>
      </c>
      <c r="E448" s="9" t="s">
        <v>47</v>
      </c>
      <c r="F448" s="9" t="s">
        <v>99</v>
      </c>
      <c r="G448" s="22" t="s">
        <v>5900</v>
      </c>
      <c r="H448" s="9" t="s">
        <v>4298</v>
      </c>
      <c r="I448" s="7"/>
      <c r="J448" s="23" t="s">
        <v>5901</v>
      </c>
      <c r="K448" s="24" t="s">
        <v>5902</v>
      </c>
      <c r="L448" s="22" t="s">
        <v>5903</v>
      </c>
      <c r="M448" s="25"/>
      <c r="N448" s="25"/>
      <c r="O448" s="26"/>
      <c r="P448" s="27"/>
      <c r="Q448" s="28"/>
      <c r="R448" s="28"/>
      <c r="S448" s="26"/>
    </row>
    <row r="449" customFormat="false" ht="15" hidden="false" customHeight="false" outlineLevel="0" collapsed="false">
      <c r="A449" s="7" t="n">
        <v>445</v>
      </c>
      <c r="B449" s="9" t="s">
        <v>19</v>
      </c>
      <c r="C449" s="22" t="s">
        <v>669</v>
      </c>
      <c r="D449" s="9" t="s">
        <v>1374</v>
      </c>
      <c r="E449" s="9" t="s">
        <v>47</v>
      </c>
      <c r="F449" s="9" t="s">
        <v>99</v>
      </c>
      <c r="G449" s="22" t="s">
        <v>5904</v>
      </c>
      <c r="H449" s="9" t="s">
        <v>4298</v>
      </c>
      <c r="I449" s="7"/>
      <c r="J449" s="23" t="s">
        <v>5905</v>
      </c>
      <c r="K449" s="24" t="s">
        <v>5906</v>
      </c>
      <c r="L449" s="22" t="s">
        <v>5907</v>
      </c>
      <c r="M449" s="25"/>
      <c r="N449" s="25"/>
      <c r="O449" s="26"/>
      <c r="P449" s="27"/>
      <c r="Q449" s="28"/>
      <c r="R449" s="28"/>
      <c r="S449" s="26"/>
    </row>
    <row r="450" customFormat="false" ht="15" hidden="false" customHeight="false" outlineLevel="0" collapsed="false">
      <c r="A450" s="7" t="n">
        <v>446</v>
      </c>
      <c r="B450" s="9" t="s">
        <v>19</v>
      </c>
      <c r="C450" s="22" t="s">
        <v>669</v>
      </c>
      <c r="D450" s="9" t="s">
        <v>1374</v>
      </c>
      <c r="E450" s="9" t="s">
        <v>47</v>
      </c>
      <c r="F450" s="9" t="s">
        <v>99</v>
      </c>
      <c r="G450" s="22" t="s">
        <v>5908</v>
      </c>
      <c r="H450" s="9" t="s">
        <v>4298</v>
      </c>
      <c r="I450" s="7"/>
      <c r="J450" s="23" t="s">
        <v>5909</v>
      </c>
      <c r="K450" s="24" t="s">
        <v>5910</v>
      </c>
      <c r="L450" s="22" t="s">
        <v>5911</v>
      </c>
      <c r="M450" s="25"/>
      <c r="N450" s="25"/>
      <c r="O450" s="26"/>
      <c r="P450" s="27"/>
      <c r="Q450" s="28"/>
      <c r="R450" s="28"/>
      <c r="S450" s="26"/>
    </row>
    <row r="451" customFormat="false" ht="15" hidden="false" customHeight="false" outlineLevel="0" collapsed="false">
      <c r="A451" s="7" t="n">
        <v>447</v>
      </c>
      <c r="B451" s="9" t="s">
        <v>19</v>
      </c>
      <c r="C451" s="22" t="s">
        <v>669</v>
      </c>
      <c r="D451" s="9" t="s">
        <v>1374</v>
      </c>
      <c r="E451" s="9" t="s">
        <v>47</v>
      </c>
      <c r="F451" s="9" t="s">
        <v>99</v>
      </c>
      <c r="G451" s="22" t="s">
        <v>5912</v>
      </c>
      <c r="H451" s="9" t="s">
        <v>4298</v>
      </c>
      <c r="I451" s="7"/>
      <c r="J451" s="23" t="s">
        <v>5913</v>
      </c>
      <c r="K451" s="24" t="s">
        <v>5914</v>
      </c>
      <c r="L451" s="22" t="s">
        <v>5915</v>
      </c>
      <c r="M451" s="25"/>
      <c r="N451" s="25"/>
      <c r="O451" s="26"/>
      <c r="P451" s="27"/>
      <c r="Q451" s="28"/>
      <c r="R451" s="28"/>
      <c r="S451" s="26"/>
    </row>
    <row r="452" customFormat="false" ht="15" hidden="false" customHeight="false" outlineLevel="0" collapsed="false">
      <c r="A452" s="7" t="n">
        <v>448</v>
      </c>
      <c r="B452" s="9" t="s">
        <v>19</v>
      </c>
      <c r="C452" s="22" t="s">
        <v>669</v>
      </c>
      <c r="D452" s="9" t="s">
        <v>1374</v>
      </c>
      <c r="E452" s="9" t="s">
        <v>47</v>
      </c>
      <c r="F452" s="9" t="s">
        <v>99</v>
      </c>
      <c r="G452" s="22" t="s">
        <v>5916</v>
      </c>
      <c r="H452" s="9" t="s">
        <v>4298</v>
      </c>
      <c r="I452" s="7"/>
      <c r="J452" s="23" t="s">
        <v>5917</v>
      </c>
      <c r="K452" s="24" t="s">
        <v>5918</v>
      </c>
      <c r="L452" s="22" t="s">
        <v>5919</v>
      </c>
      <c r="M452" s="25"/>
      <c r="N452" s="25"/>
      <c r="O452" s="26"/>
      <c r="P452" s="27"/>
      <c r="Q452" s="28"/>
      <c r="R452" s="28"/>
      <c r="S452" s="26"/>
    </row>
    <row r="453" customFormat="false" ht="15" hidden="false" customHeight="false" outlineLevel="0" collapsed="false">
      <c r="A453" s="7" t="n">
        <v>449</v>
      </c>
      <c r="B453" s="9" t="s">
        <v>19</v>
      </c>
      <c r="C453" s="22" t="s">
        <v>669</v>
      </c>
      <c r="D453" s="9" t="s">
        <v>1374</v>
      </c>
      <c r="E453" s="9" t="s">
        <v>47</v>
      </c>
      <c r="F453" s="9" t="s">
        <v>99</v>
      </c>
      <c r="G453" s="22" t="s">
        <v>5920</v>
      </c>
      <c r="H453" s="9" t="s">
        <v>4298</v>
      </c>
      <c r="I453" s="7"/>
      <c r="J453" s="23" t="s">
        <v>5921</v>
      </c>
      <c r="K453" s="24" t="s">
        <v>5922</v>
      </c>
      <c r="L453" s="22" t="s">
        <v>5923</v>
      </c>
      <c r="M453" s="25"/>
      <c r="N453" s="25"/>
      <c r="O453" s="26"/>
      <c r="P453" s="27"/>
      <c r="Q453" s="28"/>
      <c r="R453" s="28"/>
      <c r="S453" s="26"/>
    </row>
    <row r="454" customFormat="false" ht="15" hidden="false" customHeight="false" outlineLevel="0" collapsed="false">
      <c r="A454" s="7" t="n">
        <v>450</v>
      </c>
      <c r="B454" s="9" t="s">
        <v>19</v>
      </c>
      <c r="C454" s="22" t="s">
        <v>669</v>
      </c>
      <c r="D454" s="9" t="s">
        <v>1374</v>
      </c>
      <c r="E454" s="9" t="s">
        <v>47</v>
      </c>
      <c r="F454" s="9" t="s">
        <v>99</v>
      </c>
      <c r="G454" s="22" t="s">
        <v>5924</v>
      </c>
      <c r="H454" s="9" t="s">
        <v>4298</v>
      </c>
      <c r="I454" s="7"/>
      <c r="J454" s="23" t="s">
        <v>5925</v>
      </c>
      <c r="K454" s="24" t="s">
        <v>5926</v>
      </c>
      <c r="L454" s="22" t="s">
        <v>5927</v>
      </c>
      <c r="M454" s="25"/>
      <c r="N454" s="25"/>
      <c r="O454" s="26"/>
      <c r="P454" s="27"/>
      <c r="Q454" s="28"/>
      <c r="R454" s="28"/>
      <c r="S454" s="26"/>
    </row>
    <row r="455" customFormat="false" ht="15" hidden="false" customHeight="false" outlineLevel="0" collapsed="false">
      <c r="A455" s="7" t="n">
        <v>451</v>
      </c>
      <c r="B455" s="9" t="s">
        <v>19</v>
      </c>
      <c r="C455" s="22" t="s">
        <v>669</v>
      </c>
      <c r="D455" s="9" t="s">
        <v>1374</v>
      </c>
      <c r="E455" s="9" t="s">
        <v>47</v>
      </c>
      <c r="F455" s="9" t="s">
        <v>99</v>
      </c>
      <c r="G455" s="22" t="s">
        <v>5928</v>
      </c>
      <c r="H455" s="9" t="s">
        <v>4298</v>
      </c>
      <c r="I455" s="7"/>
      <c r="J455" s="23" t="s">
        <v>5929</v>
      </c>
      <c r="K455" s="24" t="s">
        <v>5930</v>
      </c>
      <c r="L455" s="22" t="s">
        <v>5931</v>
      </c>
      <c r="M455" s="25"/>
      <c r="N455" s="25"/>
      <c r="O455" s="26"/>
      <c r="P455" s="27"/>
      <c r="Q455" s="28"/>
      <c r="R455" s="28"/>
      <c r="S455" s="26"/>
    </row>
    <row r="456" customFormat="false" ht="15" hidden="false" customHeight="false" outlineLevel="0" collapsed="false">
      <c r="A456" s="7" t="n">
        <v>452</v>
      </c>
      <c r="B456" s="9" t="s">
        <v>19</v>
      </c>
      <c r="C456" s="22" t="s">
        <v>669</v>
      </c>
      <c r="D456" s="9" t="s">
        <v>1374</v>
      </c>
      <c r="E456" s="9" t="s">
        <v>48</v>
      </c>
      <c r="F456" s="9" t="s">
        <v>99</v>
      </c>
      <c r="G456" s="22" t="s">
        <v>5932</v>
      </c>
      <c r="H456" s="9" t="s">
        <v>4298</v>
      </c>
      <c r="I456" s="7"/>
      <c r="J456" s="23" t="s">
        <v>5933</v>
      </c>
      <c r="K456" s="24" t="s">
        <v>5934</v>
      </c>
      <c r="L456" s="22" t="s">
        <v>5935</v>
      </c>
      <c r="M456" s="25"/>
      <c r="N456" s="25"/>
      <c r="O456" s="26"/>
      <c r="P456" s="27"/>
      <c r="Q456" s="28"/>
      <c r="R456" s="28"/>
      <c r="S456" s="26"/>
    </row>
    <row r="457" customFormat="false" ht="15" hidden="false" customHeight="false" outlineLevel="0" collapsed="false">
      <c r="A457" s="7" t="n">
        <v>453</v>
      </c>
      <c r="B457" s="9" t="s">
        <v>19</v>
      </c>
      <c r="C457" s="22" t="s">
        <v>725</v>
      </c>
      <c r="D457" s="9" t="s">
        <v>1326</v>
      </c>
      <c r="E457" s="9" t="s">
        <v>47</v>
      </c>
      <c r="F457" s="9" t="s">
        <v>99</v>
      </c>
      <c r="G457" s="22" t="s">
        <v>5936</v>
      </c>
      <c r="H457" s="9" t="s">
        <v>4298</v>
      </c>
      <c r="I457" s="7"/>
      <c r="J457" s="23" t="s">
        <v>5937</v>
      </c>
      <c r="K457" s="24" t="s">
        <v>5938</v>
      </c>
      <c r="L457" s="22" t="s">
        <v>5939</v>
      </c>
      <c r="M457" s="25"/>
      <c r="N457" s="25"/>
      <c r="O457" s="26"/>
      <c r="P457" s="27"/>
      <c r="Q457" s="28"/>
      <c r="R457" s="28"/>
      <c r="S457" s="26"/>
    </row>
    <row r="458" customFormat="false" ht="15" hidden="false" customHeight="false" outlineLevel="0" collapsed="false">
      <c r="A458" s="7" t="n">
        <v>454</v>
      </c>
      <c r="B458" s="9" t="s">
        <v>19</v>
      </c>
      <c r="C458" s="22" t="s">
        <v>725</v>
      </c>
      <c r="D458" s="9" t="s">
        <v>1326</v>
      </c>
      <c r="E458" s="9" t="s">
        <v>47</v>
      </c>
      <c r="F458" s="9" t="s">
        <v>99</v>
      </c>
      <c r="G458" s="22" t="s">
        <v>5940</v>
      </c>
      <c r="H458" s="9" t="s">
        <v>4298</v>
      </c>
      <c r="I458" s="7"/>
      <c r="J458" s="23" t="s">
        <v>5941</v>
      </c>
      <c r="K458" s="24" t="s">
        <v>5942</v>
      </c>
      <c r="L458" s="22" t="s">
        <v>5943</v>
      </c>
      <c r="M458" s="25"/>
      <c r="N458" s="25"/>
      <c r="O458" s="26"/>
      <c r="P458" s="27"/>
      <c r="Q458" s="28"/>
      <c r="R458" s="28"/>
      <c r="S458" s="26"/>
    </row>
    <row r="459" customFormat="false" ht="15" hidden="false" customHeight="false" outlineLevel="0" collapsed="false">
      <c r="A459" s="7" t="n">
        <v>455</v>
      </c>
      <c r="B459" s="9" t="s">
        <v>19</v>
      </c>
      <c r="C459" s="22" t="s">
        <v>725</v>
      </c>
      <c r="D459" s="9" t="s">
        <v>1326</v>
      </c>
      <c r="E459" s="9" t="s">
        <v>47</v>
      </c>
      <c r="F459" s="9" t="s">
        <v>99</v>
      </c>
      <c r="G459" s="22" t="s">
        <v>5944</v>
      </c>
      <c r="H459" s="9" t="s">
        <v>4298</v>
      </c>
      <c r="I459" s="7"/>
      <c r="J459" s="23" t="s">
        <v>5945</v>
      </c>
      <c r="K459" s="24" t="s">
        <v>5946</v>
      </c>
      <c r="L459" s="22" t="s">
        <v>5947</v>
      </c>
      <c r="M459" s="25"/>
      <c r="N459" s="25"/>
      <c r="O459" s="26"/>
      <c r="P459" s="27"/>
      <c r="Q459" s="28"/>
      <c r="R459" s="28"/>
      <c r="S459" s="26"/>
    </row>
    <row r="460" customFormat="false" ht="15" hidden="false" customHeight="false" outlineLevel="0" collapsed="false">
      <c r="A460" s="7" t="n">
        <v>456</v>
      </c>
      <c r="B460" s="9" t="s">
        <v>19</v>
      </c>
      <c r="C460" s="22" t="s">
        <v>725</v>
      </c>
      <c r="D460" s="9" t="s">
        <v>1403</v>
      </c>
      <c r="E460" s="9" t="s">
        <v>47</v>
      </c>
      <c r="F460" s="9" t="s">
        <v>99</v>
      </c>
      <c r="G460" s="22" t="s">
        <v>5948</v>
      </c>
      <c r="H460" s="9" t="s">
        <v>4298</v>
      </c>
      <c r="I460" s="7"/>
      <c r="J460" s="23" t="s">
        <v>5949</v>
      </c>
      <c r="K460" s="24" t="s">
        <v>5950</v>
      </c>
      <c r="L460" s="22" t="s">
        <v>5951</v>
      </c>
      <c r="M460" s="25"/>
      <c r="N460" s="25"/>
      <c r="O460" s="26"/>
      <c r="P460" s="27"/>
      <c r="Q460" s="28"/>
      <c r="R460" s="28"/>
      <c r="S460" s="26"/>
    </row>
    <row r="461" customFormat="false" ht="15" hidden="false" customHeight="false" outlineLevel="0" collapsed="false">
      <c r="A461" s="7" t="n">
        <v>457</v>
      </c>
      <c r="B461" s="9" t="s">
        <v>19</v>
      </c>
      <c r="C461" s="22" t="s">
        <v>725</v>
      </c>
      <c r="D461" s="9" t="s">
        <v>1403</v>
      </c>
      <c r="E461" s="9" t="s">
        <v>47</v>
      </c>
      <c r="F461" s="9" t="s">
        <v>99</v>
      </c>
      <c r="G461" s="22" t="s">
        <v>5952</v>
      </c>
      <c r="H461" s="9" t="s">
        <v>4298</v>
      </c>
      <c r="I461" s="7"/>
      <c r="J461" s="23" t="s">
        <v>5953</v>
      </c>
      <c r="K461" s="24" t="s">
        <v>5954</v>
      </c>
      <c r="L461" s="22" t="s">
        <v>5955</v>
      </c>
      <c r="M461" s="25"/>
      <c r="N461" s="25"/>
      <c r="O461" s="26"/>
      <c r="P461" s="27"/>
      <c r="Q461" s="28"/>
      <c r="R461" s="28"/>
      <c r="S461" s="26"/>
    </row>
    <row r="462" customFormat="false" ht="15" hidden="false" customHeight="false" outlineLevel="0" collapsed="false">
      <c r="A462" s="7" t="n">
        <v>458</v>
      </c>
      <c r="B462" s="9" t="s">
        <v>19</v>
      </c>
      <c r="C462" s="22" t="s">
        <v>725</v>
      </c>
      <c r="D462" s="9" t="s">
        <v>1403</v>
      </c>
      <c r="E462" s="9" t="s">
        <v>47</v>
      </c>
      <c r="F462" s="9" t="s">
        <v>99</v>
      </c>
      <c r="G462" s="22" t="s">
        <v>5956</v>
      </c>
      <c r="H462" s="9" t="s">
        <v>4298</v>
      </c>
      <c r="I462" s="7"/>
      <c r="J462" s="23" t="s">
        <v>1737</v>
      </c>
      <c r="K462" s="24" t="s">
        <v>5957</v>
      </c>
      <c r="L462" s="22" t="s">
        <v>1739</v>
      </c>
      <c r="M462" s="25"/>
      <c r="N462" s="25"/>
      <c r="O462" s="26"/>
      <c r="P462" s="27"/>
      <c r="Q462" s="28"/>
      <c r="R462" s="28"/>
      <c r="S462" s="26"/>
    </row>
    <row r="463" customFormat="false" ht="15" hidden="false" customHeight="false" outlineLevel="0" collapsed="false">
      <c r="A463" s="7" t="n">
        <v>459</v>
      </c>
      <c r="B463" s="9" t="s">
        <v>19</v>
      </c>
      <c r="C463" s="22" t="s">
        <v>725</v>
      </c>
      <c r="D463" s="9" t="s">
        <v>1403</v>
      </c>
      <c r="E463" s="9" t="s">
        <v>47</v>
      </c>
      <c r="F463" s="9" t="s">
        <v>99</v>
      </c>
      <c r="G463" s="22" t="s">
        <v>5958</v>
      </c>
      <c r="H463" s="9" t="s">
        <v>5750</v>
      </c>
      <c r="I463" s="7"/>
      <c r="J463" s="23" t="s">
        <v>5959</v>
      </c>
      <c r="K463" s="24" t="s">
        <v>5960</v>
      </c>
      <c r="L463" s="22" t="s">
        <v>5961</v>
      </c>
      <c r="M463" s="25"/>
      <c r="N463" s="25"/>
      <c r="O463" s="26"/>
      <c r="P463" s="27"/>
      <c r="Q463" s="28"/>
      <c r="R463" s="28"/>
      <c r="S463" s="26"/>
    </row>
    <row r="464" customFormat="false" ht="15" hidden="false" customHeight="false" outlineLevel="0" collapsed="false">
      <c r="A464" s="7" t="n">
        <v>460</v>
      </c>
      <c r="B464" s="9" t="s">
        <v>19</v>
      </c>
      <c r="C464" s="22" t="s">
        <v>725</v>
      </c>
      <c r="D464" s="9" t="s">
        <v>1403</v>
      </c>
      <c r="E464" s="9" t="s">
        <v>47</v>
      </c>
      <c r="F464" s="9" t="s">
        <v>99</v>
      </c>
      <c r="G464" s="22" t="s">
        <v>5962</v>
      </c>
      <c r="H464" s="9" t="s">
        <v>4298</v>
      </c>
      <c r="I464" s="7"/>
      <c r="J464" s="23" t="s">
        <v>5963</v>
      </c>
      <c r="K464" s="24" t="s">
        <v>5964</v>
      </c>
      <c r="L464" s="22" t="s">
        <v>5965</v>
      </c>
      <c r="M464" s="25"/>
      <c r="N464" s="25"/>
      <c r="O464" s="26"/>
      <c r="P464" s="27"/>
      <c r="Q464" s="28"/>
      <c r="R464" s="28"/>
      <c r="S464" s="26"/>
    </row>
    <row r="465" customFormat="false" ht="15" hidden="false" customHeight="false" outlineLevel="0" collapsed="false">
      <c r="A465" s="7" t="n">
        <v>461</v>
      </c>
      <c r="B465" s="9" t="s">
        <v>19</v>
      </c>
      <c r="C465" s="22" t="s">
        <v>725</v>
      </c>
      <c r="D465" s="9" t="s">
        <v>1403</v>
      </c>
      <c r="E465" s="9" t="s">
        <v>47</v>
      </c>
      <c r="F465" s="9" t="s">
        <v>99</v>
      </c>
      <c r="G465" s="22" t="s">
        <v>5966</v>
      </c>
      <c r="H465" s="9" t="s">
        <v>4298</v>
      </c>
      <c r="I465" s="7"/>
      <c r="J465" s="23" t="s">
        <v>5967</v>
      </c>
      <c r="K465" s="24" t="s">
        <v>5968</v>
      </c>
      <c r="L465" s="22" t="s">
        <v>5969</v>
      </c>
      <c r="M465" s="25"/>
      <c r="N465" s="25"/>
      <c r="O465" s="26"/>
      <c r="P465" s="27"/>
      <c r="Q465" s="28"/>
      <c r="R465" s="28"/>
      <c r="S465" s="26"/>
    </row>
    <row r="466" customFormat="false" ht="15" hidden="false" customHeight="false" outlineLevel="0" collapsed="false">
      <c r="A466" s="7" t="n">
        <v>462</v>
      </c>
      <c r="B466" s="9" t="s">
        <v>19</v>
      </c>
      <c r="C466" s="22" t="s">
        <v>725</v>
      </c>
      <c r="D466" s="9" t="s">
        <v>1403</v>
      </c>
      <c r="E466" s="9" t="s">
        <v>47</v>
      </c>
      <c r="F466" s="9" t="s">
        <v>99</v>
      </c>
      <c r="G466" s="22" t="s">
        <v>5970</v>
      </c>
      <c r="H466" s="9" t="s">
        <v>4298</v>
      </c>
      <c r="I466" s="7"/>
      <c r="J466" s="23" t="s">
        <v>5971</v>
      </c>
      <c r="K466" s="24" t="s">
        <v>5972</v>
      </c>
      <c r="L466" s="22" t="s">
        <v>5973</v>
      </c>
      <c r="M466" s="25"/>
      <c r="N466" s="25"/>
      <c r="O466" s="26"/>
      <c r="P466" s="27"/>
      <c r="Q466" s="28"/>
      <c r="R466" s="28"/>
      <c r="S466" s="26"/>
    </row>
    <row r="467" customFormat="false" ht="15" hidden="false" customHeight="false" outlineLevel="0" collapsed="false">
      <c r="A467" s="7" t="n">
        <v>463</v>
      </c>
      <c r="B467" s="9" t="s">
        <v>19</v>
      </c>
      <c r="C467" s="22" t="s">
        <v>725</v>
      </c>
      <c r="D467" s="9" t="s">
        <v>1403</v>
      </c>
      <c r="E467" s="9" t="s">
        <v>48</v>
      </c>
      <c r="F467" s="9" t="s">
        <v>99</v>
      </c>
      <c r="G467" s="22" t="s">
        <v>5974</v>
      </c>
      <c r="H467" s="9" t="s">
        <v>4298</v>
      </c>
      <c r="I467" s="7"/>
      <c r="J467" s="23" t="s">
        <v>5975</v>
      </c>
      <c r="K467" s="24" t="s">
        <v>5976</v>
      </c>
      <c r="L467" s="22" t="s">
        <v>5977</v>
      </c>
      <c r="M467" s="25"/>
      <c r="N467" s="25"/>
      <c r="O467" s="26"/>
      <c r="P467" s="27"/>
      <c r="Q467" s="28"/>
      <c r="R467" s="28"/>
      <c r="S467" s="26"/>
    </row>
    <row r="468" customFormat="false" ht="15" hidden="false" customHeight="false" outlineLevel="0" collapsed="false">
      <c r="A468" s="7" t="n">
        <v>464</v>
      </c>
      <c r="B468" s="9" t="s">
        <v>19</v>
      </c>
      <c r="C468" s="22" t="s">
        <v>725</v>
      </c>
      <c r="D468" s="9" t="s">
        <v>1403</v>
      </c>
      <c r="E468" s="9" t="s">
        <v>48</v>
      </c>
      <c r="F468" s="9" t="s">
        <v>99</v>
      </c>
      <c r="G468" s="22" t="s">
        <v>5978</v>
      </c>
      <c r="H468" s="9" t="s">
        <v>4298</v>
      </c>
      <c r="I468" s="7"/>
      <c r="J468" s="23" t="s">
        <v>5979</v>
      </c>
      <c r="K468" s="24" t="s">
        <v>5980</v>
      </c>
      <c r="L468" s="22" t="s">
        <v>5981</v>
      </c>
      <c r="M468" s="25"/>
      <c r="N468" s="25"/>
      <c r="O468" s="26"/>
      <c r="P468" s="27"/>
      <c r="Q468" s="28"/>
      <c r="R468" s="28"/>
      <c r="S468" s="26"/>
    </row>
    <row r="469" customFormat="false" ht="15" hidden="false" customHeight="false" outlineLevel="0" collapsed="false">
      <c r="A469" s="7" t="n">
        <v>465</v>
      </c>
      <c r="B469" s="9" t="s">
        <v>19</v>
      </c>
      <c r="C469" s="22" t="s">
        <v>725</v>
      </c>
      <c r="D469" s="9" t="s">
        <v>1403</v>
      </c>
      <c r="E469" s="9" t="s">
        <v>48</v>
      </c>
      <c r="F469" s="9" t="s">
        <v>99</v>
      </c>
      <c r="G469" s="22" t="s">
        <v>1740</v>
      </c>
      <c r="H469" s="9" t="s">
        <v>4298</v>
      </c>
      <c r="I469" s="7" t="s">
        <v>869</v>
      </c>
      <c r="J469" s="23" t="s">
        <v>1741</v>
      </c>
      <c r="K469" s="24" t="s">
        <v>1742</v>
      </c>
      <c r="L469" s="22" t="s">
        <v>1743</v>
      </c>
      <c r="M469" s="25"/>
      <c r="N469" s="25"/>
      <c r="O469" s="26"/>
      <c r="P469" s="27"/>
      <c r="Q469" s="28"/>
      <c r="R469" s="28"/>
      <c r="S469" s="26"/>
    </row>
    <row r="470" customFormat="false" ht="15" hidden="false" customHeight="false" outlineLevel="0" collapsed="false">
      <c r="A470" s="7" t="n">
        <v>466</v>
      </c>
      <c r="B470" s="9" t="s">
        <v>19</v>
      </c>
      <c r="C470" s="22" t="s">
        <v>725</v>
      </c>
      <c r="D470" s="9" t="s">
        <v>1403</v>
      </c>
      <c r="E470" s="9" t="s">
        <v>48</v>
      </c>
      <c r="F470" s="9" t="s">
        <v>99</v>
      </c>
      <c r="G470" s="22" t="s">
        <v>5982</v>
      </c>
      <c r="H470" s="9" t="s">
        <v>4298</v>
      </c>
      <c r="I470" s="7"/>
      <c r="J470" s="23" t="s">
        <v>5983</v>
      </c>
      <c r="K470" s="24" t="s">
        <v>5984</v>
      </c>
      <c r="L470" s="22" t="s">
        <v>5985</v>
      </c>
      <c r="M470" s="25"/>
      <c r="N470" s="25"/>
      <c r="O470" s="26"/>
      <c r="P470" s="27"/>
      <c r="Q470" s="28"/>
      <c r="R470" s="28"/>
      <c r="S470" s="26"/>
    </row>
    <row r="471" customFormat="false" ht="15" hidden="false" customHeight="false" outlineLevel="0" collapsed="false">
      <c r="A471" s="7" t="n">
        <v>467</v>
      </c>
      <c r="B471" s="9" t="s">
        <v>21</v>
      </c>
      <c r="C471" s="22" t="s">
        <v>1744</v>
      </c>
      <c r="D471" s="9" t="s">
        <v>899</v>
      </c>
      <c r="E471" s="9" t="s">
        <v>48</v>
      </c>
      <c r="F471" s="9" t="s">
        <v>124</v>
      </c>
      <c r="G471" s="22" t="s">
        <v>5986</v>
      </c>
      <c r="H471" s="9" t="s">
        <v>4298</v>
      </c>
      <c r="I471" s="7"/>
      <c r="J471" s="23" t="s">
        <v>5987</v>
      </c>
      <c r="K471" s="24" t="s">
        <v>5988</v>
      </c>
      <c r="L471" s="22" t="s">
        <v>5989</v>
      </c>
      <c r="M471" s="25"/>
      <c r="N471" s="25"/>
      <c r="O471" s="26"/>
      <c r="P471" s="27"/>
      <c r="Q471" s="28"/>
      <c r="R471" s="28"/>
      <c r="S471" s="26"/>
    </row>
    <row r="472" customFormat="false" ht="15" hidden="false" customHeight="false" outlineLevel="0" collapsed="false">
      <c r="A472" s="7" t="n">
        <v>468</v>
      </c>
      <c r="B472" s="9" t="s">
        <v>21</v>
      </c>
      <c r="C472" s="22" t="s">
        <v>1744</v>
      </c>
      <c r="D472" s="9" t="s">
        <v>917</v>
      </c>
      <c r="E472" s="9" t="s">
        <v>47</v>
      </c>
      <c r="F472" s="9" t="s">
        <v>99</v>
      </c>
      <c r="G472" s="22" t="s">
        <v>5990</v>
      </c>
      <c r="H472" s="9" t="s">
        <v>4298</v>
      </c>
      <c r="I472" s="7"/>
      <c r="J472" s="23" t="s">
        <v>5991</v>
      </c>
      <c r="K472" s="24" t="s">
        <v>5992</v>
      </c>
      <c r="L472" s="22" t="s">
        <v>5993</v>
      </c>
      <c r="M472" s="25"/>
      <c r="N472" s="25"/>
      <c r="O472" s="26"/>
      <c r="P472" s="27"/>
      <c r="Q472" s="28"/>
      <c r="R472" s="28"/>
      <c r="S472" s="26"/>
    </row>
    <row r="473" customFormat="false" ht="15" hidden="false" customHeight="false" outlineLevel="0" collapsed="false">
      <c r="A473" s="7" t="n">
        <v>469</v>
      </c>
      <c r="B473" s="9" t="s">
        <v>21</v>
      </c>
      <c r="C473" s="22" t="s">
        <v>1744</v>
      </c>
      <c r="D473" s="9" t="s">
        <v>917</v>
      </c>
      <c r="E473" s="9" t="s">
        <v>47</v>
      </c>
      <c r="F473" s="9" t="s">
        <v>99</v>
      </c>
      <c r="G473" s="22" t="s">
        <v>5994</v>
      </c>
      <c r="H473" s="9" t="s">
        <v>4298</v>
      </c>
      <c r="I473" s="7"/>
      <c r="J473" s="23" t="s">
        <v>5995</v>
      </c>
      <c r="K473" s="24" t="s">
        <v>5996</v>
      </c>
      <c r="L473" s="22" t="s">
        <v>5997</v>
      </c>
      <c r="M473" s="25"/>
      <c r="N473" s="25"/>
      <c r="O473" s="26"/>
      <c r="P473" s="27"/>
      <c r="Q473" s="28"/>
      <c r="R473" s="28"/>
      <c r="S473" s="26"/>
    </row>
    <row r="474" customFormat="false" ht="15" hidden="false" customHeight="false" outlineLevel="0" collapsed="false">
      <c r="A474" s="7" t="n">
        <v>470</v>
      </c>
      <c r="B474" s="9" t="s">
        <v>21</v>
      </c>
      <c r="C474" s="22" t="s">
        <v>1744</v>
      </c>
      <c r="D474" s="9" t="s">
        <v>917</v>
      </c>
      <c r="E474" s="9" t="s">
        <v>47</v>
      </c>
      <c r="F474" s="9" t="s">
        <v>99</v>
      </c>
      <c r="G474" s="22" t="s">
        <v>5998</v>
      </c>
      <c r="H474" s="9" t="s">
        <v>4298</v>
      </c>
      <c r="I474" s="7"/>
      <c r="J474" s="23" t="s">
        <v>5999</v>
      </c>
      <c r="K474" s="24" t="s">
        <v>6000</v>
      </c>
      <c r="L474" s="22" t="s">
        <v>6001</v>
      </c>
      <c r="M474" s="25"/>
      <c r="N474" s="25"/>
      <c r="O474" s="26"/>
      <c r="P474" s="27"/>
      <c r="Q474" s="28"/>
      <c r="R474" s="28"/>
      <c r="S474" s="26"/>
    </row>
    <row r="475" customFormat="false" ht="15" hidden="false" customHeight="false" outlineLevel="0" collapsed="false">
      <c r="A475" s="7" t="n">
        <v>471</v>
      </c>
      <c r="B475" s="9" t="s">
        <v>21</v>
      </c>
      <c r="C475" s="22" t="s">
        <v>1744</v>
      </c>
      <c r="D475" s="9" t="s">
        <v>917</v>
      </c>
      <c r="E475" s="9" t="s">
        <v>47</v>
      </c>
      <c r="F475" s="9" t="s">
        <v>99</v>
      </c>
      <c r="G475" s="22" t="s">
        <v>6002</v>
      </c>
      <c r="H475" s="9" t="s">
        <v>4298</v>
      </c>
      <c r="I475" s="7"/>
      <c r="J475" s="23" t="s">
        <v>6003</v>
      </c>
      <c r="K475" s="24" t="s">
        <v>6004</v>
      </c>
      <c r="L475" s="22" t="s">
        <v>6005</v>
      </c>
      <c r="M475" s="25"/>
      <c r="N475" s="25"/>
      <c r="O475" s="26"/>
      <c r="P475" s="27"/>
      <c r="Q475" s="28"/>
      <c r="R475" s="28"/>
      <c r="S475" s="26"/>
    </row>
    <row r="476" customFormat="false" ht="15" hidden="false" customHeight="false" outlineLevel="0" collapsed="false">
      <c r="A476" s="7" t="n">
        <v>472</v>
      </c>
      <c r="B476" s="9" t="s">
        <v>21</v>
      </c>
      <c r="C476" s="22" t="s">
        <v>1744</v>
      </c>
      <c r="D476" s="9" t="s">
        <v>917</v>
      </c>
      <c r="E476" s="9" t="s">
        <v>48</v>
      </c>
      <c r="F476" s="9" t="s">
        <v>124</v>
      </c>
      <c r="G476" s="22" t="s">
        <v>6006</v>
      </c>
      <c r="H476" s="9" t="s">
        <v>4298</v>
      </c>
      <c r="I476" s="7"/>
      <c r="J476" s="23" t="s">
        <v>6007</v>
      </c>
      <c r="K476" s="24" t="s">
        <v>6008</v>
      </c>
      <c r="L476" s="22" t="s">
        <v>1849</v>
      </c>
      <c r="M476" s="25"/>
      <c r="N476" s="25"/>
      <c r="O476" s="26"/>
      <c r="P476" s="27"/>
      <c r="Q476" s="28"/>
      <c r="R476" s="28"/>
      <c r="S476" s="26"/>
    </row>
    <row r="477" customFormat="false" ht="15" hidden="false" customHeight="false" outlineLevel="0" collapsed="false">
      <c r="A477" s="7" t="n">
        <v>473</v>
      </c>
      <c r="B477" s="9" t="s">
        <v>21</v>
      </c>
      <c r="C477" s="22" t="s">
        <v>1744</v>
      </c>
      <c r="D477" s="9" t="s">
        <v>917</v>
      </c>
      <c r="E477" s="9" t="s">
        <v>48</v>
      </c>
      <c r="F477" s="9" t="s">
        <v>124</v>
      </c>
      <c r="G477" s="22" t="s">
        <v>6009</v>
      </c>
      <c r="H477" s="9" t="s">
        <v>4298</v>
      </c>
      <c r="I477" s="7"/>
      <c r="J477" s="23" t="s">
        <v>6010</v>
      </c>
      <c r="K477" s="24" t="s">
        <v>6011</v>
      </c>
      <c r="L477" s="22" t="s">
        <v>6012</v>
      </c>
      <c r="M477" s="25"/>
      <c r="N477" s="25"/>
      <c r="O477" s="26"/>
      <c r="P477" s="27"/>
      <c r="Q477" s="28"/>
      <c r="R477" s="28"/>
      <c r="S477" s="26"/>
    </row>
    <row r="478" customFormat="false" ht="15" hidden="false" customHeight="false" outlineLevel="0" collapsed="false">
      <c r="A478" s="7" t="n">
        <v>474</v>
      </c>
      <c r="B478" s="9" t="s">
        <v>21</v>
      </c>
      <c r="C478" s="22" t="s">
        <v>1744</v>
      </c>
      <c r="D478" s="9" t="s">
        <v>917</v>
      </c>
      <c r="E478" s="9" t="s">
        <v>48</v>
      </c>
      <c r="F478" s="9" t="s">
        <v>124</v>
      </c>
      <c r="G478" s="22" t="s">
        <v>6013</v>
      </c>
      <c r="H478" s="9" t="s">
        <v>4298</v>
      </c>
      <c r="I478" s="7"/>
      <c r="J478" s="23" t="s">
        <v>6014</v>
      </c>
      <c r="K478" s="24" t="s">
        <v>6015</v>
      </c>
      <c r="L478" s="22" t="s">
        <v>6016</v>
      </c>
      <c r="M478" s="25"/>
      <c r="N478" s="25"/>
      <c r="O478" s="26"/>
      <c r="P478" s="27"/>
      <c r="Q478" s="28"/>
      <c r="R478" s="28"/>
      <c r="S478" s="26"/>
    </row>
    <row r="479" customFormat="false" ht="15" hidden="false" customHeight="false" outlineLevel="0" collapsed="false">
      <c r="A479" s="7" t="n">
        <v>475</v>
      </c>
      <c r="B479" s="9" t="s">
        <v>21</v>
      </c>
      <c r="C479" s="22" t="s">
        <v>1744</v>
      </c>
      <c r="D479" s="9" t="s">
        <v>917</v>
      </c>
      <c r="E479" s="9" t="s">
        <v>48</v>
      </c>
      <c r="F479" s="9" t="s">
        <v>99</v>
      </c>
      <c r="G479" s="22" t="s">
        <v>6017</v>
      </c>
      <c r="H479" s="9" t="s">
        <v>4298</v>
      </c>
      <c r="I479" s="7"/>
      <c r="J479" s="23" t="s">
        <v>6018</v>
      </c>
      <c r="K479" s="24" t="s">
        <v>6019</v>
      </c>
      <c r="L479" s="22" t="s">
        <v>6020</v>
      </c>
      <c r="M479" s="25"/>
      <c r="N479" s="25"/>
      <c r="O479" s="26"/>
      <c r="P479" s="27"/>
      <c r="Q479" s="28"/>
      <c r="R479" s="28"/>
      <c r="S479" s="26"/>
    </row>
    <row r="480" customFormat="false" ht="15" hidden="false" customHeight="false" outlineLevel="0" collapsed="false">
      <c r="A480" s="7" t="n">
        <v>476</v>
      </c>
      <c r="B480" s="9" t="s">
        <v>21</v>
      </c>
      <c r="C480" s="22" t="s">
        <v>1781</v>
      </c>
      <c r="D480" s="9" t="s">
        <v>1782</v>
      </c>
      <c r="E480" s="9" t="s">
        <v>47</v>
      </c>
      <c r="F480" s="9" t="s">
        <v>99</v>
      </c>
      <c r="G480" s="22" t="s">
        <v>1783</v>
      </c>
      <c r="H480" s="9" t="s">
        <v>4298</v>
      </c>
      <c r="I480" s="7" t="s">
        <v>869</v>
      </c>
      <c r="J480" s="23" t="s">
        <v>1784</v>
      </c>
      <c r="K480" s="24" t="s">
        <v>1785</v>
      </c>
      <c r="L480" s="22" t="s">
        <v>1786</v>
      </c>
      <c r="M480" s="25"/>
      <c r="N480" s="25"/>
      <c r="O480" s="26"/>
      <c r="P480" s="27"/>
      <c r="Q480" s="28"/>
      <c r="R480" s="28"/>
      <c r="S480" s="26"/>
    </row>
    <row r="481" customFormat="false" ht="15" hidden="false" customHeight="false" outlineLevel="0" collapsed="false">
      <c r="A481" s="7" t="n">
        <v>477</v>
      </c>
      <c r="B481" s="9" t="s">
        <v>21</v>
      </c>
      <c r="C481" s="22" t="s">
        <v>1781</v>
      </c>
      <c r="D481" s="9" t="s">
        <v>1782</v>
      </c>
      <c r="E481" s="9" t="s">
        <v>47</v>
      </c>
      <c r="F481" s="9" t="s">
        <v>99</v>
      </c>
      <c r="G481" s="22" t="s">
        <v>6021</v>
      </c>
      <c r="H481" s="9" t="s">
        <v>4298</v>
      </c>
      <c r="I481" s="7"/>
      <c r="J481" s="23" t="s">
        <v>6022</v>
      </c>
      <c r="K481" s="24" t="s">
        <v>6023</v>
      </c>
      <c r="L481" s="22" t="s">
        <v>6024</v>
      </c>
      <c r="M481" s="25"/>
      <c r="N481" s="25"/>
      <c r="O481" s="26"/>
      <c r="P481" s="27"/>
      <c r="Q481" s="28"/>
      <c r="R481" s="28"/>
      <c r="S481" s="26"/>
    </row>
    <row r="482" customFormat="false" ht="15" hidden="false" customHeight="false" outlineLevel="0" collapsed="false">
      <c r="A482" s="7" t="n">
        <v>478</v>
      </c>
      <c r="B482" s="9" t="s">
        <v>21</v>
      </c>
      <c r="C482" s="22" t="s">
        <v>1781</v>
      </c>
      <c r="D482" s="9" t="s">
        <v>1782</v>
      </c>
      <c r="E482" s="9" t="s">
        <v>47</v>
      </c>
      <c r="F482" s="9" t="s">
        <v>99</v>
      </c>
      <c r="G482" s="22" t="s">
        <v>6025</v>
      </c>
      <c r="H482" s="9" t="s">
        <v>4298</v>
      </c>
      <c r="I482" s="7"/>
      <c r="J482" s="23" t="s">
        <v>6026</v>
      </c>
      <c r="K482" s="24" t="s">
        <v>6027</v>
      </c>
      <c r="L482" s="22" t="s">
        <v>6028</v>
      </c>
      <c r="M482" s="25"/>
      <c r="N482" s="25"/>
      <c r="O482" s="26"/>
      <c r="P482" s="27"/>
      <c r="Q482" s="28"/>
      <c r="R482" s="28"/>
      <c r="S482" s="26"/>
    </row>
    <row r="483" customFormat="false" ht="15" hidden="false" customHeight="false" outlineLevel="0" collapsed="false">
      <c r="A483" s="7" t="n">
        <v>479</v>
      </c>
      <c r="B483" s="9" t="s">
        <v>21</v>
      </c>
      <c r="C483" s="22" t="s">
        <v>1781</v>
      </c>
      <c r="D483" s="9" t="s">
        <v>1782</v>
      </c>
      <c r="E483" s="9" t="s">
        <v>47</v>
      </c>
      <c r="F483" s="9" t="s">
        <v>99</v>
      </c>
      <c r="G483" s="22" t="s">
        <v>6029</v>
      </c>
      <c r="H483" s="9" t="s">
        <v>4298</v>
      </c>
      <c r="I483" s="7"/>
      <c r="J483" s="23" t="s">
        <v>6030</v>
      </c>
      <c r="K483" s="24" t="s">
        <v>6031</v>
      </c>
      <c r="L483" s="22" t="s">
        <v>6032</v>
      </c>
      <c r="M483" s="25"/>
      <c r="N483" s="25"/>
      <c r="O483" s="26"/>
      <c r="P483" s="27"/>
      <c r="Q483" s="28"/>
      <c r="R483" s="28"/>
      <c r="S483" s="26"/>
    </row>
    <row r="484" customFormat="false" ht="15" hidden="false" customHeight="false" outlineLevel="0" collapsed="false">
      <c r="A484" s="7" t="n">
        <v>480</v>
      </c>
      <c r="B484" s="9" t="s">
        <v>21</v>
      </c>
      <c r="C484" s="22" t="s">
        <v>1781</v>
      </c>
      <c r="D484" s="9" t="s">
        <v>1782</v>
      </c>
      <c r="E484" s="9" t="s">
        <v>47</v>
      </c>
      <c r="F484" s="9" t="s">
        <v>99</v>
      </c>
      <c r="G484" s="22" t="s">
        <v>6033</v>
      </c>
      <c r="H484" s="9" t="s">
        <v>4298</v>
      </c>
      <c r="I484" s="7"/>
      <c r="J484" s="23" t="s">
        <v>6034</v>
      </c>
      <c r="K484" s="24" t="s">
        <v>6035</v>
      </c>
      <c r="L484" s="22" t="s">
        <v>6036</v>
      </c>
      <c r="M484" s="25"/>
      <c r="N484" s="25"/>
      <c r="O484" s="26"/>
      <c r="P484" s="27"/>
      <c r="Q484" s="28"/>
      <c r="R484" s="28"/>
      <c r="S484" s="26"/>
    </row>
    <row r="485" customFormat="false" ht="15" hidden="false" customHeight="false" outlineLevel="0" collapsed="false">
      <c r="A485" s="7" t="n">
        <v>481</v>
      </c>
      <c r="B485" s="9" t="s">
        <v>21</v>
      </c>
      <c r="C485" s="22" t="s">
        <v>1781</v>
      </c>
      <c r="D485" s="9" t="s">
        <v>1782</v>
      </c>
      <c r="E485" s="9" t="s">
        <v>47</v>
      </c>
      <c r="F485" s="9" t="s">
        <v>99</v>
      </c>
      <c r="G485" s="22" t="s">
        <v>6037</v>
      </c>
      <c r="H485" s="9" t="s">
        <v>4298</v>
      </c>
      <c r="I485" s="7"/>
      <c r="J485" s="23" t="s">
        <v>6038</v>
      </c>
      <c r="K485" s="24" t="s">
        <v>6039</v>
      </c>
      <c r="L485" s="22" t="s">
        <v>6040</v>
      </c>
      <c r="M485" s="25"/>
      <c r="N485" s="25"/>
      <c r="O485" s="26"/>
      <c r="P485" s="27"/>
      <c r="Q485" s="28"/>
      <c r="R485" s="28"/>
      <c r="S485" s="26"/>
    </row>
    <row r="486" customFormat="false" ht="15" hidden="false" customHeight="false" outlineLevel="0" collapsed="false">
      <c r="A486" s="7" t="n">
        <v>482</v>
      </c>
      <c r="B486" s="9" t="s">
        <v>21</v>
      </c>
      <c r="C486" s="22" t="s">
        <v>1781</v>
      </c>
      <c r="D486" s="9" t="s">
        <v>1782</v>
      </c>
      <c r="E486" s="9" t="s">
        <v>47</v>
      </c>
      <c r="F486" s="9" t="s">
        <v>99</v>
      </c>
      <c r="G486" s="22" t="s">
        <v>1795</v>
      </c>
      <c r="H486" s="9" t="s">
        <v>4298</v>
      </c>
      <c r="I486" s="7" t="s">
        <v>869</v>
      </c>
      <c r="J486" s="23" t="s">
        <v>1796</v>
      </c>
      <c r="K486" s="24" t="s">
        <v>1797</v>
      </c>
      <c r="L486" s="22" t="s">
        <v>1798</v>
      </c>
      <c r="M486" s="25"/>
      <c r="N486" s="25"/>
      <c r="O486" s="26"/>
      <c r="P486" s="27"/>
      <c r="Q486" s="28"/>
      <c r="R486" s="28"/>
      <c r="S486" s="26"/>
    </row>
    <row r="487" customFormat="false" ht="15" hidden="false" customHeight="false" outlineLevel="0" collapsed="false">
      <c r="A487" s="7" t="n">
        <v>483</v>
      </c>
      <c r="B487" s="9" t="s">
        <v>21</v>
      </c>
      <c r="C487" s="22" t="s">
        <v>1781</v>
      </c>
      <c r="D487" s="9" t="s">
        <v>1782</v>
      </c>
      <c r="E487" s="9" t="s">
        <v>48</v>
      </c>
      <c r="F487" s="9" t="s">
        <v>124</v>
      </c>
      <c r="G487" s="22" t="s">
        <v>6041</v>
      </c>
      <c r="H487" s="9" t="s">
        <v>4298</v>
      </c>
      <c r="I487" s="7"/>
      <c r="J487" s="23" t="s">
        <v>6042</v>
      </c>
      <c r="K487" s="24" t="s">
        <v>6043</v>
      </c>
      <c r="L487" s="22" t="s">
        <v>6044</v>
      </c>
      <c r="M487" s="25"/>
      <c r="N487" s="25"/>
      <c r="O487" s="26"/>
      <c r="P487" s="27"/>
      <c r="Q487" s="28"/>
      <c r="R487" s="28"/>
      <c r="S487" s="26"/>
    </row>
    <row r="488" customFormat="false" ht="15" hidden="false" customHeight="false" outlineLevel="0" collapsed="false">
      <c r="A488" s="7" t="n">
        <v>484</v>
      </c>
      <c r="B488" s="9" t="s">
        <v>21</v>
      </c>
      <c r="C488" s="22" t="s">
        <v>1781</v>
      </c>
      <c r="D488" s="9" t="s">
        <v>1782</v>
      </c>
      <c r="E488" s="9" t="s">
        <v>48</v>
      </c>
      <c r="F488" s="9" t="s">
        <v>99</v>
      </c>
      <c r="G488" s="22" t="s">
        <v>6045</v>
      </c>
      <c r="H488" s="9" t="s">
        <v>4298</v>
      </c>
      <c r="I488" s="7"/>
      <c r="J488" s="23" t="s">
        <v>6046</v>
      </c>
      <c r="K488" s="24" t="s">
        <v>6047</v>
      </c>
      <c r="L488" s="22" t="s">
        <v>6048</v>
      </c>
      <c r="M488" s="25"/>
      <c r="N488" s="25"/>
      <c r="O488" s="26"/>
      <c r="P488" s="27"/>
      <c r="Q488" s="28"/>
      <c r="R488" s="28"/>
      <c r="S488" s="26"/>
    </row>
    <row r="489" customFormat="false" ht="15" hidden="false" customHeight="false" outlineLevel="0" collapsed="false">
      <c r="A489" s="7" t="n">
        <v>485</v>
      </c>
      <c r="B489" s="9" t="s">
        <v>21</v>
      </c>
      <c r="C489" s="22" t="s">
        <v>1781</v>
      </c>
      <c r="D489" s="9" t="s">
        <v>1782</v>
      </c>
      <c r="E489" s="9" t="s">
        <v>48</v>
      </c>
      <c r="F489" s="9" t="s">
        <v>99</v>
      </c>
      <c r="G489" s="22" t="s">
        <v>6049</v>
      </c>
      <c r="H489" s="9" t="s">
        <v>4298</v>
      </c>
      <c r="I489" s="7"/>
      <c r="J489" s="23" t="s">
        <v>6050</v>
      </c>
      <c r="K489" s="24" t="s">
        <v>6051</v>
      </c>
      <c r="L489" s="22" t="s">
        <v>6052</v>
      </c>
      <c r="M489" s="25"/>
      <c r="N489" s="25"/>
      <c r="O489" s="26"/>
      <c r="P489" s="27"/>
      <c r="Q489" s="28"/>
      <c r="R489" s="28"/>
      <c r="S489" s="26"/>
    </row>
    <row r="490" customFormat="false" ht="15" hidden="false" customHeight="false" outlineLevel="0" collapsed="false">
      <c r="A490" s="7" t="n">
        <v>486</v>
      </c>
      <c r="B490" s="9" t="s">
        <v>21</v>
      </c>
      <c r="C490" s="22" t="s">
        <v>1781</v>
      </c>
      <c r="D490" s="9" t="s">
        <v>886</v>
      </c>
      <c r="E490" s="9" t="s">
        <v>47</v>
      </c>
      <c r="F490" s="9" t="s">
        <v>99</v>
      </c>
      <c r="G490" s="22" t="s">
        <v>6053</v>
      </c>
      <c r="H490" s="9" t="s">
        <v>4298</v>
      </c>
      <c r="I490" s="7"/>
      <c r="J490" s="23" t="s">
        <v>6054</v>
      </c>
      <c r="K490" s="24" t="s">
        <v>6055</v>
      </c>
      <c r="L490" s="22" t="s">
        <v>6056</v>
      </c>
      <c r="M490" s="25"/>
      <c r="N490" s="25"/>
      <c r="O490" s="26"/>
      <c r="P490" s="27"/>
      <c r="Q490" s="28"/>
      <c r="R490" s="28"/>
      <c r="S490" s="26"/>
    </row>
    <row r="491" customFormat="false" ht="15" hidden="false" customHeight="false" outlineLevel="0" collapsed="false">
      <c r="A491" s="7" t="n">
        <v>487</v>
      </c>
      <c r="B491" s="9" t="s">
        <v>21</v>
      </c>
      <c r="C491" s="22" t="s">
        <v>1781</v>
      </c>
      <c r="D491" s="9" t="s">
        <v>886</v>
      </c>
      <c r="E491" s="9" t="s">
        <v>47</v>
      </c>
      <c r="F491" s="9" t="s">
        <v>99</v>
      </c>
      <c r="G491" s="22" t="s">
        <v>6057</v>
      </c>
      <c r="H491" s="9" t="s">
        <v>4298</v>
      </c>
      <c r="I491" s="7"/>
      <c r="J491" s="23" t="s">
        <v>6058</v>
      </c>
      <c r="K491" s="24" t="s">
        <v>6059</v>
      </c>
      <c r="L491" s="22" t="s">
        <v>6060</v>
      </c>
      <c r="M491" s="25"/>
      <c r="N491" s="25"/>
      <c r="O491" s="26"/>
      <c r="P491" s="27"/>
      <c r="Q491" s="28"/>
      <c r="R491" s="28"/>
      <c r="S491" s="26"/>
    </row>
    <row r="492" customFormat="false" ht="15" hidden="false" customHeight="false" outlineLevel="0" collapsed="false">
      <c r="A492" s="7" t="n">
        <v>488</v>
      </c>
      <c r="B492" s="9" t="s">
        <v>21</v>
      </c>
      <c r="C492" s="22" t="s">
        <v>1781</v>
      </c>
      <c r="D492" s="9" t="s">
        <v>1000</v>
      </c>
      <c r="E492" s="9" t="s">
        <v>47</v>
      </c>
      <c r="F492" s="9" t="s">
        <v>99</v>
      </c>
      <c r="G492" s="22" t="s">
        <v>6061</v>
      </c>
      <c r="H492" s="9" t="s">
        <v>4298</v>
      </c>
      <c r="I492" s="7"/>
      <c r="J492" s="23" t="s">
        <v>6062</v>
      </c>
      <c r="K492" s="24" t="s">
        <v>6063</v>
      </c>
      <c r="L492" s="22" t="s">
        <v>6064</v>
      </c>
      <c r="M492" s="25"/>
      <c r="N492" s="25"/>
      <c r="O492" s="26"/>
      <c r="P492" s="27"/>
      <c r="Q492" s="28"/>
      <c r="R492" s="28"/>
      <c r="S492" s="26"/>
    </row>
    <row r="493" customFormat="false" ht="15" hidden="false" customHeight="false" outlineLevel="0" collapsed="false">
      <c r="A493" s="7" t="n">
        <v>489</v>
      </c>
      <c r="B493" s="9" t="s">
        <v>21</v>
      </c>
      <c r="C493" s="22" t="s">
        <v>1781</v>
      </c>
      <c r="D493" s="9" t="s">
        <v>1000</v>
      </c>
      <c r="E493" s="9" t="s">
        <v>47</v>
      </c>
      <c r="F493" s="9" t="s">
        <v>99</v>
      </c>
      <c r="G493" s="22" t="s">
        <v>6065</v>
      </c>
      <c r="H493" s="9" t="s">
        <v>4298</v>
      </c>
      <c r="I493" s="7"/>
      <c r="J493" s="23" t="s">
        <v>6066</v>
      </c>
      <c r="K493" s="24" t="s">
        <v>6067</v>
      </c>
      <c r="L493" s="22" t="s">
        <v>6068</v>
      </c>
      <c r="M493" s="25"/>
      <c r="N493" s="25"/>
      <c r="O493" s="26"/>
      <c r="P493" s="27"/>
      <c r="Q493" s="28"/>
      <c r="R493" s="28"/>
      <c r="S493" s="26"/>
    </row>
    <row r="494" customFormat="false" ht="15" hidden="false" customHeight="false" outlineLevel="0" collapsed="false">
      <c r="A494" s="7" t="n">
        <v>490</v>
      </c>
      <c r="B494" s="9" t="s">
        <v>21</v>
      </c>
      <c r="C494" s="22" t="s">
        <v>1781</v>
      </c>
      <c r="D494" s="9" t="s">
        <v>1000</v>
      </c>
      <c r="E494" s="9" t="s">
        <v>47</v>
      </c>
      <c r="F494" s="9" t="s">
        <v>99</v>
      </c>
      <c r="G494" s="22" t="s">
        <v>6069</v>
      </c>
      <c r="H494" s="9" t="s">
        <v>4298</v>
      </c>
      <c r="I494" s="7"/>
      <c r="J494" s="23" t="s">
        <v>6070</v>
      </c>
      <c r="K494" s="24" t="s">
        <v>6071</v>
      </c>
      <c r="L494" s="22" t="s">
        <v>6072</v>
      </c>
      <c r="M494" s="25"/>
      <c r="N494" s="25"/>
      <c r="O494" s="26"/>
      <c r="P494" s="27"/>
      <c r="Q494" s="28"/>
      <c r="R494" s="28"/>
      <c r="S494" s="26"/>
    </row>
    <row r="495" customFormat="false" ht="15" hidden="false" customHeight="false" outlineLevel="0" collapsed="false">
      <c r="A495" s="7" t="n">
        <v>491</v>
      </c>
      <c r="B495" s="9" t="s">
        <v>21</v>
      </c>
      <c r="C495" s="22" t="s">
        <v>1781</v>
      </c>
      <c r="D495" s="9" t="s">
        <v>1000</v>
      </c>
      <c r="E495" s="9" t="s">
        <v>48</v>
      </c>
      <c r="F495" s="9" t="s">
        <v>99</v>
      </c>
      <c r="G495" s="22" t="s">
        <v>6073</v>
      </c>
      <c r="H495" s="9" t="s">
        <v>4298</v>
      </c>
      <c r="I495" s="7"/>
      <c r="J495" s="23" t="s">
        <v>6074</v>
      </c>
      <c r="K495" s="24" t="s">
        <v>6075</v>
      </c>
      <c r="L495" s="22" t="s">
        <v>6076</v>
      </c>
      <c r="M495" s="25"/>
      <c r="N495" s="25"/>
      <c r="O495" s="26"/>
      <c r="P495" s="27"/>
      <c r="Q495" s="28"/>
      <c r="R495" s="28"/>
      <c r="S495" s="26"/>
    </row>
    <row r="496" customFormat="false" ht="15" hidden="false" customHeight="false" outlineLevel="0" collapsed="false">
      <c r="A496" s="7" t="n">
        <v>492</v>
      </c>
      <c r="B496" s="9" t="s">
        <v>21</v>
      </c>
      <c r="C496" s="22" t="s">
        <v>1781</v>
      </c>
      <c r="D496" s="9" t="s">
        <v>1000</v>
      </c>
      <c r="E496" s="9" t="s">
        <v>48</v>
      </c>
      <c r="F496" s="9" t="s">
        <v>124</v>
      </c>
      <c r="G496" s="22" t="s">
        <v>6077</v>
      </c>
      <c r="H496" s="9" t="s">
        <v>4298</v>
      </c>
      <c r="I496" s="7"/>
      <c r="J496" s="23" t="s">
        <v>6078</v>
      </c>
      <c r="K496" s="24" t="s">
        <v>6079</v>
      </c>
      <c r="L496" s="22" t="s">
        <v>6080</v>
      </c>
      <c r="M496" s="25"/>
      <c r="N496" s="25"/>
      <c r="O496" s="26"/>
      <c r="P496" s="27"/>
      <c r="Q496" s="28"/>
      <c r="R496" s="28"/>
      <c r="S496" s="26"/>
    </row>
    <row r="497" customFormat="false" ht="15" hidden="false" customHeight="false" outlineLevel="0" collapsed="false">
      <c r="A497" s="7" t="n">
        <v>493</v>
      </c>
      <c r="B497" s="9" t="s">
        <v>21</v>
      </c>
      <c r="C497" s="22" t="s">
        <v>1781</v>
      </c>
      <c r="D497" s="9" t="s">
        <v>1000</v>
      </c>
      <c r="E497" s="9" t="s">
        <v>48</v>
      </c>
      <c r="F497" s="9" t="s">
        <v>99</v>
      </c>
      <c r="G497" s="22" t="s">
        <v>6081</v>
      </c>
      <c r="H497" s="9" t="s">
        <v>4298</v>
      </c>
      <c r="I497" s="7"/>
      <c r="J497" s="23" t="s">
        <v>6082</v>
      </c>
      <c r="K497" s="24" t="s">
        <v>6083</v>
      </c>
      <c r="L497" s="22" t="s">
        <v>6084</v>
      </c>
      <c r="M497" s="25"/>
      <c r="N497" s="25"/>
      <c r="O497" s="26"/>
      <c r="P497" s="27"/>
      <c r="Q497" s="28"/>
      <c r="R497" s="28"/>
      <c r="S497" s="26"/>
    </row>
    <row r="498" customFormat="false" ht="15" hidden="false" customHeight="false" outlineLevel="0" collapsed="false">
      <c r="A498" s="7" t="n">
        <v>494</v>
      </c>
      <c r="B498" s="9" t="s">
        <v>21</v>
      </c>
      <c r="C498" s="22" t="s">
        <v>300</v>
      </c>
      <c r="D498" s="9" t="s">
        <v>1782</v>
      </c>
      <c r="E498" s="9" t="s">
        <v>49</v>
      </c>
      <c r="F498" s="9" t="s">
        <v>99</v>
      </c>
      <c r="G498" s="22" t="s">
        <v>6085</v>
      </c>
      <c r="H498" s="9" t="s">
        <v>4298</v>
      </c>
      <c r="I498" s="7"/>
      <c r="J498" s="23" t="s">
        <v>6086</v>
      </c>
      <c r="K498" s="24" t="s">
        <v>6087</v>
      </c>
      <c r="L498" s="22" t="s">
        <v>6088</v>
      </c>
      <c r="M498" s="25"/>
      <c r="N498" s="25"/>
      <c r="O498" s="26"/>
      <c r="P498" s="27"/>
      <c r="Q498" s="28"/>
      <c r="R498" s="28"/>
      <c r="S498" s="26"/>
    </row>
    <row r="499" customFormat="false" ht="15" hidden="false" customHeight="false" outlineLevel="0" collapsed="false">
      <c r="A499" s="7" t="n">
        <v>495</v>
      </c>
      <c r="B499" s="9" t="s">
        <v>21</v>
      </c>
      <c r="C499" s="22" t="s">
        <v>300</v>
      </c>
      <c r="D499" s="9" t="s">
        <v>1782</v>
      </c>
      <c r="E499" s="9" t="s">
        <v>49</v>
      </c>
      <c r="F499" s="9" t="s">
        <v>124</v>
      </c>
      <c r="G499" s="22" t="s">
        <v>6089</v>
      </c>
      <c r="H499" s="9" t="s">
        <v>4298</v>
      </c>
      <c r="I499" s="7"/>
      <c r="J499" s="23" t="s">
        <v>6090</v>
      </c>
      <c r="K499" s="24" t="s">
        <v>6091</v>
      </c>
      <c r="L499" s="22" t="s">
        <v>6092</v>
      </c>
      <c r="M499" s="25"/>
      <c r="N499" s="25"/>
      <c r="O499" s="26"/>
      <c r="P499" s="27"/>
      <c r="Q499" s="28"/>
      <c r="R499" s="28"/>
      <c r="S499" s="26"/>
    </row>
    <row r="500" customFormat="false" ht="15" hidden="false" customHeight="false" outlineLevel="0" collapsed="false">
      <c r="A500" s="7" t="n">
        <v>496</v>
      </c>
      <c r="B500" s="9" t="s">
        <v>21</v>
      </c>
      <c r="C500" s="22" t="s">
        <v>300</v>
      </c>
      <c r="D500" s="9" t="s">
        <v>1782</v>
      </c>
      <c r="E500" s="9" t="s">
        <v>326</v>
      </c>
      <c r="F500" s="9" t="s">
        <v>99</v>
      </c>
      <c r="G500" s="22" t="s">
        <v>6093</v>
      </c>
      <c r="H500" s="9" t="s">
        <v>4298</v>
      </c>
      <c r="I500" s="7"/>
      <c r="J500" s="23" t="s">
        <v>6094</v>
      </c>
      <c r="K500" s="24" t="s">
        <v>6095</v>
      </c>
      <c r="L500" s="22" t="s">
        <v>6096</v>
      </c>
      <c r="M500" s="25"/>
      <c r="N500" s="25"/>
      <c r="O500" s="26"/>
      <c r="P500" s="27"/>
      <c r="Q500" s="28"/>
      <c r="R500" s="28"/>
      <c r="S500" s="26"/>
    </row>
    <row r="501" customFormat="false" ht="15" hidden="false" customHeight="false" outlineLevel="0" collapsed="false">
      <c r="A501" s="7" t="n">
        <v>497</v>
      </c>
      <c r="B501" s="9" t="s">
        <v>21</v>
      </c>
      <c r="C501" s="22" t="s">
        <v>300</v>
      </c>
      <c r="D501" s="9" t="s">
        <v>886</v>
      </c>
      <c r="E501" s="9" t="s">
        <v>49</v>
      </c>
      <c r="F501" s="9" t="s">
        <v>124</v>
      </c>
      <c r="G501" s="22" t="s">
        <v>6097</v>
      </c>
      <c r="H501" s="9" t="s">
        <v>4298</v>
      </c>
      <c r="I501" s="7"/>
      <c r="J501" s="23" t="s">
        <v>6098</v>
      </c>
      <c r="K501" s="24" t="s">
        <v>6099</v>
      </c>
      <c r="L501" s="22" t="s">
        <v>6100</v>
      </c>
      <c r="M501" s="25"/>
      <c r="N501" s="25"/>
      <c r="O501" s="26"/>
      <c r="P501" s="27"/>
      <c r="Q501" s="28"/>
      <c r="R501" s="28"/>
      <c r="S501" s="26"/>
    </row>
    <row r="502" customFormat="false" ht="15" hidden="false" customHeight="false" outlineLevel="0" collapsed="false">
      <c r="A502" s="7" t="n">
        <v>498</v>
      </c>
      <c r="B502" s="9" t="s">
        <v>21</v>
      </c>
      <c r="C502" s="22" t="s">
        <v>300</v>
      </c>
      <c r="D502" s="9" t="s">
        <v>886</v>
      </c>
      <c r="E502" s="9" t="s">
        <v>49</v>
      </c>
      <c r="F502" s="9" t="s">
        <v>124</v>
      </c>
      <c r="G502" s="22" t="s">
        <v>6101</v>
      </c>
      <c r="H502" s="9" t="s">
        <v>4298</v>
      </c>
      <c r="I502" s="7"/>
      <c r="J502" s="23" t="s">
        <v>6102</v>
      </c>
      <c r="K502" s="24" t="s">
        <v>6103</v>
      </c>
      <c r="L502" s="22" t="s">
        <v>6104</v>
      </c>
      <c r="M502" s="25"/>
      <c r="N502" s="25"/>
      <c r="O502" s="26"/>
      <c r="P502" s="27"/>
      <c r="Q502" s="28"/>
      <c r="R502" s="28"/>
      <c r="S502" s="26"/>
    </row>
    <row r="503" customFormat="false" ht="15" hidden="false" customHeight="false" outlineLevel="0" collapsed="false">
      <c r="A503" s="7" t="n">
        <v>499</v>
      </c>
      <c r="B503" s="9" t="s">
        <v>21</v>
      </c>
      <c r="C503" s="22" t="s">
        <v>300</v>
      </c>
      <c r="D503" s="9" t="s">
        <v>886</v>
      </c>
      <c r="E503" s="9" t="s">
        <v>49</v>
      </c>
      <c r="F503" s="9" t="s">
        <v>124</v>
      </c>
      <c r="G503" s="22" t="s">
        <v>6105</v>
      </c>
      <c r="H503" s="9" t="s">
        <v>4298</v>
      </c>
      <c r="I503" s="7"/>
      <c r="J503" s="23" t="s">
        <v>6106</v>
      </c>
      <c r="K503" s="24" t="s">
        <v>6107</v>
      </c>
      <c r="L503" s="22" t="s">
        <v>6108</v>
      </c>
      <c r="M503" s="25"/>
      <c r="N503" s="25"/>
      <c r="O503" s="26"/>
      <c r="P503" s="27"/>
      <c r="Q503" s="28"/>
      <c r="R503" s="28"/>
      <c r="S503" s="26"/>
    </row>
    <row r="504" customFormat="false" ht="15" hidden="false" customHeight="false" outlineLevel="0" collapsed="false">
      <c r="A504" s="7" t="n">
        <v>500</v>
      </c>
      <c r="B504" s="9" t="s">
        <v>21</v>
      </c>
      <c r="C504" s="22" t="s">
        <v>300</v>
      </c>
      <c r="D504" s="9" t="s">
        <v>886</v>
      </c>
      <c r="E504" s="9" t="s">
        <v>326</v>
      </c>
      <c r="F504" s="9" t="s">
        <v>99</v>
      </c>
      <c r="G504" s="22" t="s">
        <v>6109</v>
      </c>
      <c r="H504" s="9" t="s">
        <v>4298</v>
      </c>
      <c r="I504" s="7"/>
      <c r="J504" s="23" t="s">
        <v>6110</v>
      </c>
      <c r="K504" s="24" t="s">
        <v>6111</v>
      </c>
      <c r="L504" s="22" t="s">
        <v>6112</v>
      </c>
      <c r="M504" s="25"/>
      <c r="N504" s="25"/>
      <c r="O504" s="26"/>
      <c r="P504" s="27"/>
      <c r="Q504" s="28"/>
      <c r="R504" s="28"/>
      <c r="S504" s="26"/>
    </row>
    <row r="505" customFormat="false" ht="15" hidden="false" customHeight="false" outlineLevel="0" collapsed="false">
      <c r="A505" s="7" t="n">
        <v>501</v>
      </c>
      <c r="B505" s="9" t="s">
        <v>21</v>
      </c>
      <c r="C505" s="22" t="s">
        <v>300</v>
      </c>
      <c r="D505" s="9" t="s">
        <v>899</v>
      </c>
      <c r="E505" s="9" t="s">
        <v>49</v>
      </c>
      <c r="F505" s="9" t="s">
        <v>124</v>
      </c>
      <c r="G505" s="22" t="s">
        <v>6113</v>
      </c>
      <c r="H505" s="9" t="s">
        <v>4298</v>
      </c>
      <c r="I505" s="7"/>
      <c r="J505" s="23" t="s">
        <v>6114</v>
      </c>
      <c r="K505" s="24" t="s">
        <v>6115</v>
      </c>
      <c r="L505" s="22" t="s">
        <v>6116</v>
      </c>
      <c r="M505" s="25"/>
      <c r="N505" s="25"/>
      <c r="O505" s="26"/>
      <c r="P505" s="27"/>
      <c r="Q505" s="28"/>
      <c r="R505" s="28"/>
      <c r="S505" s="26"/>
    </row>
    <row r="506" customFormat="false" ht="15" hidden="false" customHeight="false" outlineLevel="0" collapsed="false">
      <c r="A506" s="7" t="n">
        <v>502</v>
      </c>
      <c r="B506" s="9" t="s">
        <v>21</v>
      </c>
      <c r="C506" s="22" t="s">
        <v>300</v>
      </c>
      <c r="D506" s="9" t="s">
        <v>917</v>
      </c>
      <c r="E506" s="9" t="s">
        <v>49</v>
      </c>
      <c r="F506" s="9" t="s">
        <v>124</v>
      </c>
      <c r="G506" s="22" t="s">
        <v>1843</v>
      </c>
      <c r="H506" s="9" t="s">
        <v>4298</v>
      </c>
      <c r="I506" s="7" t="s">
        <v>869</v>
      </c>
      <c r="J506" s="23" t="s">
        <v>1844</v>
      </c>
      <c r="K506" s="24" t="s">
        <v>1845</v>
      </c>
      <c r="L506" s="22" t="s">
        <v>1768</v>
      </c>
      <c r="M506" s="25"/>
      <c r="N506" s="25"/>
      <c r="O506" s="26"/>
      <c r="P506" s="27"/>
      <c r="Q506" s="28"/>
      <c r="R506" s="28"/>
      <c r="S506" s="26"/>
    </row>
    <row r="507" customFormat="false" ht="15" hidden="false" customHeight="false" outlineLevel="0" collapsed="false">
      <c r="A507" s="7" t="n">
        <v>503</v>
      </c>
      <c r="B507" s="9" t="s">
        <v>21</v>
      </c>
      <c r="C507" s="22" t="s">
        <v>300</v>
      </c>
      <c r="D507" s="9" t="s">
        <v>917</v>
      </c>
      <c r="E507" s="9" t="s">
        <v>49</v>
      </c>
      <c r="F507" s="9" t="s">
        <v>124</v>
      </c>
      <c r="G507" s="22" t="s">
        <v>6117</v>
      </c>
      <c r="H507" s="9" t="s">
        <v>4298</v>
      </c>
      <c r="I507" s="7"/>
      <c r="J507" s="23" t="s">
        <v>6118</v>
      </c>
      <c r="K507" s="24" t="s">
        <v>6119</v>
      </c>
      <c r="L507" s="22" t="s">
        <v>6012</v>
      </c>
      <c r="M507" s="25"/>
      <c r="N507" s="25"/>
      <c r="O507" s="26"/>
      <c r="P507" s="27"/>
      <c r="Q507" s="28"/>
      <c r="R507" s="28"/>
      <c r="S507" s="26"/>
    </row>
    <row r="508" customFormat="false" ht="15" hidden="false" customHeight="false" outlineLevel="0" collapsed="false">
      <c r="A508" s="7" t="n">
        <v>504</v>
      </c>
      <c r="B508" s="9" t="s">
        <v>21</v>
      </c>
      <c r="C508" s="22" t="s">
        <v>300</v>
      </c>
      <c r="D508" s="9" t="s">
        <v>917</v>
      </c>
      <c r="E508" s="9" t="s">
        <v>49</v>
      </c>
      <c r="F508" s="9" t="s">
        <v>124</v>
      </c>
      <c r="G508" s="22" t="s">
        <v>6120</v>
      </c>
      <c r="H508" s="9" t="s">
        <v>4298</v>
      </c>
      <c r="I508" s="7"/>
      <c r="J508" s="23" t="s">
        <v>6121</v>
      </c>
      <c r="K508" s="24" t="s">
        <v>6122</v>
      </c>
      <c r="L508" s="22" t="s">
        <v>6016</v>
      </c>
      <c r="M508" s="25"/>
      <c r="N508" s="25"/>
      <c r="O508" s="26"/>
      <c r="P508" s="27"/>
      <c r="Q508" s="28"/>
      <c r="R508" s="28"/>
      <c r="S508" s="26"/>
    </row>
    <row r="509" customFormat="false" ht="15" hidden="false" customHeight="false" outlineLevel="0" collapsed="false">
      <c r="A509" s="7" t="n">
        <v>505</v>
      </c>
      <c r="B509" s="9" t="s">
        <v>21</v>
      </c>
      <c r="C509" s="22" t="s">
        <v>300</v>
      </c>
      <c r="D509" s="9" t="s">
        <v>1000</v>
      </c>
      <c r="E509" s="9" t="s">
        <v>49</v>
      </c>
      <c r="F509" s="9" t="s">
        <v>99</v>
      </c>
      <c r="G509" s="22" t="s">
        <v>6123</v>
      </c>
      <c r="H509" s="9" t="s">
        <v>4298</v>
      </c>
      <c r="I509" s="7"/>
      <c r="J509" s="23" t="s">
        <v>6124</v>
      </c>
      <c r="K509" s="24" t="s">
        <v>6125</v>
      </c>
      <c r="L509" s="22" t="s">
        <v>6126</v>
      </c>
      <c r="M509" s="25"/>
      <c r="N509" s="25"/>
      <c r="O509" s="26"/>
      <c r="P509" s="27"/>
      <c r="Q509" s="28"/>
      <c r="R509" s="28"/>
      <c r="S509" s="26"/>
    </row>
    <row r="510" customFormat="false" ht="15" hidden="false" customHeight="false" outlineLevel="0" collapsed="false">
      <c r="A510" s="7" t="n">
        <v>506</v>
      </c>
      <c r="B510" s="9" t="s">
        <v>21</v>
      </c>
      <c r="C510" s="22" t="s">
        <v>300</v>
      </c>
      <c r="D510" s="9" t="s">
        <v>1000</v>
      </c>
      <c r="E510" s="9" t="s">
        <v>49</v>
      </c>
      <c r="F510" s="9" t="s">
        <v>99</v>
      </c>
      <c r="G510" s="22" t="s">
        <v>6127</v>
      </c>
      <c r="H510" s="9" t="s">
        <v>4298</v>
      </c>
      <c r="I510" s="7"/>
      <c r="J510" s="23" t="s">
        <v>6128</v>
      </c>
      <c r="K510" s="24" t="s">
        <v>6129</v>
      </c>
      <c r="L510" s="22" t="s">
        <v>6130</v>
      </c>
      <c r="M510" s="25"/>
      <c r="N510" s="25"/>
      <c r="O510" s="26"/>
      <c r="P510" s="27"/>
      <c r="Q510" s="28"/>
      <c r="R510" s="28"/>
      <c r="S510" s="26"/>
    </row>
    <row r="511" customFormat="false" ht="15" hidden="false" customHeight="false" outlineLevel="0" collapsed="false">
      <c r="A511" s="7" t="n">
        <v>507</v>
      </c>
      <c r="B511" s="9" t="s">
        <v>23</v>
      </c>
      <c r="C511" s="22" t="s">
        <v>300</v>
      </c>
      <c r="D511" s="9" t="s">
        <v>1890</v>
      </c>
      <c r="E511" s="9" t="s">
        <v>49</v>
      </c>
      <c r="F511" s="9" t="s">
        <v>124</v>
      </c>
      <c r="G511" s="22" t="s">
        <v>6131</v>
      </c>
      <c r="H511" s="9" t="s">
        <v>4298</v>
      </c>
      <c r="I511" s="7"/>
      <c r="J511" s="23" t="s">
        <v>6132</v>
      </c>
      <c r="K511" s="24" t="s">
        <v>6133</v>
      </c>
      <c r="L511" s="22" t="s">
        <v>1894</v>
      </c>
      <c r="M511" s="25"/>
      <c r="N511" s="25"/>
      <c r="O511" s="26"/>
      <c r="P511" s="27"/>
      <c r="Q511" s="28"/>
      <c r="R511" s="28"/>
      <c r="S511" s="26"/>
    </row>
    <row r="512" customFormat="false" ht="15" hidden="false" customHeight="false" outlineLevel="0" collapsed="false">
      <c r="A512" s="7" t="n">
        <v>508</v>
      </c>
      <c r="B512" s="9" t="s">
        <v>23</v>
      </c>
      <c r="C512" s="22" t="s">
        <v>300</v>
      </c>
      <c r="D512" s="9" t="s">
        <v>1000</v>
      </c>
      <c r="E512" s="9" t="s">
        <v>49</v>
      </c>
      <c r="F512" s="9" t="s">
        <v>99</v>
      </c>
      <c r="G512" s="22" t="s">
        <v>6134</v>
      </c>
      <c r="H512" s="9" t="s">
        <v>4298</v>
      </c>
      <c r="I512" s="7"/>
      <c r="J512" s="23" t="s">
        <v>6135</v>
      </c>
      <c r="K512" s="24" t="s">
        <v>6136</v>
      </c>
      <c r="L512" s="22" t="s">
        <v>6137</v>
      </c>
      <c r="M512" s="25"/>
      <c r="N512" s="25"/>
      <c r="O512" s="26"/>
      <c r="P512" s="27"/>
      <c r="Q512" s="28"/>
      <c r="R512" s="28"/>
      <c r="S512" s="26"/>
    </row>
    <row r="513" customFormat="false" ht="15" hidden="false" customHeight="false" outlineLevel="0" collapsed="false">
      <c r="A513" s="7" t="n">
        <v>509</v>
      </c>
      <c r="B513" s="9" t="s">
        <v>23</v>
      </c>
      <c r="C513" s="22" t="s">
        <v>300</v>
      </c>
      <c r="D513" s="9" t="s">
        <v>1000</v>
      </c>
      <c r="E513" s="9" t="s">
        <v>49</v>
      </c>
      <c r="F513" s="9" t="s">
        <v>99</v>
      </c>
      <c r="G513" s="22" t="s">
        <v>6138</v>
      </c>
      <c r="H513" s="9" t="s">
        <v>4298</v>
      </c>
      <c r="I513" s="7"/>
      <c r="J513" s="23" t="s">
        <v>6139</v>
      </c>
      <c r="K513" s="24" t="s">
        <v>6140</v>
      </c>
      <c r="L513" s="22" t="s">
        <v>6141</v>
      </c>
      <c r="M513" s="25"/>
      <c r="N513" s="25"/>
      <c r="O513" s="26"/>
      <c r="P513" s="27"/>
      <c r="Q513" s="28"/>
      <c r="R513" s="28"/>
      <c r="S513" s="26"/>
    </row>
    <row r="514" customFormat="false" ht="15" hidden="false" customHeight="false" outlineLevel="0" collapsed="false">
      <c r="A514" s="7" t="n">
        <v>510</v>
      </c>
      <c r="B514" s="9" t="s">
        <v>23</v>
      </c>
      <c r="C514" s="22" t="s">
        <v>300</v>
      </c>
      <c r="D514" s="9" t="s">
        <v>1000</v>
      </c>
      <c r="E514" s="9" t="s">
        <v>49</v>
      </c>
      <c r="F514" s="9" t="s">
        <v>99</v>
      </c>
      <c r="G514" s="22" t="s">
        <v>1857</v>
      </c>
      <c r="H514" s="9" t="s">
        <v>4298</v>
      </c>
      <c r="I514" s="7" t="s">
        <v>869</v>
      </c>
      <c r="J514" s="23" t="s">
        <v>1858</v>
      </c>
      <c r="K514" s="24" t="s">
        <v>1859</v>
      </c>
      <c r="L514" s="22" t="s">
        <v>1860</v>
      </c>
      <c r="M514" s="25"/>
      <c r="N514" s="25"/>
      <c r="O514" s="26"/>
      <c r="P514" s="27"/>
      <c r="Q514" s="28"/>
      <c r="R514" s="28"/>
      <c r="S514" s="26"/>
    </row>
    <row r="515" customFormat="false" ht="15" hidden="false" customHeight="false" outlineLevel="0" collapsed="false">
      <c r="A515" s="7" t="n">
        <v>511</v>
      </c>
      <c r="B515" s="9" t="s">
        <v>23</v>
      </c>
      <c r="C515" s="22" t="s">
        <v>300</v>
      </c>
      <c r="D515" s="9" t="s">
        <v>1000</v>
      </c>
      <c r="E515" s="9" t="s">
        <v>49</v>
      </c>
      <c r="F515" s="9" t="s">
        <v>99</v>
      </c>
      <c r="G515" s="22" t="s">
        <v>6142</v>
      </c>
      <c r="H515" s="9" t="s">
        <v>4298</v>
      </c>
      <c r="I515" s="7"/>
      <c r="J515" s="23" t="s">
        <v>6143</v>
      </c>
      <c r="K515" s="24" t="s">
        <v>6144</v>
      </c>
      <c r="L515" s="22" t="s">
        <v>6145</v>
      </c>
      <c r="M515" s="25"/>
      <c r="N515" s="25"/>
      <c r="O515" s="26"/>
      <c r="P515" s="27"/>
      <c r="Q515" s="28"/>
      <c r="R515" s="28"/>
      <c r="S515" s="26"/>
    </row>
    <row r="516" customFormat="false" ht="15" hidden="false" customHeight="false" outlineLevel="0" collapsed="false">
      <c r="A516" s="7" t="n">
        <v>512</v>
      </c>
      <c r="B516" s="9" t="s">
        <v>23</v>
      </c>
      <c r="C516" s="22" t="s">
        <v>300</v>
      </c>
      <c r="D516" s="9" t="s">
        <v>1000</v>
      </c>
      <c r="E516" s="9" t="s">
        <v>49</v>
      </c>
      <c r="F516" s="9" t="s">
        <v>124</v>
      </c>
      <c r="G516" s="22" t="s">
        <v>6146</v>
      </c>
      <c r="H516" s="9" t="s">
        <v>4298</v>
      </c>
      <c r="I516" s="7"/>
      <c r="J516" s="23" t="s">
        <v>6147</v>
      </c>
      <c r="K516" s="24" t="s">
        <v>6148</v>
      </c>
      <c r="L516" s="22" t="s">
        <v>6149</v>
      </c>
      <c r="M516" s="25"/>
      <c r="N516" s="25"/>
      <c r="O516" s="26"/>
      <c r="P516" s="27"/>
      <c r="Q516" s="28"/>
      <c r="R516" s="28"/>
      <c r="S516" s="26"/>
    </row>
    <row r="517" customFormat="false" ht="15" hidden="false" customHeight="false" outlineLevel="0" collapsed="false">
      <c r="A517" s="7" t="n">
        <v>513</v>
      </c>
      <c r="B517" s="9" t="s">
        <v>23</v>
      </c>
      <c r="C517" s="22" t="s">
        <v>300</v>
      </c>
      <c r="D517" s="9" t="s">
        <v>1000</v>
      </c>
      <c r="E517" s="9" t="s">
        <v>49</v>
      </c>
      <c r="F517" s="9" t="s">
        <v>124</v>
      </c>
      <c r="G517" s="22" t="s">
        <v>6150</v>
      </c>
      <c r="H517" s="9" t="s">
        <v>4298</v>
      </c>
      <c r="I517" s="7"/>
      <c r="J517" s="23" t="s">
        <v>6151</v>
      </c>
      <c r="K517" s="24" t="s">
        <v>6152</v>
      </c>
      <c r="L517" s="22" t="s">
        <v>6153</v>
      </c>
      <c r="M517" s="25"/>
      <c r="N517" s="25"/>
      <c r="O517" s="26"/>
      <c r="P517" s="27"/>
      <c r="Q517" s="28"/>
      <c r="R517" s="28"/>
      <c r="S517" s="26"/>
    </row>
    <row r="518" customFormat="false" ht="15" hidden="false" customHeight="false" outlineLevel="0" collapsed="false">
      <c r="A518" s="7" t="n">
        <v>514</v>
      </c>
      <c r="B518" s="9" t="s">
        <v>23</v>
      </c>
      <c r="C518" s="22" t="s">
        <v>300</v>
      </c>
      <c r="D518" s="9" t="s">
        <v>1000</v>
      </c>
      <c r="E518" s="9" t="s">
        <v>49</v>
      </c>
      <c r="F518" s="9" t="s">
        <v>124</v>
      </c>
      <c r="G518" s="22" t="s">
        <v>1865</v>
      </c>
      <c r="H518" s="9" t="s">
        <v>4298</v>
      </c>
      <c r="I518" s="7" t="s">
        <v>869</v>
      </c>
      <c r="J518" s="23" t="s">
        <v>1866</v>
      </c>
      <c r="K518" s="24" t="s">
        <v>1867</v>
      </c>
      <c r="L518" s="22" t="s">
        <v>1868</v>
      </c>
      <c r="M518" s="25"/>
      <c r="N518" s="25"/>
      <c r="O518" s="26"/>
      <c r="P518" s="27"/>
      <c r="Q518" s="28"/>
      <c r="R518" s="28"/>
      <c r="S518" s="26"/>
    </row>
    <row r="519" customFormat="false" ht="15" hidden="false" customHeight="false" outlineLevel="0" collapsed="false">
      <c r="A519" s="7" t="n">
        <v>515</v>
      </c>
      <c r="B519" s="9" t="s">
        <v>23</v>
      </c>
      <c r="C519" s="22" t="s">
        <v>300</v>
      </c>
      <c r="D519" s="9" t="s">
        <v>1869</v>
      </c>
      <c r="E519" s="9" t="s">
        <v>49</v>
      </c>
      <c r="F519" s="9" t="s">
        <v>99</v>
      </c>
      <c r="G519" s="22" t="s">
        <v>6154</v>
      </c>
      <c r="H519" s="9" t="s">
        <v>5750</v>
      </c>
      <c r="I519" s="7"/>
      <c r="J519" s="23" t="s">
        <v>6155</v>
      </c>
      <c r="K519" s="24" t="s">
        <v>6156</v>
      </c>
      <c r="L519" s="22" t="s">
        <v>6157</v>
      </c>
      <c r="M519" s="25"/>
      <c r="N519" s="25"/>
      <c r="O519" s="26"/>
      <c r="P519" s="27"/>
      <c r="Q519" s="28"/>
      <c r="R519" s="28"/>
      <c r="S519" s="26"/>
    </row>
    <row r="520" customFormat="false" ht="15" hidden="false" customHeight="false" outlineLevel="0" collapsed="false">
      <c r="A520" s="7" t="n">
        <v>516</v>
      </c>
      <c r="B520" s="9" t="s">
        <v>23</v>
      </c>
      <c r="C520" s="22" t="s">
        <v>300</v>
      </c>
      <c r="D520" s="9" t="s">
        <v>1869</v>
      </c>
      <c r="E520" s="9" t="s">
        <v>49</v>
      </c>
      <c r="F520" s="9" t="s">
        <v>99</v>
      </c>
      <c r="G520" s="22" t="s">
        <v>6158</v>
      </c>
      <c r="H520" s="9" t="s">
        <v>4298</v>
      </c>
      <c r="I520" s="7"/>
      <c r="J520" s="23" t="s">
        <v>6159</v>
      </c>
      <c r="K520" s="24" t="s">
        <v>6160</v>
      </c>
      <c r="L520" s="22" t="s">
        <v>6161</v>
      </c>
      <c r="M520" s="25"/>
      <c r="N520" s="25"/>
      <c r="O520" s="26"/>
      <c r="P520" s="27"/>
      <c r="Q520" s="28"/>
      <c r="R520" s="28"/>
      <c r="S520" s="26"/>
    </row>
    <row r="521" customFormat="false" ht="15" hidden="false" customHeight="false" outlineLevel="0" collapsed="false">
      <c r="A521" s="7" t="n">
        <v>517</v>
      </c>
      <c r="B521" s="9" t="s">
        <v>23</v>
      </c>
      <c r="C521" s="22" t="s">
        <v>300</v>
      </c>
      <c r="D521" s="9" t="s">
        <v>1869</v>
      </c>
      <c r="E521" s="9" t="s">
        <v>49</v>
      </c>
      <c r="F521" s="9" t="s">
        <v>99</v>
      </c>
      <c r="G521" s="22" t="s">
        <v>6162</v>
      </c>
      <c r="H521" s="9" t="s">
        <v>4298</v>
      </c>
      <c r="I521" s="7"/>
      <c r="J521" s="23" t="s">
        <v>6163</v>
      </c>
      <c r="K521" s="24" t="s">
        <v>6164</v>
      </c>
      <c r="L521" s="22" t="s">
        <v>6165</v>
      </c>
      <c r="M521" s="25"/>
      <c r="N521" s="25"/>
      <c r="O521" s="26"/>
      <c r="P521" s="27"/>
      <c r="Q521" s="28"/>
      <c r="R521" s="28"/>
      <c r="S521" s="26"/>
    </row>
    <row r="522" customFormat="false" ht="15" hidden="false" customHeight="false" outlineLevel="0" collapsed="false">
      <c r="A522" s="7" t="n">
        <v>518</v>
      </c>
      <c r="B522" s="9" t="s">
        <v>23</v>
      </c>
      <c r="C522" s="22" t="s">
        <v>300</v>
      </c>
      <c r="D522" s="9" t="s">
        <v>526</v>
      </c>
      <c r="E522" s="9" t="s">
        <v>49</v>
      </c>
      <c r="F522" s="9" t="s">
        <v>124</v>
      </c>
      <c r="G522" s="22" t="s">
        <v>1874</v>
      </c>
      <c r="H522" s="9" t="s">
        <v>4298</v>
      </c>
      <c r="I522" s="7" t="s">
        <v>869</v>
      </c>
      <c r="J522" s="23" t="s">
        <v>1875</v>
      </c>
      <c r="K522" s="24" t="s">
        <v>1876</v>
      </c>
      <c r="L522" s="22" t="s">
        <v>1877</v>
      </c>
      <c r="M522" s="25"/>
      <c r="N522" s="25"/>
      <c r="O522" s="26"/>
      <c r="P522" s="27"/>
      <c r="Q522" s="28"/>
      <c r="R522" s="28"/>
      <c r="S522" s="26"/>
    </row>
    <row r="523" customFormat="false" ht="15" hidden="false" customHeight="false" outlineLevel="0" collapsed="false">
      <c r="A523" s="7" t="n">
        <v>519</v>
      </c>
      <c r="B523" s="9" t="s">
        <v>23</v>
      </c>
      <c r="C523" s="22" t="s">
        <v>300</v>
      </c>
      <c r="D523" s="9" t="s">
        <v>526</v>
      </c>
      <c r="E523" s="9" t="s">
        <v>49</v>
      </c>
      <c r="F523" s="9" t="s">
        <v>99</v>
      </c>
      <c r="G523" s="22" t="s">
        <v>6166</v>
      </c>
      <c r="H523" s="9" t="s">
        <v>4298</v>
      </c>
      <c r="I523" s="7"/>
      <c r="J523" s="23" t="s">
        <v>6167</v>
      </c>
      <c r="K523" s="24" t="s">
        <v>6168</v>
      </c>
      <c r="L523" s="22" t="s">
        <v>6169</v>
      </c>
      <c r="M523" s="25"/>
      <c r="N523" s="25"/>
      <c r="O523" s="26"/>
      <c r="P523" s="27"/>
      <c r="Q523" s="28"/>
      <c r="R523" s="28"/>
      <c r="S523" s="26"/>
    </row>
    <row r="524" customFormat="false" ht="15" hidden="false" customHeight="false" outlineLevel="0" collapsed="false">
      <c r="A524" s="7" t="n">
        <v>520</v>
      </c>
      <c r="B524" s="9" t="s">
        <v>23</v>
      </c>
      <c r="C524" s="22" t="s">
        <v>300</v>
      </c>
      <c r="D524" s="9" t="s">
        <v>526</v>
      </c>
      <c r="E524" s="9" t="s">
        <v>49</v>
      </c>
      <c r="F524" s="9" t="s">
        <v>124</v>
      </c>
      <c r="G524" s="22" t="s">
        <v>6170</v>
      </c>
      <c r="H524" s="9" t="s">
        <v>4298</v>
      </c>
      <c r="I524" s="7"/>
      <c r="J524" s="23" t="s">
        <v>6171</v>
      </c>
      <c r="K524" s="24" t="s">
        <v>6172</v>
      </c>
      <c r="L524" s="22" t="s">
        <v>6173</v>
      </c>
      <c r="M524" s="25"/>
      <c r="N524" s="25"/>
      <c r="O524" s="26"/>
      <c r="P524" s="27"/>
      <c r="Q524" s="28"/>
      <c r="R524" s="28"/>
      <c r="S524" s="26"/>
    </row>
    <row r="525" customFormat="false" ht="15" hidden="false" customHeight="false" outlineLevel="0" collapsed="false">
      <c r="A525" s="7" t="n">
        <v>521</v>
      </c>
      <c r="B525" s="9" t="s">
        <v>23</v>
      </c>
      <c r="C525" s="22" t="s">
        <v>300</v>
      </c>
      <c r="D525" s="9" t="s">
        <v>526</v>
      </c>
      <c r="E525" s="9" t="s">
        <v>49</v>
      </c>
      <c r="F525" s="9" t="s">
        <v>124</v>
      </c>
      <c r="G525" s="22" t="s">
        <v>6174</v>
      </c>
      <c r="H525" s="9" t="s">
        <v>4298</v>
      </c>
      <c r="I525" s="7"/>
      <c r="J525" s="23" t="s">
        <v>6175</v>
      </c>
      <c r="K525" s="24" t="s">
        <v>6176</v>
      </c>
      <c r="L525" s="22" t="s">
        <v>6177</v>
      </c>
      <c r="M525" s="25"/>
      <c r="N525" s="25"/>
      <c r="O525" s="26"/>
      <c r="P525" s="27"/>
      <c r="Q525" s="28"/>
      <c r="R525" s="28"/>
      <c r="S525" s="26"/>
    </row>
    <row r="526" customFormat="false" ht="15" hidden="false" customHeight="false" outlineLevel="0" collapsed="false">
      <c r="A526" s="7" t="n">
        <v>522</v>
      </c>
      <c r="B526" s="9" t="s">
        <v>23</v>
      </c>
      <c r="C526" s="22" t="s">
        <v>300</v>
      </c>
      <c r="D526" s="9" t="s">
        <v>526</v>
      </c>
      <c r="E526" s="9" t="s">
        <v>49</v>
      </c>
      <c r="F526" s="9" t="s">
        <v>124</v>
      </c>
      <c r="G526" s="22" t="s">
        <v>6178</v>
      </c>
      <c r="H526" s="9" t="s">
        <v>4298</v>
      </c>
      <c r="I526" s="7"/>
      <c r="J526" s="23" t="s">
        <v>6179</v>
      </c>
      <c r="K526" s="24" t="s">
        <v>6180</v>
      </c>
      <c r="L526" s="22" t="s">
        <v>6181</v>
      </c>
      <c r="M526" s="25"/>
      <c r="N526" s="25"/>
      <c r="O526" s="26"/>
      <c r="P526" s="27"/>
      <c r="Q526" s="28"/>
      <c r="R526" s="28"/>
      <c r="S526" s="26"/>
    </row>
    <row r="527" customFormat="false" ht="15" hidden="false" customHeight="false" outlineLevel="0" collapsed="false">
      <c r="A527" s="7" t="n">
        <v>523</v>
      </c>
      <c r="B527" s="9" t="s">
        <v>23</v>
      </c>
      <c r="C527" s="22" t="s">
        <v>611</v>
      </c>
      <c r="D527" s="9" t="s">
        <v>1890</v>
      </c>
      <c r="E527" s="9" t="s">
        <v>48</v>
      </c>
      <c r="F527" s="9" t="s">
        <v>99</v>
      </c>
      <c r="G527" s="22" t="s">
        <v>6182</v>
      </c>
      <c r="H527" s="9" t="s">
        <v>4298</v>
      </c>
      <c r="I527" s="7"/>
      <c r="J527" s="23" t="s">
        <v>6183</v>
      </c>
      <c r="K527" s="24" t="s">
        <v>6184</v>
      </c>
      <c r="L527" s="22" t="s">
        <v>6185</v>
      </c>
      <c r="M527" s="25"/>
      <c r="N527" s="25"/>
      <c r="O527" s="26"/>
      <c r="P527" s="27"/>
      <c r="Q527" s="28"/>
      <c r="R527" s="28"/>
      <c r="S527" s="26"/>
    </row>
    <row r="528" customFormat="false" ht="15" hidden="false" customHeight="false" outlineLevel="0" collapsed="false">
      <c r="A528" s="7" t="n">
        <v>524</v>
      </c>
      <c r="B528" s="9" t="s">
        <v>23</v>
      </c>
      <c r="C528" s="22" t="s">
        <v>611</v>
      </c>
      <c r="D528" s="9" t="s">
        <v>1890</v>
      </c>
      <c r="E528" s="9" t="s">
        <v>48</v>
      </c>
      <c r="F528" s="9" t="s">
        <v>99</v>
      </c>
      <c r="G528" s="22" t="s">
        <v>6186</v>
      </c>
      <c r="H528" s="9" t="s">
        <v>5750</v>
      </c>
      <c r="I528" s="7"/>
      <c r="J528" s="23" t="s">
        <v>6187</v>
      </c>
      <c r="K528" s="24" t="s">
        <v>6188</v>
      </c>
      <c r="L528" s="22" t="s">
        <v>6189</v>
      </c>
      <c r="M528" s="25"/>
      <c r="N528" s="25"/>
      <c r="O528" s="26"/>
      <c r="P528" s="27"/>
      <c r="Q528" s="28"/>
      <c r="R528" s="28"/>
      <c r="S528" s="26"/>
    </row>
    <row r="529" customFormat="false" ht="15" hidden="false" customHeight="false" outlineLevel="0" collapsed="false">
      <c r="A529" s="7" t="n">
        <v>525</v>
      </c>
      <c r="B529" s="9" t="s">
        <v>23</v>
      </c>
      <c r="C529" s="22" t="s">
        <v>611</v>
      </c>
      <c r="D529" s="9" t="s">
        <v>1890</v>
      </c>
      <c r="E529" s="9" t="s">
        <v>48</v>
      </c>
      <c r="F529" s="9" t="s">
        <v>124</v>
      </c>
      <c r="G529" s="22" t="s">
        <v>1891</v>
      </c>
      <c r="H529" s="9" t="s">
        <v>4298</v>
      </c>
      <c r="I529" s="7" t="s">
        <v>869</v>
      </c>
      <c r="J529" s="23" t="s">
        <v>1892</v>
      </c>
      <c r="K529" s="24" t="s">
        <v>1893</v>
      </c>
      <c r="L529" s="22" t="s">
        <v>1894</v>
      </c>
      <c r="M529" s="25"/>
      <c r="N529" s="25"/>
      <c r="O529" s="26"/>
      <c r="P529" s="27"/>
      <c r="Q529" s="28"/>
      <c r="R529" s="28"/>
      <c r="S529" s="26"/>
    </row>
    <row r="530" customFormat="false" ht="15" hidden="false" customHeight="false" outlineLevel="0" collapsed="false">
      <c r="A530" s="7" t="n">
        <v>526</v>
      </c>
      <c r="B530" s="9" t="s">
        <v>23</v>
      </c>
      <c r="C530" s="22" t="s">
        <v>611</v>
      </c>
      <c r="D530" s="9" t="s">
        <v>899</v>
      </c>
      <c r="E530" s="9" t="s">
        <v>47</v>
      </c>
      <c r="F530" s="9" t="s">
        <v>99</v>
      </c>
      <c r="G530" s="22" t="s">
        <v>6190</v>
      </c>
      <c r="H530" s="9" t="s">
        <v>4298</v>
      </c>
      <c r="I530" s="7"/>
      <c r="J530" s="23" t="s">
        <v>6191</v>
      </c>
      <c r="K530" s="24" t="s">
        <v>6192</v>
      </c>
      <c r="L530" s="22" t="s">
        <v>6193</v>
      </c>
      <c r="M530" s="25"/>
      <c r="N530" s="25"/>
      <c r="O530" s="26"/>
      <c r="P530" s="27"/>
      <c r="Q530" s="28"/>
      <c r="R530" s="28"/>
      <c r="S530" s="26"/>
    </row>
    <row r="531" customFormat="false" ht="15" hidden="false" customHeight="false" outlineLevel="0" collapsed="false">
      <c r="A531" s="7" t="n">
        <v>527</v>
      </c>
      <c r="B531" s="9" t="s">
        <v>23</v>
      </c>
      <c r="C531" s="22" t="s">
        <v>611</v>
      </c>
      <c r="D531" s="9" t="s">
        <v>899</v>
      </c>
      <c r="E531" s="9" t="s">
        <v>47</v>
      </c>
      <c r="F531" s="9" t="s">
        <v>99</v>
      </c>
      <c r="G531" s="22" t="s">
        <v>1899</v>
      </c>
      <c r="H531" s="9" t="s">
        <v>4298</v>
      </c>
      <c r="I531" s="7" t="s">
        <v>869</v>
      </c>
      <c r="J531" s="23" t="s">
        <v>1900</v>
      </c>
      <c r="K531" s="24" t="s">
        <v>1901</v>
      </c>
      <c r="L531" s="22" t="s">
        <v>1902</v>
      </c>
      <c r="M531" s="25"/>
      <c r="N531" s="25"/>
      <c r="O531" s="26"/>
      <c r="P531" s="27"/>
      <c r="Q531" s="28"/>
      <c r="R531" s="28"/>
      <c r="S531" s="26"/>
    </row>
    <row r="532" customFormat="false" ht="15" hidden="false" customHeight="false" outlineLevel="0" collapsed="false">
      <c r="A532" s="7" t="n">
        <v>528</v>
      </c>
      <c r="B532" s="9" t="s">
        <v>23</v>
      </c>
      <c r="C532" s="22" t="s">
        <v>611</v>
      </c>
      <c r="D532" s="9" t="s">
        <v>899</v>
      </c>
      <c r="E532" s="9" t="s">
        <v>48</v>
      </c>
      <c r="F532" s="9" t="s">
        <v>99</v>
      </c>
      <c r="G532" s="22" t="s">
        <v>6194</v>
      </c>
      <c r="H532" s="9" t="s">
        <v>4298</v>
      </c>
      <c r="I532" s="7"/>
      <c r="J532" s="23" t="s">
        <v>6195</v>
      </c>
      <c r="K532" s="24" t="s">
        <v>6196</v>
      </c>
      <c r="L532" s="22" t="s">
        <v>6197</v>
      </c>
      <c r="M532" s="25"/>
      <c r="N532" s="25"/>
      <c r="O532" s="26"/>
      <c r="P532" s="27"/>
      <c r="Q532" s="28"/>
      <c r="R532" s="28"/>
      <c r="S532" s="26"/>
    </row>
    <row r="533" customFormat="false" ht="15" hidden="false" customHeight="false" outlineLevel="0" collapsed="false">
      <c r="A533" s="7" t="n">
        <v>529</v>
      </c>
      <c r="B533" s="9" t="s">
        <v>23</v>
      </c>
      <c r="C533" s="22" t="s">
        <v>611</v>
      </c>
      <c r="D533" s="9" t="s">
        <v>526</v>
      </c>
      <c r="E533" s="9" t="s">
        <v>47</v>
      </c>
      <c r="F533" s="9" t="s">
        <v>99</v>
      </c>
      <c r="G533" s="22" t="s">
        <v>6198</v>
      </c>
      <c r="H533" s="9" t="s">
        <v>5750</v>
      </c>
      <c r="I533" s="7"/>
      <c r="J533" s="23" t="s">
        <v>6199</v>
      </c>
      <c r="K533" s="24" t="s">
        <v>6200</v>
      </c>
      <c r="L533" s="22" t="s">
        <v>6201</v>
      </c>
      <c r="M533" s="25"/>
      <c r="N533" s="25"/>
      <c r="O533" s="26"/>
      <c r="P533" s="27"/>
      <c r="Q533" s="28"/>
      <c r="R533" s="28"/>
      <c r="S533" s="26"/>
    </row>
    <row r="534" customFormat="false" ht="15" hidden="false" customHeight="false" outlineLevel="0" collapsed="false">
      <c r="A534" s="7" t="n">
        <v>530</v>
      </c>
      <c r="B534" s="9" t="s">
        <v>23</v>
      </c>
      <c r="C534" s="22" t="s">
        <v>611</v>
      </c>
      <c r="D534" s="9" t="s">
        <v>526</v>
      </c>
      <c r="E534" s="9" t="s">
        <v>47</v>
      </c>
      <c r="F534" s="9" t="s">
        <v>99</v>
      </c>
      <c r="G534" s="22" t="s">
        <v>6202</v>
      </c>
      <c r="H534" s="9" t="s">
        <v>4298</v>
      </c>
      <c r="I534" s="7"/>
      <c r="J534" s="23" t="s">
        <v>6203</v>
      </c>
      <c r="K534" s="24" t="s">
        <v>6204</v>
      </c>
      <c r="L534" s="22" t="s">
        <v>6205</v>
      </c>
      <c r="M534" s="25"/>
      <c r="N534" s="25"/>
      <c r="O534" s="26"/>
      <c r="P534" s="27"/>
      <c r="Q534" s="28"/>
      <c r="R534" s="28"/>
      <c r="S534" s="26"/>
    </row>
    <row r="535" customFormat="false" ht="15" hidden="false" customHeight="false" outlineLevel="0" collapsed="false">
      <c r="A535" s="7" t="n">
        <v>531</v>
      </c>
      <c r="B535" s="9" t="s">
        <v>23</v>
      </c>
      <c r="C535" s="22" t="s">
        <v>611</v>
      </c>
      <c r="D535" s="9" t="s">
        <v>526</v>
      </c>
      <c r="E535" s="9" t="s">
        <v>47</v>
      </c>
      <c r="F535" s="9" t="s">
        <v>99</v>
      </c>
      <c r="G535" s="22" t="s">
        <v>6206</v>
      </c>
      <c r="H535" s="9" t="s">
        <v>4298</v>
      </c>
      <c r="I535" s="7"/>
      <c r="J535" s="23" t="s">
        <v>6207</v>
      </c>
      <c r="K535" s="24" t="s">
        <v>6208</v>
      </c>
      <c r="L535" s="22" t="s">
        <v>6209</v>
      </c>
      <c r="M535" s="25"/>
      <c r="N535" s="25"/>
      <c r="O535" s="26"/>
      <c r="P535" s="27"/>
      <c r="Q535" s="28"/>
      <c r="R535" s="28"/>
      <c r="S535" s="26"/>
    </row>
    <row r="536" customFormat="false" ht="15" hidden="false" customHeight="false" outlineLevel="0" collapsed="false">
      <c r="A536" s="7" t="n">
        <v>532</v>
      </c>
      <c r="B536" s="9" t="s">
        <v>23</v>
      </c>
      <c r="C536" s="22" t="s">
        <v>611</v>
      </c>
      <c r="D536" s="9" t="s">
        <v>526</v>
      </c>
      <c r="E536" s="9" t="s">
        <v>48</v>
      </c>
      <c r="F536" s="9" t="s">
        <v>124</v>
      </c>
      <c r="G536" s="22" t="s">
        <v>1907</v>
      </c>
      <c r="H536" s="9" t="s">
        <v>4298</v>
      </c>
      <c r="I536" s="7" t="s">
        <v>869</v>
      </c>
      <c r="J536" s="23" t="s">
        <v>1908</v>
      </c>
      <c r="K536" s="24" t="s">
        <v>1909</v>
      </c>
      <c r="L536" s="22" t="s">
        <v>1910</v>
      </c>
      <c r="M536" s="25"/>
      <c r="N536" s="25"/>
      <c r="O536" s="26"/>
      <c r="P536" s="27"/>
      <c r="Q536" s="28"/>
      <c r="R536" s="28"/>
      <c r="S536" s="26"/>
    </row>
    <row r="537" customFormat="false" ht="15" hidden="false" customHeight="false" outlineLevel="0" collapsed="false">
      <c r="A537" s="7" t="n">
        <v>533</v>
      </c>
      <c r="B537" s="9" t="s">
        <v>23</v>
      </c>
      <c r="C537" s="22" t="s">
        <v>611</v>
      </c>
      <c r="D537" s="9" t="s">
        <v>526</v>
      </c>
      <c r="E537" s="9" t="s">
        <v>48</v>
      </c>
      <c r="F537" s="9" t="s">
        <v>99</v>
      </c>
      <c r="G537" s="22" t="s">
        <v>6210</v>
      </c>
      <c r="H537" s="9" t="s">
        <v>4298</v>
      </c>
      <c r="I537" s="7"/>
      <c r="J537" s="23" t="s">
        <v>6211</v>
      </c>
      <c r="K537" s="24" t="s">
        <v>6212</v>
      </c>
      <c r="L537" s="22" t="s">
        <v>6213</v>
      </c>
      <c r="M537" s="25"/>
      <c r="N537" s="25"/>
      <c r="O537" s="26"/>
      <c r="P537" s="27"/>
      <c r="Q537" s="28"/>
      <c r="R537" s="28"/>
      <c r="S537" s="26"/>
    </row>
    <row r="538" customFormat="false" ht="15" hidden="false" customHeight="false" outlineLevel="0" collapsed="false">
      <c r="A538" s="7" t="n">
        <v>534</v>
      </c>
      <c r="B538" s="9" t="s">
        <v>23</v>
      </c>
      <c r="C538" s="22" t="s">
        <v>725</v>
      </c>
      <c r="D538" s="9" t="s">
        <v>1000</v>
      </c>
      <c r="E538" s="9" t="s">
        <v>47</v>
      </c>
      <c r="F538" s="9" t="s">
        <v>99</v>
      </c>
      <c r="G538" s="22" t="s">
        <v>6214</v>
      </c>
      <c r="H538" s="9" t="s">
        <v>4298</v>
      </c>
      <c r="I538" s="7"/>
      <c r="J538" s="23" t="s">
        <v>6215</v>
      </c>
      <c r="K538" s="24" t="s">
        <v>6216</v>
      </c>
      <c r="L538" s="22" t="s">
        <v>6217</v>
      </c>
      <c r="M538" s="25"/>
      <c r="N538" s="25"/>
      <c r="O538" s="26"/>
      <c r="P538" s="27"/>
      <c r="Q538" s="28"/>
      <c r="R538" s="28"/>
      <c r="S538" s="26"/>
    </row>
    <row r="539" customFormat="false" ht="15" hidden="false" customHeight="false" outlineLevel="0" collapsed="false">
      <c r="A539" s="7" t="n">
        <v>535</v>
      </c>
      <c r="B539" s="9" t="s">
        <v>23</v>
      </c>
      <c r="C539" s="22" t="s">
        <v>725</v>
      </c>
      <c r="D539" s="9" t="s">
        <v>1000</v>
      </c>
      <c r="E539" s="9" t="s">
        <v>48</v>
      </c>
      <c r="F539" s="9" t="s">
        <v>99</v>
      </c>
      <c r="G539" s="22" t="s">
        <v>6218</v>
      </c>
      <c r="H539" s="9" t="s">
        <v>4298</v>
      </c>
      <c r="I539" s="7"/>
      <c r="J539" s="23" t="s">
        <v>6219</v>
      </c>
      <c r="K539" s="24" t="s">
        <v>6220</v>
      </c>
      <c r="L539" s="22" t="s">
        <v>6221</v>
      </c>
      <c r="M539" s="25"/>
      <c r="N539" s="25"/>
      <c r="O539" s="26"/>
      <c r="P539" s="27"/>
      <c r="Q539" s="28"/>
      <c r="R539" s="28"/>
      <c r="S539" s="26"/>
    </row>
    <row r="540" customFormat="false" ht="15" hidden="false" customHeight="false" outlineLevel="0" collapsed="false">
      <c r="A540" s="7" t="n">
        <v>536</v>
      </c>
      <c r="B540" s="9" t="s">
        <v>23</v>
      </c>
      <c r="C540" s="22" t="s">
        <v>725</v>
      </c>
      <c r="D540" s="9" t="s">
        <v>1000</v>
      </c>
      <c r="E540" s="9" t="s">
        <v>48</v>
      </c>
      <c r="F540" s="9" t="s">
        <v>99</v>
      </c>
      <c r="G540" s="22" t="s">
        <v>6222</v>
      </c>
      <c r="H540" s="9" t="s">
        <v>4298</v>
      </c>
      <c r="I540" s="7"/>
      <c r="J540" s="23" t="s">
        <v>6223</v>
      </c>
      <c r="K540" s="24" t="s">
        <v>6224</v>
      </c>
      <c r="L540" s="22" t="s">
        <v>6225</v>
      </c>
      <c r="M540" s="25"/>
      <c r="N540" s="25"/>
      <c r="O540" s="26"/>
      <c r="P540" s="27"/>
      <c r="Q540" s="28"/>
      <c r="R540" s="28"/>
      <c r="S540" s="26"/>
    </row>
    <row r="541" customFormat="false" ht="15" hidden="false" customHeight="false" outlineLevel="0" collapsed="false">
      <c r="A541" s="7" t="n">
        <v>537</v>
      </c>
      <c r="B541" s="9" t="s">
        <v>23</v>
      </c>
      <c r="C541" s="22" t="s">
        <v>725</v>
      </c>
      <c r="D541" s="9" t="s">
        <v>1000</v>
      </c>
      <c r="E541" s="9" t="s">
        <v>48</v>
      </c>
      <c r="F541" s="9" t="s">
        <v>99</v>
      </c>
      <c r="G541" s="22" t="s">
        <v>6226</v>
      </c>
      <c r="H541" s="9" t="s">
        <v>4298</v>
      </c>
      <c r="I541" s="7"/>
      <c r="J541" s="23" t="s">
        <v>6227</v>
      </c>
      <c r="K541" s="24" t="s">
        <v>6228</v>
      </c>
      <c r="L541" s="22" t="s">
        <v>6229</v>
      </c>
      <c r="M541" s="25"/>
      <c r="N541" s="25"/>
      <c r="O541" s="26"/>
      <c r="P541" s="27"/>
      <c r="Q541" s="28"/>
      <c r="R541" s="28"/>
      <c r="S541" s="26"/>
    </row>
    <row r="542" customFormat="false" ht="15" hidden="false" customHeight="false" outlineLevel="0" collapsed="false">
      <c r="A542" s="7" t="n">
        <v>538</v>
      </c>
      <c r="B542" s="9" t="s">
        <v>23</v>
      </c>
      <c r="C542" s="22" t="s">
        <v>725</v>
      </c>
      <c r="D542" s="9" t="s">
        <v>1869</v>
      </c>
      <c r="E542" s="9" t="s">
        <v>47</v>
      </c>
      <c r="F542" s="9" t="s">
        <v>99</v>
      </c>
      <c r="G542" s="22" t="s">
        <v>1939</v>
      </c>
      <c r="H542" s="9" t="s">
        <v>4298</v>
      </c>
      <c r="I542" s="7" t="s">
        <v>869</v>
      </c>
      <c r="J542" s="23" t="s">
        <v>1940</v>
      </c>
      <c r="K542" s="24" t="s">
        <v>1941</v>
      </c>
      <c r="L542" s="22" t="s">
        <v>1942</v>
      </c>
      <c r="M542" s="25"/>
      <c r="N542" s="25"/>
      <c r="O542" s="26"/>
      <c r="P542" s="27"/>
      <c r="Q542" s="28"/>
      <c r="R542" s="28"/>
      <c r="S542" s="26"/>
    </row>
    <row r="543" customFormat="false" ht="15" hidden="false" customHeight="false" outlineLevel="0" collapsed="false">
      <c r="A543" s="7" t="n">
        <v>539</v>
      </c>
      <c r="B543" s="9" t="s">
        <v>23</v>
      </c>
      <c r="C543" s="22" t="s">
        <v>725</v>
      </c>
      <c r="D543" s="9" t="s">
        <v>1869</v>
      </c>
      <c r="E543" s="9" t="s">
        <v>47</v>
      </c>
      <c r="F543" s="9" t="s">
        <v>99</v>
      </c>
      <c r="G543" s="22" t="s">
        <v>6230</v>
      </c>
      <c r="H543" s="9" t="s">
        <v>4298</v>
      </c>
      <c r="I543" s="7"/>
      <c r="J543" s="23" t="s">
        <v>6231</v>
      </c>
      <c r="K543" s="24" t="s">
        <v>6232</v>
      </c>
      <c r="L543" s="22" t="s">
        <v>6233</v>
      </c>
      <c r="M543" s="25"/>
      <c r="N543" s="25"/>
      <c r="O543" s="26"/>
      <c r="P543" s="27"/>
      <c r="Q543" s="28"/>
      <c r="R543" s="28"/>
      <c r="S543" s="26"/>
    </row>
    <row r="544" customFormat="false" ht="15" hidden="false" customHeight="false" outlineLevel="0" collapsed="false">
      <c r="A544" s="7" t="n">
        <v>540</v>
      </c>
      <c r="B544" s="9" t="s">
        <v>23</v>
      </c>
      <c r="C544" s="22" t="s">
        <v>725</v>
      </c>
      <c r="D544" s="9" t="s">
        <v>1869</v>
      </c>
      <c r="E544" s="9" t="s">
        <v>48</v>
      </c>
      <c r="F544" s="9" t="s">
        <v>99</v>
      </c>
      <c r="G544" s="22" t="s">
        <v>6234</v>
      </c>
      <c r="H544" s="9" t="s">
        <v>4298</v>
      </c>
      <c r="I544" s="7"/>
      <c r="J544" s="23" t="s">
        <v>6235</v>
      </c>
      <c r="K544" s="24" t="s">
        <v>6236</v>
      </c>
      <c r="L544" s="22" t="s">
        <v>6237</v>
      </c>
      <c r="M544" s="25"/>
      <c r="N544" s="25"/>
      <c r="O544" s="26"/>
      <c r="P544" s="27"/>
      <c r="Q544" s="28"/>
      <c r="R544" s="28"/>
      <c r="S544" s="26"/>
    </row>
    <row r="545" customFormat="false" ht="15" hidden="false" customHeight="false" outlineLevel="0" collapsed="false">
      <c r="A545" s="7" t="n">
        <v>541</v>
      </c>
      <c r="B545" s="9" t="s">
        <v>23</v>
      </c>
      <c r="C545" s="22" t="s">
        <v>725</v>
      </c>
      <c r="D545" s="9" t="s">
        <v>1869</v>
      </c>
      <c r="E545" s="9" t="s">
        <v>48</v>
      </c>
      <c r="F545" s="9" t="s">
        <v>99</v>
      </c>
      <c r="G545" s="22" t="s">
        <v>6238</v>
      </c>
      <c r="H545" s="9" t="s">
        <v>4298</v>
      </c>
      <c r="I545" s="7"/>
      <c r="J545" s="23" t="s">
        <v>6239</v>
      </c>
      <c r="K545" s="24" t="s">
        <v>6240</v>
      </c>
      <c r="L545" s="22" t="s">
        <v>6241</v>
      </c>
      <c r="M545" s="25"/>
      <c r="N545" s="25"/>
      <c r="O545" s="26"/>
      <c r="P545" s="27"/>
      <c r="Q545" s="28"/>
      <c r="R545" s="28"/>
      <c r="S545" s="26"/>
    </row>
    <row r="546" customFormat="false" ht="15" hidden="false" customHeight="false" outlineLevel="0" collapsed="false">
      <c r="A546" s="7" t="n">
        <v>542</v>
      </c>
      <c r="B546" s="9" t="s">
        <v>25</v>
      </c>
      <c r="C546" s="22" t="s">
        <v>1943</v>
      </c>
      <c r="D546" s="9" t="s">
        <v>886</v>
      </c>
      <c r="E546" s="9" t="s">
        <v>47</v>
      </c>
      <c r="F546" s="9" t="s">
        <v>99</v>
      </c>
      <c r="G546" s="22" t="s">
        <v>6242</v>
      </c>
      <c r="H546" s="9" t="s">
        <v>4298</v>
      </c>
      <c r="I546" s="7"/>
      <c r="J546" s="23" t="s">
        <v>6243</v>
      </c>
      <c r="K546" s="24" t="s">
        <v>6244</v>
      </c>
      <c r="L546" s="22" t="s">
        <v>6245</v>
      </c>
      <c r="M546" s="25"/>
      <c r="N546" s="25"/>
      <c r="O546" s="26"/>
      <c r="P546" s="27"/>
      <c r="Q546" s="28"/>
      <c r="R546" s="28"/>
      <c r="S546" s="26"/>
    </row>
    <row r="547" customFormat="false" ht="15" hidden="false" customHeight="false" outlineLevel="0" collapsed="false">
      <c r="A547" s="7" t="n">
        <v>543</v>
      </c>
      <c r="B547" s="9" t="s">
        <v>25</v>
      </c>
      <c r="C547" s="22" t="s">
        <v>1943</v>
      </c>
      <c r="D547" s="9" t="s">
        <v>886</v>
      </c>
      <c r="E547" s="9" t="s">
        <v>48</v>
      </c>
      <c r="F547" s="9" t="s">
        <v>99</v>
      </c>
      <c r="G547" s="22" t="s">
        <v>6246</v>
      </c>
      <c r="H547" s="9" t="s">
        <v>4298</v>
      </c>
      <c r="I547" s="7"/>
      <c r="J547" s="23" t="s">
        <v>6247</v>
      </c>
      <c r="K547" s="24" t="s">
        <v>6248</v>
      </c>
      <c r="L547" s="22" t="s">
        <v>6249</v>
      </c>
      <c r="M547" s="25"/>
      <c r="N547" s="25"/>
      <c r="O547" s="26"/>
      <c r="P547" s="27"/>
      <c r="Q547" s="28"/>
      <c r="R547" s="28"/>
      <c r="S547" s="26"/>
    </row>
    <row r="548" customFormat="false" ht="15" hidden="false" customHeight="false" outlineLevel="0" collapsed="false">
      <c r="A548" s="7" t="n">
        <v>544</v>
      </c>
      <c r="B548" s="9" t="s">
        <v>25</v>
      </c>
      <c r="C548" s="22" t="s">
        <v>1943</v>
      </c>
      <c r="D548" s="9" t="s">
        <v>886</v>
      </c>
      <c r="E548" s="9" t="s">
        <v>48</v>
      </c>
      <c r="F548" s="9" t="s">
        <v>99</v>
      </c>
      <c r="G548" s="22" t="s">
        <v>6250</v>
      </c>
      <c r="H548" s="9" t="s">
        <v>4298</v>
      </c>
      <c r="I548" s="7"/>
      <c r="J548" s="23" t="s">
        <v>6251</v>
      </c>
      <c r="K548" s="24" t="s">
        <v>6252</v>
      </c>
      <c r="L548" s="22" t="s">
        <v>6253</v>
      </c>
      <c r="M548" s="25"/>
      <c r="N548" s="25"/>
      <c r="O548" s="26"/>
      <c r="P548" s="27"/>
      <c r="Q548" s="28"/>
      <c r="R548" s="28"/>
      <c r="S548" s="26"/>
    </row>
    <row r="549" customFormat="false" ht="15" hidden="false" customHeight="false" outlineLevel="0" collapsed="false">
      <c r="A549" s="7" t="n">
        <v>545</v>
      </c>
      <c r="B549" s="9" t="s">
        <v>25</v>
      </c>
      <c r="C549" s="22" t="s">
        <v>1943</v>
      </c>
      <c r="D549" s="9" t="s">
        <v>2001</v>
      </c>
      <c r="E549" s="9" t="s">
        <v>47</v>
      </c>
      <c r="F549" s="9" t="s">
        <v>99</v>
      </c>
      <c r="G549" s="22" t="s">
        <v>6254</v>
      </c>
      <c r="H549" s="9" t="s">
        <v>4298</v>
      </c>
      <c r="I549" s="7"/>
      <c r="J549" s="23" t="s">
        <v>6255</v>
      </c>
      <c r="K549" s="24" t="s">
        <v>6256</v>
      </c>
      <c r="L549" s="22" t="s">
        <v>6257</v>
      </c>
      <c r="M549" s="25"/>
      <c r="N549" s="25"/>
      <c r="O549" s="26"/>
      <c r="P549" s="27"/>
      <c r="Q549" s="28"/>
      <c r="R549" s="28"/>
      <c r="S549" s="26"/>
    </row>
    <row r="550" customFormat="false" ht="15" hidden="false" customHeight="false" outlineLevel="0" collapsed="false">
      <c r="A550" s="7" t="n">
        <v>546</v>
      </c>
      <c r="B550" s="9" t="s">
        <v>25</v>
      </c>
      <c r="C550" s="22" t="s">
        <v>1943</v>
      </c>
      <c r="D550" s="9" t="s">
        <v>2001</v>
      </c>
      <c r="E550" s="9" t="s">
        <v>47</v>
      </c>
      <c r="F550" s="9" t="s">
        <v>99</v>
      </c>
      <c r="G550" s="22" t="s">
        <v>6258</v>
      </c>
      <c r="H550" s="9" t="s">
        <v>4298</v>
      </c>
      <c r="I550" s="7"/>
      <c r="J550" s="23" t="s">
        <v>6259</v>
      </c>
      <c r="K550" s="24" t="s">
        <v>6260</v>
      </c>
      <c r="L550" s="22" t="s">
        <v>6261</v>
      </c>
      <c r="M550" s="25"/>
      <c r="N550" s="25"/>
      <c r="O550" s="26"/>
      <c r="P550" s="27"/>
      <c r="Q550" s="28"/>
      <c r="R550" s="28"/>
      <c r="S550" s="26"/>
    </row>
    <row r="551" customFormat="false" ht="15" hidden="false" customHeight="false" outlineLevel="0" collapsed="false">
      <c r="A551" s="7" t="n">
        <v>547</v>
      </c>
      <c r="B551" s="9" t="s">
        <v>25</v>
      </c>
      <c r="C551" s="22" t="s">
        <v>1943</v>
      </c>
      <c r="D551" s="9" t="s">
        <v>2001</v>
      </c>
      <c r="E551" s="9" t="s">
        <v>48</v>
      </c>
      <c r="F551" s="9" t="s">
        <v>99</v>
      </c>
      <c r="G551" s="22" t="s">
        <v>6262</v>
      </c>
      <c r="H551" s="9" t="s">
        <v>4298</v>
      </c>
      <c r="I551" s="7"/>
      <c r="J551" s="23" t="s">
        <v>6263</v>
      </c>
      <c r="K551" s="24" t="s">
        <v>6264</v>
      </c>
      <c r="L551" s="22" t="s">
        <v>6265</v>
      </c>
      <c r="M551" s="25"/>
      <c r="N551" s="25"/>
      <c r="O551" s="26"/>
      <c r="P551" s="27"/>
      <c r="Q551" s="28"/>
      <c r="R551" s="28"/>
      <c r="S551" s="26"/>
    </row>
    <row r="552" customFormat="false" ht="15" hidden="false" customHeight="false" outlineLevel="0" collapsed="false">
      <c r="A552" s="7" t="n">
        <v>548</v>
      </c>
      <c r="B552" s="9" t="s">
        <v>25</v>
      </c>
      <c r="C552" s="22" t="s">
        <v>1964</v>
      </c>
      <c r="D552" s="9" t="s">
        <v>899</v>
      </c>
      <c r="E552" s="9" t="s">
        <v>47</v>
      </c>
      <c r="F552" s="9" t="s">
        <v>99</v>
      </c>
      <c r="G552" s="22" t="s">
        <v>6266</v>
      </c>
      <c r="H552" s="9" t="s">
        <v>4298</v>
      </c>
      <c r="I552" s="7"/>
      <c r="J552" s="23" t="s">
        <v>6267</v>
      </c>
      <c r="K552" s="24" t="s">
        <v>6268</v>
      </c>
      <c r="L552" s="22" t="s">
        <v>6269</v>
      </c>
      <c r="M552" s="25"/>
      <c r="N552" s="25"/>
      <c r="O552" s="26"/>
      <c r="P552" s="27"/>
      <c r="Q552" s="28"/>
      <c r="R552" s="28"/>
      <c r="S552" s="26"/>
    </row>
    <row r="553" customFormat="false" ht="15" hidden="false" customHeight="false" outlineLevel="0" collapsed="false">
      <c r="A553" s="7" t="n">
        <v>549</v>
      </c>
      <c r="B553" s="9" t="s">
        <v>25</v>
      </c>
      <c r="C553" s="22" t="s">
        <v>1964</v>
      </c>
      <c r="D553" s="9" t="s">
        <v>899</v>
      </c>
      <c r="E553" s="9" t="s">
        <v>47</v>
      </c>
      <c r="F553" s="9" t="s">
        <v>99</v>
      </c>
      <c r="G553" s="22" t="s">
        <v>6270</v>
      </c>
      <c r="H553" s="9" t="s">
        <v>4298</v>
      </c>
      <c r="I553" s="7"/>
      <c r="J553" s="23" t="s">
        <v>6271</v>
      </c>
      <c r="K553" s="24" t="s">
        <v>6272</v>
      </c>
      <c r="L553" s="22" t="s">
        <v>6273</v>
      </c>
      <c r="M553" s="25"/>
      <c r="N553" s="25"/>
      <c r="O553" s="26"/>
      <c r="P553" s="27"/>
      <c r="Q553" s="28"/>
      <c r="R553" s="28"/>
      <c r="S553" s="26"/>
    </row>
    <row r="554" customFormat="false" ht="15" hidden="false" customHeight="false" outlineLevel="0" collapsed="false">
      <c r="A554" s="7" t="n">
        <v>550</v>
      </c>
      <c r="B554" s="9" t="s">
        <v>25</v>
      </c>
      <c r="C554" s="22" t="s">
        <v>1964</v>
      </c>
      <c r="D554" s="9" t="s">
        <v>899</v>
      </c>
      <c r="E554" s="9" t="s">
        <v>48</v>
      </c>
      <c r="F554" s="9" t="s">
        <v>124</v>
      </c>
      <c r="G554" s="22" t="s">
        <v>6274</v>
      </c>
      <c r="H554" s="9" t="s">
        <v>4298</v>
      </c>
      <c r="I554" s="7"/>
      <c r="J554" s="23" t="s">
        <v>6275</v>
      </c>
      <c r="K554" s="24" t="s">
        <v>6276</v>
      </c>
      <c r="L554" s="22" t="s">
        <v>6277</v>
      </c>
      <c r="M554" s="25"/>
      <c r="N554" s="25"/>
      <c r="O554" s="26"/>
      <c r="P554" s="27"/>
      <c r="Q554" s="28"/>
      <c r="R554" s="28"/>
      <c r="S554" s="26"/>
    </row>
    <row r="555" customFormat="false" ht="15" hidden="false" customHeight="false" outlineLevel="0" collapsed="false">
      <c r="A555" s="7" t="n">
        <v>551</v>
      </c>
      <c r="B555" s="9" t="s">
        <v>25</v>
      </c>
      <c r="C555" s="22" t="s">
        <v>1964</v>
      </c>
      <c r="D555" s="9" t="s">
        <v>899</v>
      </c>
      <c r="E555" s="9" t="s">
        <v>48</v>
      </c>
      <c r="F555" s="9" t="s">
        <v>124</v>
      </c>
      <c r="G555" s="22" t="s">
        <v>6278</v>
      </c>
      <c r="H555" s="9" t="s">
        <v>4298</v>
      </c>
      <c r="I555" s="7"/>
      <c r="J555" s="23" t="s">
        <v>6279</v>
      </c>
      <c r="K555" s="24" t="s">
        <v>6280</v>
      </c>
      <c r="L555" s="22" t="s">
        <v>6281</v>
      </c>
      <c r="M555" s="25"/>
      <c r="N555" s="25"/>
      <c r="O555" s="26"/>
      <c r="P555" s="27"/>
      <c r="Q555" s="28"/>
      <c r="R555" s="28"/>
      <c r="S555" s="26"/>
    </row>
    <row r="556" customFormat="false" ht="15" hidden="false" customHeight="false" outlineLevel="0" collapsed="false">
      <c r="A556" s="7" t="n">
        <v>552</v>
      </c>
      <c r="B556" s="9" t="s">
        <v>25</v>
      </c>
      <c r="C556" s="22" t="s">
        <v>1964</v>
      </c>
      <c r="D556" s="9" t="s">
        <v>917</v>
      </c>
      <c r="E556" s="9" t="s">
        <v>47</v>
      </c>
      <c r="F556" s="9" t="s">
        <v>99</v>
      </c>
      <c r="G556" s="22" t="s">
        <v>6282</v>
      </c>
      <c r="H556" s="9" t="s">
        <v>4298</v>
      </c>
      <c r="I556" s="7"/>
      <c r="J556" s="23" t="s">
        <v>6283</v>
      </c>
      <c r="K556" s="24" t="s">
        <v>6284</v>
      </c>
      <c r="L556" s="22" t="s">
        <v>6285</v>
      </c>
      <c r="M556" s="25"/>
      <c r="N556" s="25"/>
      <c r="O556" s="26"/>
      <c r="P556" s="27"/>
      <c r="Q556" s="28"/>
      <c r="R556" s="28"/>
      <c r="S556" s="26"/>
    </row>
    <row r="557" customFormat="false" ht="15" hidden="false" customHeight="false" outlineLevel="0" collapsed="false">
      <c r="A557" s="7" t="n">
        <v>553</v>
      </c>
      <c r="B557" s="9" t="s">
        <v>25</v>
      </c>
      <c r="C557" s="22" t="s">
        <v>1964</v>
      </c>
      <c r="D557" s="9" t="s">
        <v>917</v>
      </c>
      <c r="E557" s="9" t="s">
        <v>47</v>
      </c>
      <c r="F557" s="9" t="s">
        <v>99</v>
      </c>
      <c r="G557" s="22" t="s">
        <v>6286</v>
      </c>
      <c r="H557" s="9" t="s">
        <v>4298</v>
      </c>
      <c r="I557" s="7"/>
      <c r="J557" s="23" t="s">
        <v>6287</v>
      </c>
      <c r="K557" s="24" t="s">
        <v>6288</v>
      </c>
      <c r="L557" s="22" t="s">
        <v>6289</v>
      </c>
      <c r="M557" s="25"/>
      <c r="N557" s="25"/>
      <c r="O557" s="26"/>
      <c r="P557" s="27"/>
      <c r="Q557" s="28"/>
      <c r="R557" s="28"/>
      <c r="S557" s="26"/>
    </row>
    <row r="558" customFormat="false" ht="15" hidden="false" customHeight="false" outlineLevel="0" collapsed="false">
      <c r="A558" s="7" t="n">
        <v>554</v>
      </c>
      <c r="B558" s="9" t="s">
        <v>25</v>
      </c>
      <c r="C558" s="22" t="s">
        <v>1964</v>
      </c>
      <c r="D558" s="9" t="s">
        <v>917</v>
      </c>
      <c r="E558" s="9" t="s">
        <v>48</v>
      </c>
      <c r="F558" s="9" t="s">
        <v>99</v>
      </c>
      <c r="G558" s="22" t="s">
        <v>6290</v>
      </c>
      <c r="H558" s="9" t="s">
        <v>4298</v>
      </c>
      <c r="I558" s="7"/>
      <c r="J558" s="23" t="s">
        <v>6291</v>
      </c>
      <c r="K558" s="24" t="s">
        <v>6292</v>
      </c>
      <c r="L558" s="22" t="s">
        <v>6293</v>
      </c>
      <c r="M558" s="25"/>
      <c r="N558" s="25"/>
      <c r="O558" s="26"/>
      <c r="P558" s="27"/>
      <c r="Q558" s="28"/>
      <c r="R558" s="28"/>
      <c r="S558" s="26"/>
    </row>
    <row r="559" customFormat="false" ht="15" hidden="false" customHeight="false" outlineLevel="0" collapsed="false">
      <c r="A559" s="7" t="n">
        <v>555</v>
      </c>
      <c r="B559" s="9" t="s">
        <v>25</v>
      </c>
      <c r="C559" s="22" t="s">
        <v>1964</v>
      </c>
      <c r="D559" s="9" t="s">
        <v>917</v>
      </c>
      <c r="E559" s="9" t="s">
        <v>48</v>
      </c>
      <c r="F559" s="9" t="s">
        <v>99</v>
      </c>
      <c r="G559" s="22" t="s">
        <v>6294</v>
      </c>
      <c r="H559" s="9" t="s">
        <v>4298</v>
      </c>
      <c r="I559" s="7"/>
      <c r="J559" s="23" t="s">
        <v>6295</v>
      </c>
      <c r="K559" s="24" t="s">
        <v>6296</v>
      </c>
      <c r="L559" s="22" t="s">
        <v>6297</v>
      </c>
      <c r="M559" s="25"/>
      <c r="N559" s="25"/>
      <c r="O559" s="26"/>
      <c r="P559" s="27"/>
      <c r="Q559" s="28"/>
      <c r="R559" s="28"/>
      <c r="S559" s="26"/>
    </row>
    <row r="560" customFormat="false" ht="15" hidden="false" customHeight="false" outlineLevel="0" collapsed="false">
      <c r="A560" s="7" t="n">
        <v>556</v>
      </c>
      <c r="B560" s="9" t="s">
        <v>25</v>
      </c>
      <c r="C560" s="22" t="s">
        <v>1964</v>
      </c>
      <c r="D560" s="9" t="s">
        <v>917</v>
      </c>
      <c r="E560" s="9" t="s">
        <v>48</v>
      </c>
      <c r="F560" s="9" t="s">
        <v>99</v>
      </c>
      <c r="G560" s="22" t="s">
        <v>6298</v>
      </c>
      <c r="H560" s="9" t="s">
        <v>4298</v>
      </c>
      <c r="I560" s="7"/>
      <c r="J560" s="23" t="s">
        <v>6299</v>
      </c>
      <c r="K560" s="24" t="s">
        <v>6300</v>
      </c>
      <c r="L560" s="22" t="s">
        <v>6301</v>
      </c>
      <c r="M560" s="25"/>
      <c r="N560" s="25"/>
      <c r="O560" s="26"/>
      <c r="P560" s="27"/>
      <c r="Q560" s="28"/>
      <c r="R560" s="28"/>
      <c r="S560" s="26"/>
    </row>
    <row r="561" customFormat="false" ht="15" hidden="false" customHeight="false" outlineLevel="0" collapsed="false">
      <c r="A561" s="7" t="n">
        <v>557</v>
      </c>
      <c r="B561" s="9" t="s">
        <v>25</v>
      </c>
      <c r="C561" s="22" t="s">
        <v>1964</v>
      </c>
      <c r="D561" s="9" t="s">
        <v>917</v>
      </c>
      <c r="E561" s="9" t="s">
        <v>48</v>
      </c>
      <c r="F561" s="9" t="s">
        <v>99</v>
      </c>
      <c r="G561" s="22" t="s">
        <v>6302</v>
      </c>
      <c r="H561" s="9" t="s">
        <v>4298</v>
      </c>
      <c r="I561" s="7"/>
      <c r="J561" s="23" t="s">
        <v>6303</v>
      </c>
      <c r="K561" s="24" t="s">
        <v>6304</v>
      </c>
      <c r="L561" s="22" t="s">
        <v>6305</v>
      </c>
      <c r="M561" s="25"/>
      <c r="N561" s="25"/>
      <c r="O561" s="26"/>
      <c r="P561" s="27"/>
      <c r="Q561" s="28"/>
      <c r="R561" s="28"/>
      <c r="S561" s="26"/>
    </row>
    <row r="562" customFormat="false" ht="15" hidden="false" customHeight="false" outlineLevel="0" collapsed="false">
      <c r="A562" s="7" t="n">
        <v>558</v>
      </c>
      <c r="B562" s="9" t="s">
        <v>25</v>
      </c>
      <c r="C562" s="22" t="s">
        <v>1964</v>
      </c>
      <c r="D562" s="9" t="s">
        <v>526</v>
      </c>
      <c r="E562" s="9" t="s">
        <v>47</v>
      </c>
      <c r="F562" s="9" t="s">
        <v>99</v>
      </c>
      <c r="G562" s="22" t="s">
        <v>6306</v>
      </c>
      <c r="H562" s="9" t="s">
        <v>4298</v>
      </c>
      <c r="I562" s="7"/>
      <c r="J562" s="23" t="s">
        <v>6307</v>
      </c>
      <c r="K562" s="24" t="s">
        <v>6308</v>
      </c>
      <c r="L562" s="22" t="s">
        <v>6309</v>
      </c>
      <c r="M562" s="25"/>
      <c r="N562" s="25"/>
      <c r="O562" s="26"/>
      <c r="P562" s="27"/>
      <c r="Q562" s="28"/>
      <c r="R562" s="28"/>
      <c r="S562" s="26"/>
    </row>
    <row r="563" customFormat="false" ht="15" hidden="false" customHeight="false" outlineLevel="0" collapsed="false">
      <c r="A563" s="7" t="n">
        <v>559</v>
      </c>
      <c r="B563" s="9" t="s">
        <v>25</v>
      </c>
      <c r="C563" s="22" t="s">
        <v>1964</v>
      </c>
      <c r="D563" s="9" t="s">
        <v>526</v>
      </c>
      <c r="E563" s="9" t="s">
        <v>47</v>
      </c>
      <c r="F563" s="9" t="s">
        <v>99</v>
      </c>
      <c r="G563" s="22" t="s">
        <v>6310</v>
      </c>
      <c r="H563" s="9" t="s">
        <v>4298</v>
      </c>
      <c r="I563" s="7"/>
      <c r="J563" s="23" t="s">
        <v>6311</v>
      </c>
      <c r="K563" s="24" t="s">
        <v>6312</v>
      </c>
      <c r="L563" s="22" t="s">
        <v>6313</v>
      </c>
      <c r="M563" s="25"/>
      <c r="N563" s="25"/>
      <c r="O563" s="26"/>
      <c r="P563" s="27"/>
      <c r="Q563" s="28"/>
      <c r="R563" s="28"/>
      <c r="S563" s="26"/>
    </row>
    <row r="564" customFormat="false" ht="15" hidden="false" customHeight="false" outlineLevel="0" collapsed="false">
      <c r="A564" s="7" t="n">
        <v>560</v>
      </c>
      <c r="B564" s="9" t="s">
        <v>25</v>
      </c>
      <c r="C564" s="22" t="s">
        <v>1964</v>
      </c>
      <c r="D564" s="9" t="s">
        <v>526</v>
      </c>
      <c r="E564" s="9" t="s">
        <v>47</v>
      </c>
      <c r="F564" s="9" t="s">
        <v>99</v>
      </c>
      <c r="G564" s="22" t="s">
        <v>6314</v>
      </c>
      <c r="H564" s="9" t="s">
        <v>4298</v>
      </c>
      <c r="I564" s="7"/>
      <c r="J564" s="23" t="s">
        <v>6315</v>
      </c>
      <c r="K564" s="24" t="s">
        <v>6316</v>
      </c>
      <c r="L564" s="22" t="s">
        <v>6317</v>
      </c>
      <c r="M564" s="25"/>
      <c r="N564" s="25"/>
      <c r="O564" s="26"/>
      <c r="P564" s="27"/>
      <c r="Q564" s="28"/>
      <c r="R564" s="28"/>
      <c r="S564" s="26"/>
    </row>
    <row r="565" customFormat="false" ht="15" hidden="false" customHeight="false" outlineLevel="0" collapsed="false">
      <c r="A565" s="7" t="n">
        <v>561</v>
      </c>
      <c r="B565" s="9" t="s">
        <v>25</v>
      </c>
      <c r="C565" s="22" t="s">
        <v>1964</v>
      </c>
      <c r="D565" s="9" t="s">
        <v>526</v>
      </c>
      <c r="E565" s="9" t="s">
        <v>48</v>
      </c>
      <c r="F565" s="9" t="s">
        <v>99</v>
      </c>
      <c r="G565" s="22" t="s">
        <v>6318</v>
      </c>
      <c r="H565" s="9" t="s">
        <v>4298</v>
      </c>
      <c r="I565" s="7"/>
      <c r="J565" s="23" t="s">
        <v>6319</v>
      </c>
      <c r="K565" s="24" t="s">
        <v>6320</v>
      </c>
      <c r="L565" s="22" t="s">
        <v>6321</v>
      </c>
      <c r="M565" s="25"/>
      <c r="N565" s="25"/>
      <c r="O565" s="26"/>
      <c r="P565" s="27"/>
      <c r="Q565" s="28"/>
      <c r="R565" s="28"/>
      <c r="S565" s="26"/>
    </row>
    <row r="566" customFormat="false" ht="15" hidden="false" customHeight="false" outlineLevel="0" collapsed="false">
      <c r="A566" s="7" t="n">
        <v>562</v>
      </c>
      <c r="B566" s="9" t="s">
        <v>25</v>
      </c>
      <c r="C566" s="22" t="s">
        <v>1964</v>
      </c>
      <c r="D566" s="9" t="s">
        <v>526</v>
      </c>
      <c r="E566" s="9" t="s">
        <v>48</v>
      </c>
      <c r="F566" s="9" t="s">
        <v>99</v>
      </c>
      <c r="G566" s="22" t="s">
        <v>6322</v>
      </c>
      <c r="H566" s="9" t="s">
        <v>4298</v>
      </c>
      <c r="I566" s="7"/>
      <c r="J566" s="23" t="s">
        <v>6323</v>
      </c>
      <c r="K566" s="24" t="s">
        <v>6324</v>
      </c>
      <c r="L566" s="22" t="s">
        <v>6325</v>
      </c>
      <c r="M566" s="25"/>
      <c r="N566" s="25"/>
      <c r="O566" s="26"/>
      <c r="P566" s="27"/>
      <c r="Q566" s="28"/>
      <c r="R566" s="28"/>
      <c r="S566" s="26"/>
    </row>
    <row r="567" customFormat="false" ht="15" hidden="false" customHeight="false" outlineLevel="0" collapsed="false">
      <c r="A567" s="7" t="n">
        <v>563</v>
      </c>
      <c r="B567" s="9" t="s">
        <v>25</v>
      </c>
      <c r="C567" s="22" t="s">
        <v>300</v>
      </c>
      <c r="D567" s="9" t="s">
        <v>886</v>
      </c>
      <c r="E567" s="9" t="s">
        <v>49</v>
      </c>
      <c r="F567" s="9" t="s">
        <v>124</v>
      </c>
      <c r="G567" s="22" t="s">
        <v>6326</v>
      </c>
      <c r="H567" s="9" t="s">
        <v>4298</v>
      </c>
      <c r="I567" s="7"/>
      <c r="J567" s="23" t="s">
        <v>6327</v>
      </c>
      <c r="K567" s="24" t="s">
        <v>6328</v>
      </c>
      <c r="L567" s="22" t="s">
        <v>6329</v>
      </c>
      <c r="M567" s="25"/>
      <c r="N567" s="25"/>
      <c r="O567" s="26"/>
      <c r="P567" s="27"/>
      <c r="Q567" s="28"/>
      <c r="R567" s="28"/>
      <c r="S567" s="26"/>
    </row>
    <row r="568" customFormat="false" ht="15" hidden="false" customHeight="false" outlineLevel="0" collapsed="false">
      <c r="A568" s="7" t="n">
        <v>564</v>
      </c>
      <c r="B568" s="9" t="s">
        <v>25</v>
      </c>
      <c r="C568" s="22" t="s">
        <v>300</v>
      </c>
      <c r="D568" s="9" t="s">
        <v>899</v>
      </c>
      <c r="E568" s="9" t="s">
        <v>49</v>
      </c>
      <c r="F568" s="9" t="s">
        <v>99</v>
      </c>
      <c r="G568" s="22" t="s">
        <v>6330</v>
      </c>
      <c r="H568" s="9" t="s">
        <v>4298</v>
      </c>
      <c r="I568" s="7"/>
      <c r="J568" s="23" t="s">
        <v>6331</v>
      </c>
      <c r="K568" s="24" t="s">
        <v>6332</v>
      </c>
      <c r="L568" s="22" t="s">
        <v>6333</v>
      </c>
      <c r="M568" s="25"/>
      <c r="N568" s="25"/>
      <c r="O568" s="26"/>
      <c r="P568" s="27"/>
      <c r="Q568" s="28"/>
      <c r="R568" s="28"/>
      <c r="S568" s="26"/>
    </row>
    <row r="569" customFormat="false" ht="15" hidden="false" customHeight="false" outlineLevel="0" collapsed="false">
      <c r="A569" s="7" t="n">
        <v>565</v>
      </c>
      <c r="B569" s="9" t="s">
        <v>25</v>
      </c>
      <c r="C569" s="22" t="s">
        <v>300</v>
      </c>
      <c r="D569" s="9" t="s">
        <v>899</v>
      </c>
      <c r="E569" s="9" t="s">
        <v>49</v>
      </c>
      <c r="F569" s="9" t="s">
        <v>124</v>
      </c>
      <c r="G569" s="22" t="s">
        <v>6334</v>
      </c>
      <c r="H569" s="9" t="s">
        <v>4298</v>
      </c>
      <c r="I569" s="7"/>
      <c r="J569" s="23" t="s">
        <v>6335</v>
      </c>
      <c r="K569" s="24" t="s">
        <v>6336</v>
      </c>
      <c r="L569" s="22" t="s">
        <v>6337</v>
      </c>
      <c r="M569" s="25"/>
      <c r="N569" s="25"/>
      <c r="O569" s="26"/>
      <c r="P569" s="27"/>
      <c r="Q569" s="28"/>
      <c r="R569" s="28"/>
      <c r="S569" s="26"/>
    </row>
    <row r="570" customFormat="false" ht="15" hidden="false" customHeight="false" outlineLevel="0" collapsed="false">
      <c r="A570" s="7" t="n">
        <v>566</v>
      </c>
      <c r="B570" s="9" t="s">
        <v>25</v>
      </c>
      <c r="C570" s="22" t="s">
        <v>300</v>
      </c>
      <c r="D570" s="9" t="s">
        <v>917</v>
      </c>
      <c r="E570" s="9" t="s">
        <v>49</v>
      </c>
      <c r="F570" s="9" t="s">
        <v>99</v>
      </c>
      <c r="G570" s="22" t="s">
        <v>6338</v>
      </c>
      <c r="H570" s="9" t="s">
        <v>4298</v>
      </c>
      <c r="I570" s="7"/>
      <c r="J570" s="23" t="s">
        <v>6339</v>
      </c>
      <c r="K570" s="24" t="s">
        <v>6340</v>
      </c>
      <c r="L570" s="22" t="s">
        <v>6341</v>
      </c>
      <c r="M570" s="25"/>
      <c r="N570" s="25"/>
      <c r="O570" s="26"/>
      <c r="P570" s="27"/>
      <c r="Q570" s="28"/>
      <c r="R570" s="28"/>
      <c r="S570" s="26"/>
    </row>
    <row r="571" customFormat="false" ht="15" hidden="false" customHeight="false" outlineLevel="0" collapsed="false">
      <c r="A571" s="7" t="n">
        <v>567</v>
      </c>
      <c r="B571" s="9" t="s">
        <v>25</v>
      </c>
      <c r="C571" s="22" t="s">
        <v>300</v>
      </c>
      <c r="D571" s="9" t="s">
        <v>917</v>
      </c>
      <c r="E571" s="9" t="s">
        <v>49</v>
      </c>
      <c r="F571" s="9" t="s">
        <v>99</v>
      </c>
      <c r="G571" s="22" t="s">
        <v>6342</v>
      </c>
      <c r="H571" s="9" t="s">
        <v>4298</v>
      </c>
      <c r="I571" s="7"/>
      <c r="J571" s="23" t="s">
        <v>6343</v>
      </c>
      <c r="K571" s="24" t="s">
        <v>6344</v>
      </c>
      <c r="L571" s="22" t="s">
        <v>6345</v>
      </c>
      <c r="M571" s="25"/>
      <c r="N571" s="25"/>
      <c r="O571" s="26"/>
      <c r="P571" s="27"/>
      <c r="Q571" s="28"/>
      <c r="R571" s="28"/>
      <c r="S571" s="26"/>
    </row>
    <row r="572" customFormat="false" ht="15" hidden="false" customHeight="false" outlineLevel="0" collapsed="false">
      <c r="A572" s="7" t="n">
        <v>568</v>
      </c>
      <c r="B572" s="9" t="s">
        <v>25</v>
      </c>
      <c r="C572" s="22" t="s">
        <v>300</v>
      </c>
      <c r="D572" s="9" t="s">
        <v>2001</v>
      </c>
      <c r="E572" s="9" t="s">
        <v>49</v>
      </c>
      <c r="F572" s="9" t="s">
        <v>99</v>
      </c>
      <c r="G572" s="22" t="s">
        <v>6346</v>
      </c>
      <c r="H572" s="9" t="s">
        <v>4298</v>
      </c>
      <c r="I572" s="7"/>
      <c r="J572" s="23" t="s">
        <v>6347</v>
      </c>
      <c r="K572" s="24" t="s">
        <v>6348</v>
      </c>
      <c r="L572" s="22" t="s">
        <v>6349</v>
      </c>
      <c r="M572" s="25"/>
      <c r="N572" s="25"/>
      <c r="O572" s="26"/>
      <c r="P572" s="27"/>
      <c r="Q572" s="28"/>
      <c r="R572" s="28"/>
      <c r="S572" s="26"/>
    </row>
    <row r="573" customFormat="false" ht="15" hidden="false" customHeight="false" outlineLevel="0" collapsed="false">
      <c r="A573" s="7" t="n">
        <v>569</v>
      </c>
      <c r="B573" s="9" t="s">
        <v>25</v>
      </c>
      <c r="C573" s="22" t="s">
        <v>300</v>
      </c>
      <c r="D573" s="9" t="s">
        <v>2001</v>
      </c>
      <c r="E573" s="9" t="s">
        <v>49</v>
      </c>
      <c r="F573" s="9" t="s">
        <v>99</v>
      </c>
      <c r="G573" s="22" t="s">
        <v>6350</v>
      </c>
      <c r="H573" s="9" t="s">
        <v>4298</v>
      </c>
      <c r="I573" s="7"/>
      <c r="J573" s="23" t="s">
        <v>6351</v>
      </c>
      <c r="K573" s="24" t="s">
        <v>6352</v>
      </c>
      <c r="L573" s="22" t="s">
        <v>6353</v>
      </c>
      <c r="M573" s="25"/>
      <c r="N573" s="25"/>
      <c r="O573" s="26"/>
      <c r="P573" s="27"/>
      <c r="Q573" s="28"/>
      <c r="R573" s="28"/>
      <c r="S573" s="26"/>
    </row>
    <row r="574" customFormat="false" ht="15" hidden="false" customHeight="false" outlineLevel="0" collapsed="false">
      <c r="A574" s="7" t="n">
        <v>570</v>
      </c>
      <c r="B574" s="9" t="s">
        <v>32</v>
      </c>
      <c r="C574" s="22" t="s">
        <v>2862</v>
      </c>
      <c r="D574" s="9" t="s">
        <v>6354</v>
      </c>
      <c r="E574" s="9" t="s">
        <v>47</v>
      </c>
      <c r="F574" s="9" t="s">
        <v>99</v>
      </c>
      <c r="G574" s="22" t="s">
        <v>6355</v>
      </c>
      <c r="H574" s="9" t="s">
        <v>4298</v>
      </c>
      <c r="I574" s="7"/>
      <c r="J574" s="23" t="s">
        <v>6356</v>
      </c>
      <c r="K574" s="24" t="s">
        <v>6357</v>
      </c>
      <c r="L574" s="22" t="s">
        <v>6358</v>
      </c>
      <c r="M574" s="25"/>
      <c r="N574" s="25"/>
      <c r="O574" s="26"/>
      <c r="P574" s="27"/>
      <c r="Q574" s="28"/>
      <c r="R574" s="28"/>
      <c r="S574" s="26"/>
    </row>
    <row r="575" customFormat="false" ht="15" hidden="false" customHeight="false" outlineLevel="0" collapsed="false">
      <c r="A575" s="7" t="n">
        <v>571</v>
      </c>
      <c r="B575" s="9" t="s">
        <v>32</v>
      </c>
      <c r="C575" s="22" t="s">
        <v>2862</v>
      </c>
      <c r="D575" s="9" t="s">
        <v>6354</v>
      </c>
      <c r="E575" s="9" t="s">
        <v>48</v>
      </c>
      <c r="F575" s="9" t="s">
        <v>99</v>
      </c>
      <c r="G575" s="22" t="s">
        <v>6359</v>
      </c>
      <c r="H575" s="9" t="s">
        <v>4298</v>
      </c>
      <c r="I575" s="7"/>
      <c r="J575" s="23" t="s">
        <v>6360</v>
      </c>
      <c r="K575" s="24" t="s">
        <v>6361</v>
      </c>
      <c r="L575" s="22" t="s">
        <v>6362</v>
      </c>
      <c r="M575" s="25"/>
      <c r="N575" s="25"/>
      <c r="O575" s="26"/>
      <c r="P575" s="27"/>
      <c r="Q575" s="28"/>
      <c r="R575" s="28"/>
      <c r="S575" s="26"/>
    </row>
    <row r="576" customFormat="false" ht="15" hidden="false" customHeight="false" outlineLevel="0" collapsed="false">
      <c r="A576" s="7" t="n">
        <v>572</v>
      </c>
      <c r="B576" s="9" t="s">
        <v>32</v>
      </c>
      <c r="C576" s="22" t="s">
        <v>2862</v>
      </c>
      <c r="D576" s="9" t="s">
        <v>2863</v>
      </c>
      <c r="E576" s="9" t="s">
        <v>47</v>
      </c>
      <c r="F576" s="9" t="s">
        <v>99</v>
      </c>
      <c r="G576" s="22" t="s">
        <v>2864</v>
      </c>
      <c r="H576" s="9" t="s">
        <v>4298</v>
      </c>
      <c r="I576" s="7" t="s">
        <v>869</v>
      </c>
      <c r="J576" s="23" t="s">
        <v>2865</v>
      </c>
      <c r="K576" s="24" t="s">
        <v>2866</v>
      </c>
      <c r="L576" s="22" t="s">
        <v>2867</v>
      </c>
      <c r="M576" s="25"/>
      <c r="N576" s="25"/>
      <c r="O576" s="26"/>
      <c r="P576" s="27"/>
      <c r="Q576" s="28"/>
      <c r="R576" s="28"/>
      <c r="S576" s="26"/>
    </row>
    <row r="577" customFormat="false" ht="15" hidden="false" customHeight="false" outlineLevel="0" collapsed="false">
      <c r="A577" s="7" t="n">
        <v>573</v>
      </c>
      <c r="B577" s="9" t="s">
        <v>32</v>
      </c>
      <c r="C577" s="22" t="s">
        <v>2862</v>
      </c>
      <c r="D577" s="9" t="s">
        <v>2863</v>
      </c>
      <c r="E577" s="9" t="s">
        <v>47</v>
      </c>
      <c r="F577" s="9" t="s">
        <v>99</v>
      </c>
      <c r="G577" s="22" t="s">
        <v>6363</v>
      </c>
      <c r="H577" s="9" t="s">
        <v>4298</v>
      </c>
      <c r="I577" s="7"/>
      <c r="J577" s="23" t="s">
        <v>6364</v>
      </c>
      <c r="K577" s="24" t="s">
        <v>6365</v>
      </c>
      <c r="L577" s="22" t="s">
        <v>6366</v>
      </c>
      <c r="M577" s="25"/>
      <c r="N577" s="25"/>
      <c r="O577" s="26"/>
      <c r="P577" s="27"/>
      <c r="Q577" s="28"/>
      <c r="R577" s="28"/>
      <c r="S577" s="26"/>
    </row>
    <row r="578" customFormat="false" ht="15" hidden="false" customHeight="false" outlineLevel="0" collapsed="false">
      <c r="A578" s="7" t="n">
        <v>574</v>
      </c>
      <c r="B578" s="9" t="s">
        <v>32</v>
      </c>
      <c r="C578" s="22" t="s">
        <v>2862</v>
      </c>
      <c r="D578" s="9" t="s">
        <v>2863</v>
      </c>
      <c r="E578" s="9" t="s">
        <v>47</v>
      </c>
      <c r="F578" s="9" t="s">
        <v>99</v>
      </c>
      <c r="G578" s="22" t="s">
        <v>6367</v>
      </c>
      <c r="H578" s="9" t="s">
        <v>4298</v>
      </c>
      <c r="I578" s="7"/>
      <c r="J578" s="23" t="s">
        <v>6368</v>
      </c>
      <c r="K578" s="24" t="s">
        <v>6369</v>
      </c>
      <c r="L578" s="22" t="s">
        <v>6370</v>
      </c>
      <c r="M578" s="25"/>
      <c r="N578" s="25"/>
      <c r="O578" s="26"/>
      <c r="P578" s="27"/>
      <c r="Q578" s="28"/>
      <c r="R578" s="28"/>
      <c r="S578" s="26"/>
    </row>
    <row r="579" customFormat="false" ht="15" hidden="false" customHeight="false" outlineLevel="0" collapsed="false">
      <c r="A579" s="7" t="n">
        <v>575</v>
      </c>
      <c r="B579" s="9" t="s">
        <v>32</v>
      </c>
      <c r="C579" s="22" t="s">
        <v>2862</v>
      </c>
      <c r="D579" s="9" t="s">
        <v>2863</v>
      </c>
      <c r="E579" s="9" t="s">
        <v>48</v>
      </c>
      <c r="F579" s="9" t="s">
        <v>124</v>
      </c>
      <c r="G579" s="22" t="s">
        <v>6371</v>
      </c>
      <c r="H579" s="9" t="s">
        <v>4298</v>
      </c>
      <c r="I579" s="7"/>
      <c r="J579" s="23" t="s">
        <v>6372</v>
      </c>
      <c r="K579" s="24" t="s">
        <v>6373</v>
      </c>
      <c r="L579" s="22" t="s">
        <v>6374</v>
      </c>
      <c r="M579" s="25"/>
      <c r="N579" s="25"/>
      <c r="O579" s="26"/>
      <c r="P579" s="27"/>
      <c r="Q579" s="28"/>
      <c r="R579" s="28"/>
      <c r="S579" s="26"/>
    </row>
    <row r="580" customFormat="false" ht="15" hidden="false" customHeight="false" outlineLevel="0" collapsed="false">
      <c r="A580" s="7" t="n">
        <v>576</v>
      </c>
      <c r="B580" s="9" t="s">
        <v>32</v>
      </c>
      <c r="C580" s="22" t="s">
        <v>300</v>
      </c>
      <c r="D580" s="9" t="s">
        <v>6354</v>
      </c>
      <c r="E580" s="9" t="s">
        <v>326</v>
      </c>
      <c r="F580" s="9" t="s">
        <v>99</v>
      </c>
      <c r="G580" s="22" t="s">
        <v>6375</v>
      </c>
      <c r="H580" s="9" t="s">
        <v>4298</v>
      </c>
      <c r="I580" s="7"/>
      <c r="J580" s="23" t="s">
        <v>6376</v>
      </c>
      <c r="K580" s="24" t="s">
        <v>6377</v>
      </c>
      <c r="L580" s="22" t="s">
        <v>6378</v>
      </c>
      <c r="M580" s="25"/>
      <c r="N580" s="25"/>
      <c r="O580" s="26"/>
      <c r="P580" s="27"/>
      <c r="Q580" s="28"/>
      <c r="R580" s="28"/>
      <c r="S580" s="26"/>
    </row>
    <row r="581" customFormat="false" ht="15" hidden="false" customHeight="false" outlineLevel="0" collapsed="false">
      <c r="A581" s="7" t="n">
        <v>577</v>
      </c>
      <c r="B581" s="9" t="s">
        <v>32</v>
      </c>
      <c r="C581" s="22" t="s">
        <v>300</v>
      </c>
      <c r="D581" s="9" t="s">
        <v>2929</v>
      </c>
      <c r="E581" s="9" t="s">
        <v>49</v>
      </c>
      <c r="F581" s="9" t="s">
        <v>99</v>
      </c>
      <c r="G581" s="22" t="s">
        <v>6379</v>
      </c>
      <c r="H581" s="9" t="s">
        <v>4298</v>
      </c>
      <c r="I581" s="7"/>
      <c r="J581" s="23" t="s">
        <v>6380</v>
      </c>
      <c r="K581" s="24" t="s">
        <v>6381</v>
      </c>
      <c r="L581" s="22" t="s">
        <v>6382</v>
      </c>
      <c r="M581" s="25"/>
      <c r="N581" s="25"/>
      <c r="O581" s="26"/>
      <c r="P581" s="27"/>
      <c r="Q581" s="28"/>
      <c r="R581" s="28"/>
      <c r="S581" s="26"/>
    </row>
    <row r="582" customFormat="false" ht="15" hidden="false" customHeight="false" outlineLevel="0" collapsed="false">
      <c r="A582" s="7" t="n">
        <v>578</v>
      </c>
      <c r="B582" s="9" t="s">
        <v>32</v>
      </c>
      <c r="C582" s="22" t="s">
        <v>300</v>
      </c>
      <c r="D582" s="9" t="s">
        <v>2941</v>
      </c>
      <c r="E582" s="9" t="s">
        <v>49</v>
      </c>
      <c r="F582" s="9" t="s">
        <v>124</v>
      </c>
      <c r="G582" s="22" t="s">
        <v>6383</v>
      </c>
      <c r="H582" s="9" t="s">
        <v>4298</v>
      </c>
      <c r="I582" s="7"/>
      <c r="J582" s="23" t="s">
        <v>6384</v>
      </c>
      <c r="K582" s="24" t="s">
        <v>6385</v>
      </c>
      <c r="L582" s="22" t="s">
        <v>6386</v>
      </c>
      <c r="M582" s="25"/>
      <c r="N582" s="25"/>
      <c r="O582" s="26"/>
      <c r="P582" s="27"/>
      <c r="Q582" s="28"/>
      <c r="R582" s="28"/>
      <c r="S582" s="26"/>
    </row>
    <row r="583" customFormat="false" ht="15" hidden="false" customHeight="false" outlineLevel="0" collapsed="false">
      <c r="A583" s="7" t="n">
        <v>579</v>
      </c>
      <c r="B583" s="9" t="s">
        <v>32</v>
      </c>
      <c r="C583" s="22" t="s">
        <v>300</v>
      </c>
      <c r="D583" s="9" t="s">
        <v>2941</v>
      </c>
      <c r="E583" s="9" t="s">
        <v>49</v>
      </c>
      <c r="F583" s="9" t="s">
        <v>99</v>
      </c>
      <c r="G583" s="22" t="s">
        <v>6387</v>
      </c>
      <c r="H583" s="9" t="s">
        <v>4298</v>
      </c>
      <c r="I583" s="7"/>
      <c r="J583" s="23" t="s">
        <v>6388</v>
      </c>
      <c r="K583" s="24" t="s">
        <v>6389</v>
      </c>
      <c r="L583" s="22" t="s">
        <v>6390</v>
      </c>
      <c r="M583" s="25"/>
      <c r="N583" s="25"/>
      <c r="O583" s="26"/>
      <c r="P583" s="27"/>
      <c r="Q583" s="28"/>
      <c r="R583" s="28"/>
      <c r="S583" s="26"/>
    </row>
    <row r="584" customFormat="false" ht="15" hidden="false" customHeight="false" outlineLevel="0" collapsed="false">
      <c r="A584" s="7" t="n">
        <v>580</v>
      </c>
      <c r="B584" s="9" t="s">
        <v>32</v>
      </c>
      <c r="C584" s="22" t="s">
        <v>300</v>
      </c>
      <c r="D584" s="9" t="s">
        <v>2872</v>
      </c>
      <c r="E584" s="9" t="s">
        <v>49</v>
      </c>
      <c r="F584" s="9" t="s">
        <v>99</v>
      </c>
      <c r="G584" s="22" t="s">
        <v>514</v>
      </c>
      <c r="H584" s="9" t="s">
        <v>4298</v>
      </c>
      <c r="I584" s="7"/>
      <c r="J584" s="23" t="s">
        <v>6391</v>
      </c>
      <c r="K584" s="24" t="s">
        <v>6392</v>
      </c>
      <c r="L584" s="22" t="s">
        <v>6393</v>
      </c>
      <c r="M584" s="25"/>
      <c r="N584" s="25"/>
      <c r="O584" s="26"/>
      <c r="P584" s="27"/>
      <c r="Q584" s="28"/>
      <c r="R584" s="28"/>
      <c r="S584" s="26"/>
    </row>
    <row r="585" customFormat="false" ht="15" hidden="false" customHeight="false" outlineLevel="0" collapsed="false">
      <c r="A585" s="7" t="n">
        <v>581</v>
      </c>
      <c r="B585" s="9" t="s">
        <v>32</v>
      </c>
      <c r="C585" s="22" t="s">
        <v>300</v>
      </c>
      <c r="D585" s="9" t="s">
        <v>2872</v>
      </c>
      <c r="E585" s="9" t="s">
        <v>49</v>
      </c>
      <c r="F585" s="9" t="s">
        <v>99</v>
      </c>
      <c r="G585" s="22" t="s">
        <v>2873</v>
      </c>
      <c r="H585" s="9" t="s">
        <v>4298</v>
      </c>
      <c r="I585" s="7" t="s">
        <v>869</v>
      </c>
      <c r="J585" s="23" t="s">
        <v>2874</v>
      </c>
      <c r="K585" s="24" t="s">
        <v>2875</v>
      </c>
      <c r="L585" s="22" t="s">
        <v>2876</v>
      </c>
      <c r="M585" s="25"/>
      <c r="N585" s="25"/>
      <c r="O585" s="26"/>
      <c r="P585" s="27"/>
      <c r="Q585" s="28"/>
      <c r="R585" s="28"/>
      <c r="S585" s="26"/>
    </row>
    <row r="586" customFormat="false" ht="15" hidden="false" customHeight="false" outlineLevel="0" collapsed="false">
      <c r="A586" s="7" t="n">
        <v>582</v>
      </c>
      <c r="B586" s="9" t="s">
        <v>32</v>
      </c>
      <c r="C586" s="22" t="s">
        <v>300</v>
      </c>
      <c r="D586" s="9" t="s">
        <v>2872</v>
      </c>
      <c r="E586" s="9" t="s">
        <v>49</v>
      </c>
      <c r="F586" s="9" t="s">
        <v>99</v>
      </c>
      <c r="G586" s="22" t="s">
        <v>6394</v>
      </c>
      <c r="H586" s="9" t="s">
        <v>4298</v>
      </c>
      <c r="I586" s="7"/>
      <c r="J586" s="23" t="s">
        <v>6395</v>
      </c>
      <c r="K586" s="24" t="s">
        <v>6396</v>
      </c>
      <c r="L586" s="22" t="s">
        <v>6397</v>
      </c>
      <c r="M586" s="25"/>
      <c r="N586" s="25"/>
      <c r="O586" s="26"/>
      <c r="P586" s="27"/>
      <c r="Q586" s="28"/>
      <c r="R586" s="28"/>
      <c r="S586" s="26"/>
    </row>
    <row r="587" customFormat="false" ht="15" hidden="false" customHeight="false" outlineLevel="0" collapsed="false">
      <c r="A587" s="7" t="n">
        <v>583</v>
      </c>
      <c r="B587" s="9" t="s">
        <v>32</v>
      </c>
      <c r="C587" s="22" t="s">
        <v>300</v>
      </c>
      <c r="D587" s="9" t="s">
        <v>2872</v>
      </c>
      <c r="E587" s="9" t="s">
        <v>326</v>
      </c>
      <c r="F587" s="9" t="s">
        <v>124</v>
      </c>
      <c r="G587" s="22" t="s">
        <v>6398</v>
      </c>
      <c r="H587" s="9" t="s">
        <v>4298</v>
      </c>
      <c r="I587" s="7"/>
      <c r="J587" s="23" t="s">
        <v>6399</v>
      </c>
      <c r="K587" s="24" t="s">
        <v>6400</v>
      </c>
      <c r="L587" s="22" t="s">
        <v>6401</v>
      </c>
      <c r="M587" s="25"/>
      <c r="N587" s="25"/>
      <c r="O587" s="26"/>
      <c r="P587" s="27"/>
      <c r="Q587" s="28"/>
      <c r="R587" s="28"/>
      <c r="S587" s="26"/>
    </row>
    <row r="588" customFormat="false" ht="15" hidden="false" customHeight="false" outlineLevel="0" collapsed="false">
      <c r="A588" s="7" t="n">
        <v>584</v>
      </c>
      <c r="B588" s="9" t="s">
        <v>32</v>
      </c>
      <c r="C588" s="22" t="s">
        <v>300</v>
      </c>
      <c r="D588" s="9" t="s">
        <v>2947</v>
      </c>
      <c r="E588" s="9" t="s">
        <v>49</v>
      </c>
      <c r="F588" s="9" t="s">
        <v>99</v>
      </c>
      <c r="G588" s="22" t="s">
        <v>6402</v>
      </c>
      <c r="H588" s="9" t="s">
        <v>4298</v>
      </c>
      <c r="I588" s="7"/>
      <c r="J588" s="23" t="s">
        <v>6403</v>
      </c>
      <c r="K588" s="24" t="s">
        <v>6404</v>
      </c>
      <c r="L588" s="22" t="s">
        <v>6405</v>
      </c>
      <c r="M588" s="25"/>
      <c r="N588" s="25"/>
      <c r="O588" s="26"/>
      <c r="P588" s="27"/>
      <c r="Q588" s="28"/>
      <c r="R588" s="28"/>
      <c r="S588" s="26"/>
    </row>
    <row r="589" customFormat="false" ht="15" hidden="false" customHeight="false" outlineLevel="0" collapsed="false">
      <c r="A589" s="7" t="n">
        <v>585</v>
      </c>
      <c r="B589" s="9" t="s">
        <v>32</v>
      </c>
      <c r="C589" s="22" t="s">
        <v>300</v>
      </c>
      <c r="D589" s="9" t="s">
        <v>2947</v>
      </c>
      <c r="E589" s="9" t="s">
        <v>49</v>
      </c>
      <c r="F589" s="9" t="s">
        <v>99</v>
      </c>
      <c r="G589" s="22" t="s">
        <v>6406</v>
      </c>
      <c r="H589" s="9" t="s">
        <v>4298</v>
      </c>
      <c r="I589" s="7"/>
      <c r="J589" s="23" t="s">
        <v>6407</v>
      </c>
      <c r="K589" s="24" t="s">
        <v>6408</v>
      </c>
      <c r="L589" s="22" t="s">
        <v>6409</v>
      </c>
      <c r="M589" s="25"/>
      <c r="N589" s="25"/>
      <c r="O589" s="26"/>
      <c r="P589" s="27"/>
      <c r="Q589" s="28"/>
      <c r="R589" s="28"/>
      <c r="S589" s="26"/>
    </row>
    <row r="590" customFormat="false" ht="15" hidden="false" customHeight="false" outlineLevel="0" collapsed="false">
      <c r="A590" s="7" t="n">
        <v>586</v>
      </c>
      <c r="B590" s="9" t="s">
        <v>32</v>
      </c>
      <c r="C590" s="22" t="s">
        <v>300</v>
      </c>
      <c r="D590" s="9" t="s">
        <v>2947</v>
      </c>
      <c r="E590" s="9" t="s">
        <v>326</v>
      </c>
      <c r="F590" s="9" t="s">
        <v>124</v>
      </c>
      <c r="G590" s="22" t="s">
        <v>6410</v>
      </c>
      <c r="H590" s="9" t="s">
        <v>4298</v>
      </c>
      <c r="I590" s="7"/>
      <c r="J590" s="23" t="s">
        <v>6411</v>
      </c>
      <c r="K590" s="24" t="s">
        <v>6412</v>
      </c>
      <c r="L590" s="22" t="s">
        <v>6413</v>
      </c>
      <c r="M590" s="25"/>
      <c r="N590" s="25"/>
      <c r="O590" s="26"/>
      <c r="P590" s="27"/>
      <c r="Q590" s="28"/>
      <c r="R590" s="28"/>
      <c r="S590" s="26"/>
    </row>
    <row r="591" customFormat="false" ht="15" hidden="false" customHeight="false" outlineLevel="0" collapsed="false">
      <c r="A591" s="7" t="n">
        <v>587</v>
      </c>
      <c r="B591" s="9" t="s">
        <v>32</v>
      </c>
      <c r="C591" s="22" t="s">
        <v>300</v>
      </c>
      <c r="D591" s="9" t="s">
        <v>2877</v>
      </c>
      <c r="E591" s="9" t="s">
        <v>49</v>
      </c>
      <c r="F591" s="9" t="s">
        <v>99</v>
      </c>
      <c r="G591" s="22" t="s">
        <v>6414</v>
      </c>
      <c r="H591" s="9" t="s">
        <v>4298</v>
      </c>
      <c r="I591" s="7"/>
      <c r="J591" s="23" t="s">
        <v>6415</v>
      </c>
      <c r="K591" s="24" t="s">
        <v>6416</v>
      </c>
      <c r="L591" s="22" t="s">
        <v>6417</v>
      </c>
      <c r="M591" s="25"/>
      <c r="N591" s="25"/>
      <c r="O591" s="26"/>
      <c r="P591" s="27"/>
      <c r="Q591" s="28"/>
      <c r="R591" s="28"/>
      <c r="S591" s="26"/>
    </row>
    <row r="592" customFormat="false" ht="15" hidden="false" customHeight="false" outlineLevel="0" collapsed="false">
      <c r="A592" s="7" t="n">
        <v>588</v>
      </c>
      <c r="B592" s="9" t="s">
        <v>32</v>
      </c>
      <c r="C592" s="22" t="s">
        <v>300</v>
      </c>
      <c r="D592" s="9" t="s">
        <v>2877</v>
      </c>
      <c r="E592" s="9" t="s">
        <v>49</v>
      </c>
      <c r="F592" s="9" t="s">
        <v>99</v>
      </c>
      <c r="G592" s="22" t="s">
        <v>6418</v>
      </c>
      <c r="H592" s="9" t="s">
        <v>4298</v>
      </c>
      <c r="I592" s="7"/>
      <c r="J592" s="23" t="s">
        <v>6419</v>
      </c>
      <c r="K592" s="24" t="s">
        <v>6420</v>
      </c>
      <c r="L592" s="22" t="s">
        <v>6421</v>
      </c>
      <c r="M592" s="25"/>
      <c r="N592" s="25"/>
      <c r="O592" s="26"/>
      <c r="P592" s="27"/>
      <c r="Q592" s="28"/>
      <c r="R592" s="28"/>
      <c r="S592" s="26"/>
    </row>
    <row r="593" customFormat="false" ht="15" hidden="false" customHeight="false" outlineLevel="0" collapsed="false">
      <c r="A593" s="7" t="n">
        <v>589</v>
      </c>
      <c r="B593" s="9" t="s">
        <v>32</v>
      </c>
      <c r="C593" s="22" t="s">
        <v>300</v>
      </c>
      <c r="D593" s="9" t="s">
        <v>2882</v>
      </c>
      <c r="E593" s="9" t="s">
        <v>49</v>
      </c>
      <c r="F593" s="9" t="s">
        <v>99</v>
      </c>
      <c r="G593" s="22" t="s">
        <v>2883</v>
      </c>
      <c r="H593" s="9" t="s">
        <v>4298</v>
      </c>
      <c r="I593" s="7" t="s">
        <v>869</v>
      </c>
      <c r="J593" s="23" t="s">
        <v>2884</v>
      </c>
      <c r="K593" s="24" t="s">
        <v>2885</v>
      </c>
      <c r="L593" s="22" t="s">
        <v>2886</v>
      </c>
      <c r="M593" s="25"/>
      <c r="N593" s="25"/>
      <c r="O593" s="26"/>
      <c r="P593" s="27"/>
      <c r="Q593" s="28"/>
      <c r="R593" s="28"/>
      <c r="S593" s="26"/>
    </row>
    <row r="594" customFormat="false" ht="15" hidden="false" customHeight="false" outlineLevel="0" collapsed="false">
      <c r="A594" s="7" t="n">
        <v>590</v>
      </c>
      <c r="B594" s="9" t="s">
        <v>32</v>
      </c>
      <c r="C594" s="22" t="s">
        <v>300</v>
      </c>
      <c r="D594" s="9" t="s">
        <v>2882</v>
      </c>
      <c r="E594" s="9" t="s">
        <v>49</v>
      </c>
      <c r="F594" s="9" t="s">
        <v>99</v>
      </c>
      <c r="G594" s="22" t="s">
        <v>6422</v>
      </c>
      <c r="H594" s="9" t="s">
        <v>4298</v>
      </c>
      <c r="I594" s="7"/>
      <c r="J594" s="23" t="s">
        <v>6423</v>
      </c>
      <c r="K594" s="24" t="s">
        <v>6424</v>
      </c>
      <c r="L594" s="22" t="s">
        <v>6425</v>
      </c>
      <c r="M594" s="25"/>
      <c r="N594" s="25"/>
      <c r="O594" s="26"/>
      <c r="P594" s="27"/>
      <c r="Q594" s="28"/>
      <c r="R594" s="28"/>
      <c r="S594" s="26"/>
    </row>
    <row r="595" customFormat="false" ht="15" hidden="false" customHeight="false" outlineLevel="0" collapsed="false">
      <c r="A595" s="7" t="n">
        <v>591</v>
      </c>
      <c r="B595" s="9" t="s">
        <v>32</v>
      </c>
      <c r="C595" s="22" t="s">
        <v>300</v>
      </c>
      <c r="D595" s="9" t="s">
        <v>2882</v>
      </c>
      <c r="E595" s="9" t="s">
        <v>49</v>
      </c>
      <c r="F595" s="9" t="s">
        <v>124</v>
      </c>
      <c r="G595" s="22" t="s">
        <v>6426</v>
      </c>
      <c r="H595" s="9" t="s">
        <v>4298</v>
      </c>
      <c r="I595" s="7"/>
      <c r="J595" s="23" t="s">
        <v>6427</v>
      </c>
      <c r="K595" s="24" t="s">
        <v>6428</v>
      </c>
      <c r="L595" s="22" t="s">
        <v>6429</v>
      </c>
      <c r="M595" s="25"/>
      <c r="N595" s="25"/>
      <c r="O595" s="26"/>
      <c r="P595" s="27"/>
      <c r="Q595" s="28"/>
      <c r="R595" s="28"/>
      <c r="S595" s="26"/>
    </row>
    <row r="596" customFormat="false" ht="15" hidden="false" customHeight="false" outlineLevel="0" collapsed="false">
      <c r="A596" s="7" t="n">
        <v>592</v>
      </c>
      <c r="B596" s="9" t="s">
        <v>32</v>
      </c>
      <c r="C596" s="22" t="s">
        <v>300</v>
      </c>
      <c r="D596" s="9" t="s">
        <v>2882</v>
      </c>
      <c r="E596" s="9" t="s">
        <v>49</v>
      </c>
      <c r="F596" s="9" t="s">
        <v>99</v>
      </c>
      <c r="G596" s="22" t="s">
        <v>2887</v>
      </c>
      <c r="H596" s="9" t="s">
        <v>4298</v>
      </c>
      <c r="I596" s="7" t="s">
        <v>869</v>
      </c>
      <c r="J596" s="23" t="s">
        <v>2888</v>
      </c>
      <c r="K596" s="24" t="s">
        <v>2889</v>
      </c>
      <c r="L596" s="22" t="s">
        <v>2890</v>
      </c>
      <c r="M596" s="25"/>
      <c r="N596" s="25"/>
      <c r="O596" s="26"/>
      <c r="P596" s="27"/>
      <c r="Q596" s="28"/>
      <c r="R596" s="28"/>
      <c r="S596" s="26"/>
    </row>
    <row r="597" customFormat="false" ht="15" hidden="false" customHeight="false" outlineLevel="0" collapsed="false">
      <c r="A597" s="7" t="n">
        <v>593</v>
      </c>
      <c r="B597" s="9" t="s">
        <v>32</v>
      </c>
      <c r="C597" s="22" t="s">
        <v>300</v>
      </c>
      <c r="D597" s="9" t="s">
        <v>2882</v>
      </c>
      <c r="E597" s="9" t="s">
        <v>49</v>
      </c>
      <c r="F597" s="9" t="s">
        <v>99</v>
      </c>
      <c r="G597" s="22" t="s">
        <v>2891</v>
      </c>
      <c r="H597" s="9" t="s">
        <v>4298</v>
      </c>
      <c r="I597" s="7" t="s">
        <v>869</v>
      </c>
      <c r="J597" s="23" t="s">
        <v>2892</v>
      </c>
      <c r="K597" s="24" t="s">
        <v>2893</v>
      </c>
      <c r="L597" s="22" t="s">
        <v>2894</v>
      </c>
      <c r="M597" s="25"/>
      <c r="N597" s="25"/>
      <c r="O597" s="26"/>
      <c r="P597" s="27"/>
      <c r="Q597" s="28"/>
      <c r="R597" s="28"/>
      <c r="S597" s="26"/>
    </row>
    <row r="598" customFormat="false" ht="15" hidden="false" customHeight="false" outlineLevel="0" collapsed="false">
      <c r="A598" s="7" t="n">
        <v>594</v>
      </c>
      <c r="B598" s="9" t="s">
        <v>32</v>
      </c>
      <c r="C598" s="22" t="s">
        <v>300</v>
      </c>
      <c r="D598" s="9" t="s">
        <v>2882</v>
      </c>
      <c r="E598" s="9" t="s">
        <v>49</v>
      </c>
      <c r="F598" s="9" t="s">
        <v>99</v>
      </c>
      <c r="G598" s="22" t="s">
        <v>2274</v>
      </c>
      <c r="H598" s="9" t="s">
        <v>4298</v>
      </c>
      <c r="I598" s="7"/>
      <c r="J598" s="23" t="s">
        <v>6430</v>
      </c>
      <c r="K598" s="24" t="s">
        <v>6431</v>
      </c>
      <c r="L598" s="22" t="s">
        <v>6432</v>
      </c>
      <c r="M598" s="25"/>
      <c r="N598" s="25"/>
      <c r="O598" s="26"/>
      <c r="P598" s="27"/>
      <c r="Q598" s="28"/>
      <c r="R598" s="28"/>
      <c r="S598" s="26"/>
    </row>
    <row r="599" customFormat="false" ht="15" hidden="false" customHeight="false" outlineLevel="0" collapsed="false">
      <c r="A599" s="7" t="n">
        <v>595</v>
      </c>
      <c r="B599" s="9" t="s">
        <v>32</v>
      </c>
      <c r="C599" s="22" t="s">
        <v>300</v>
      </c>
      <c r="D599" s="9" t="s">
        <v>2882</v>
      </c>
      <c r="E599" s="9" t="s">
        <v>49</v>
      </c>
      <c r="F599" s="9" t="s">
        <v>124</v>
      </c>
      <c r="G599" s="22" t="s">
        <v>6433</v>
      </c>
      <c r="H599" s="9" t="s">
        <v>4298</v>
      </c>
      <c r="I599" s="7"/>
      <c r="J599" s="23" t="s">
        <v>6434</v>
      </c>
      <c r="K599" s="24" t="s">
        <v>6435</v>
      </c>
      <c r="L599" s="22" t="s">
        <v>6436</v>
      </c>
      <c r="M599" s="25"/>
      <c r="N599" s="25"/>
      <c r="O599" s="26"/>
      <c r="P599" s="27"/>
      <c r="Q599" s="28"/>
      <c r="R599" s="28"/>
      <c r="S599" s="26"/>
    </row>
    <row r="600" customFormat="false" ht="15" hidden="false" customHeight="false" outlineLevel="0" collapsed="false">
      <c r="A600" s="7" t="n">
        <v>596</v>
      </c>
      <c r="B600" s="9" t="s">
        <v>32</v>
      </c>
      <c r="C600" s="22" t="s">
        <v>300</v>
      </c>
      <c r="D600" s="9" t="s">
        <v>2882</v>
      </c>
      <c r="E600" s="9" t="s">
        <v>49</v>
      </c>
      <c r="F600" s="9" t="s">
        <v>99</v>
      </c>
      <c r="G600" s="22" t="s">
        <v>2895</v>
      </c>
      <c r="H600" s="9" t="s">
        <v>4298</v>
      </c>
      <c r="I600" s="7" t="s">
        <v>869</v>
      </c>
      <c r="J600" s="23" t="s">
        <v>2896</v>
      </c>
      <c r="K600" s="24" t="s">
        <v>2897</v>
      </c>
      <c r="L600" s="22" t="s">
        <v>2898</v>
      </c>
      <c r="M600" s="25"/>
      <c r="N600" s="25"/>
      <c r="O600" s="26"/>
      <c r="P600" s="27"/>
      <c r="Q600" s="28"/>
      <c r="R600" s="28"/>
      <c r="S600" s="26"/>
    </row>
    <row r="601" customFormat="false" ht="15" hidden="false" customHeight="false" outlineLevel="0" collapsed="false">
      <c r="A601" s="7" t="n">
        <v>597</v>
      </c>
      <c r="B601" s="9" t="s">
        <v>32</v>
      </c>
      <c r="C601" s="22" t="s">
        <v>300</v>
      </c>
      <c r="D601" s="9" t="s">
        <v>2882</v>
      </c>
      <c r="E601" s="9" t="s">
        <v>49</v>
      </c>
      <c r="F601" s="9" t="s">
        <v>124</v>
      </c>
      <c r="G601" s="22" t="s">
        <v>2899</v>
      </c>
      <c r="H601" s="9" t="s">
        <v>4298</v>
      </c>
      <c r="I601" s="7" t="s">
        <v>869</v>
      </c>
      <c r="J601" s="23" t="s">
        <v>2900</v>
      </c>
      <c r="K601" s="24" t="s">
        <v>2901</v>
      </c>
      <c r="L601" s="22" t="s">
        <v>2902</v>
      </c>
      <c r="M601" s="25"/>
      <c r="N601" s="25"/>
      <c r="O601" s="26"/>
      <c r="P601" s="27"/>
      <c r="Q601" s="28"/>
      <c r="R601" s="28"/>
      <c r="S601" s="26"/>
    </row>
    <row r="602" customFormat="false" ht="15" hidden="false" customHeight="false" outlineLevel="0" collapsed="false">
      <c r="A602" s="7" t="n">
        <v>598</v>
      </c>
      <c r="B602" s="9" t="s">
        <v>32</v>
      </c>
      <c r="C602" s="22" t="s">
        <v>300</v>
      </c>
      <c r="D602" s="9" t="s">
        <v>2882</v>
      </c>
      <c r="E602" s="9" t="s">
        <v>49</v>
      </c>
      <c r="F602" s="9" t="s">
        <v>124</v>
      </c>
      <c r="G602" s="22" t="s">
        <v>6437</v>
      </c>
      <c r="H602" s="9" t="s">
        <v>4298</v>
      </c>
      <c r="I602" s="7"/>
      <c r="J602" s="23" t="s">
        <v>6438</v>
      </c>
      <c r="K602" s="24" t="s">
        <v>6439</v>
      </c>
      <c r="L602" s="22" t="s">
        <v>6440</v>
      </c>
      <c r="M602" s="25"/>
      <c r="N602" s="25"/>
      <c r="O602" s="26"/>
      <c r="P602" s="27"/>
      <c r="Q602" s="28"/>
      <c r="R602" s="28"/>
      <c r="S602" s="26"/>
    </row>
    <row r="603" customFormat="false" ht="15" hidden="false" customHeight="false" outlineLevel="0" collapsed="false">
      <c r="A603" s="7" t="n">
        <v>599</v>
      </c>
      <c r="B603" s="9" t="s">
        <v>32</v>
      </c>
      <c r="C603" s="22" t="s">
        <v>300</v>
      </c>
      <c r="D603" s="9" t="s">
        <v>2882</v>
      </c>
      <c r="E603" s="9" t="s">
        <v>49</v>
      </c>
      <c r="F603" s="9" t="s">
        <v>124</v>
      </c>
      <c r="G603" s="22" t="s">
        <v>6441</v>
      </c>
      <c r="H603" s="9" t="s">
        <v>4298</v>
      </c>
      <c r="I603" s="7"/>
      <c r="J603" s="23" t="s">
        <v>6442</v>
      </c>
      <c r="K603" s="24" t="s">
        <v>6443</v>
      </c>
      <c r="L603" s="22" t="s">
        <v>6444</v>
      </c>
      <c r="M603" s="25"/>
      <c r="N603" s="25"/>
      <c r="O603" s="26"/>
      <c r="P603" s="27"/>
      <c r="Q603" s="28"/>
      <c r="R603" s="28"/>
      <c r="S603" s="26"/>
    </row>
    <row r="604" customFormat="false" ht="15" hidden="false" customHeight="false" outlineLevel="0" collapsed="false">
      <c r="A604" s="7" t="n">
        <v>600</v>
      </c>
      <c r="B604" s="9" t="s">
        <v>32</v>
      </c>
      <c r="C604" s="22" t="s">
        <v>300</v>
      </c>
      <c r="D604" s="9" t="s">
        <v>2882</v>
      </c>
      <c r="E604" s="9" t="s">
        <v>49</v>
      </c>
      <c r="F604" s="9" t="s">
        <v>124</v>
      </c>
      <c r="G604" s="22" t="s">
        <v>6445</v>
      </c>
      <c r="H604" s="9" t="s">
        <v>4298</v>
      </c>
      <c r="I604" s="7"/>
      <c r="J604" s="23" t="s">
        <v>6446</v>
      </c>
      <c r="K604" s="24" t="s">
        <v>6447</v>
      </c>
      <c r="L604" s="22" t="s">
        <v>6448</v>
      </c>
      <c r="M604" s="25"/>
      <c r="N604" s="25"/>
      <c r="O604" s="26"/>
      <c r="P604" s="27"/>
      <c r="Q604" s="28"/>
      <c r="R604" s="28"/>
      <c r="S604" s="26"/>
    </row>
    <row r="605" customFormat="false" ht="15" hidden="false" customHeight="false" outlineLevel="0" collapsed="false">
      <c r="A605" s="7" t="n">
        <v>601</v>
      </c>
      <c r="B605" s="9" t="s">
        <v>32</v>
      </c>
      <c r="C605" s="22" t="s">
        <v>300</v>
      </c>
      <c r="D605" s="9" t="s">
        <v>2882</v>
      </c>
      <c r="E605" s="9" t="s">
        <v>49</v>
      </c>
      <c r="F605" s="9" t="s">
        <v>124</v>
      </c>
      <c r="G605" s="22" t="s">
        <v>6449</v>
      </c>
      <c r="H605" s="9" t="s">
        <v>4298</v>
      </c>
      <c r="I605" s="7"/>
      <c r="J605" s="23" t="s">
        <v>6450</v>
      </c>
      <c r="K605" s="24" t="s">
        <v>6451</v>
      </c>
      <c r="L605" s="22" t="s">
        <v>6452</v>
      </c>
      <c r="M605" s="25"/>
      <c r="N605" s="25"/>
      <c r="O605" s="26"/>
      <c r="P605" s="27"/>
      <c r="Q605" s="28"/>
      <c r="R605" s="28"/>
      <c r="S605" s="26"/>
    </row>
    <row r="606" customFormat="false" ht="15" hidden="false" customHeight="false" outlineLevel="0" collapsed="false">
      <c r="A606" s="7" t="n">
        <v>602</v>
      </c>
      <c r="B606" s="9" t="s">
        <v>32</v>
      </c>
      <c r="C606" s="22" t="s">
        <v>300</v>
      </c>
      <c r="D606" s="9" t="s">
        <v>2882</v>
      </c>
      <c r="E606" s="9" t="s">
        <v>49</v>
      </c>
      <c r="F606" s="9" t="s">
        <v>124</v>
      </c>
      <c r="G606" s="22" t="s">
        <v>2907</v>
      </c>
      <c r="H606" s="9" t="s">
        <v>4298</v>
      </c>
      <c r="I606" s="7" t="s">
        <v>869</v>
      </c>
      <c r="J606" s="23" t="s">
        <v>2908</v>
      </c>
      <c r="K606" s="24" t="s">
        <v>2909</v>
      </c>
      <c r="L606" s="22" t="s">
        <v>2910</v>
      </c>
      <c r="M606" s="25"/>
      <c r="N606" s="25"/>
      <c r="O606" s="26"/>
      <c r="P606" s="27"/>
      <c r="Q606" s="28"/>
      <c r="R606" s="28"/>
      <c r="S606" s="26"/>
    </row>
    <row r="607" customFormat="false" ht="15" hidden="false" customHeight="false" outlineLevel="0" collapsed="false">
      <c r="A607" s="7" t="n">
        <v>603</v>
      </c>
      <c r="B607" s="9" t="s">
        <v>32</v>
      </c>
      <c r="C607" s="22" t="s">
        <v>300</v>
      </c>
      <c r="D607" s="9" t="s">
        <v>2882</v>
      </c>
      <c r="E607" s="9" t="s">
        <v>49</v>
      </c>
      <c r="F607" s="9" t="s">
        <v>124</v>
      </c>
      <c r="G607" s="22" t="s">
        <v>6453</v>
      </c>
      <c r="H607" s="9" t="s">
        <v>4298</v>
      </c>
      <c r="I607" s="7"/>
      <c r="J607" s="23" t="s">
        <v>6454</v>
      </c>
      <c r="K607" s="24" t="s">
        <v>6455</v>
      </c>
      <c r="L607" s="22" t="s">
        <v>6456</v>
      </c>
      <c r="M607" s="25"/>
      <c r="N607" s="25"/>
      <c r="O607" s="26"/>
      <c r="P607" s="27"/>
      <c r="Q607" s="28"/>
      <c r="R607" s="28"/>
      <c r="S607" s="26"/>
    </row>
    <row r="608" customFormat="false" ht="15" hidden="false" customHeight="false" outlineLevel="0" collapsed="false">
      <c r="A608" s="7" t="n">
        <v>604</v>
      </c>
      <c r="B608" s="9" t="s">
        <v>32</v>
      </c>
      <c r="C608" s="22" t="s">
        <v>300</v>
      </c>
      <c r="D608" s="9" t="s">
        <v>2882</v>
      </c>
      <c r="E608" s="9" t="s">
        <v>49</v>
      </c>
      <c r="F608" s="9" t="s">
        <v>99</v>
      </c>
      <c r="G608" s="22" t="s">
        <v>6457</v>
      </c>
      <c r="H608" s="9" t="s">
        <v>4298</v>
      </c>
      <c r="I608" s="7"/>
      <c r="J608" s="23" t="s">
        <v>6458</v>
      </c>
      <c r="K608" s="24" t="s">
        <v>6459</v>
      </c>
      <c r="L608" s="22" t="s">
        <v>6460</v>
      </c>
      <c r="M608" s="25"/>
      <c r="N608" s="25"/>
      <c r="O608" s="26"/>
      <c r="P608" s="27"/>
      <c r="Q608" s="28"/>
      <c r="R608" s="28"/>
      <c r="S608" s="26"/>
    </row>
    <row r="609" customFormat="false" ht="15" hidden="false" customHeight="false" outlineLevel="0" collapsed="false">
      <c r="A609" s="7" t="n">
        <v>605</v>
      </c>
      <c r="B609" s="9" t="s">
        <v>32</v>
      </c>
      <c r="C609" s="22" t="s">
        <v>300</v>
      </c>
      <c r="D609" s="9" t="s">
        <v>2882</v>
      </c>
      <c r="E609" s="9" t="s">
        <v>49</v>
      </c>
      <c r="F609" s="9" t="s">
        <v>99</v>
      </c>
      <c r="G609" s="22" t="s">
        <v>6461</v>
      </c>
      <c r="H609" s="9" t="s">
        <v>4298</v>
      </c>
      <c r="I609" s="7"/>
      <c r="J609" s="23" t="s">
        <v>6462</v>
      </c>
      <c r="K609" s="24" t="s">
        <v>6463</v>
      </c>
      <c r="L609" s="22" t="s">
        <v>6464</v>
      </c>
      <c r="M609" s="25"/>
      <c r="N609" s="25"/>
      <c r="O609" s="26"/>
      <c r="P609" s="27"/>
      <c r="Q609" s="28"/>
      <c r="R609" s="28"/>
      <c r="S609" s="26"/>
    </row>
    <row r="610" customFormat="false" ht="15" hidden="false" customHeight="false" outlineLevel="0" collapsed="false">
      <c r="A610" s="7" t="n">
        <v>606</v>
      </c>
      <c r="B610" s="9" t="s">
        <v>32</v>
      </c>
      <c r="C610" s="22" t="s">
        <v>300</v>
      </c>
      <c r="D610" s="9" t="s">
        <v>2882</v>
      </c>
      <c r="E610" s="9" t="s">
        <v>49</v>
      </c>
      <c r="F610" s="9" t="s">
        <v>99</v>
      </c>
      <c r="G610" s="22" t="s">
        <v>6465</v>
      </c>
      <c r="H610" s="9" t="s">
        <v>4298</v>
      </c>
      <c r="I610" s="7"/>
      <c r="J610" s="23" t="s">
        <v>6466</v>
      </c>
      <c r="K610" s="24" t="s">
        <v>6467</v>
      </c>
      <c r="L610" s="22" t="s">
        <v>6468</v>
      </c>
      <c r="M610" s="25"/>
      <c r="N610" s="25"/>
      <c r="O610" s="26"/>
      <c r="P610" s="27"/>
      <c r="Q610" s="28"/>
      <c r="R610" s="28"/>
      <c r="S610" s="26"/>
    </row>
    <row r="611" customFormat="false" ht="15" hidden="false" customHeight="false" outlineLevel="0" collapsed="false">
      <c r="A611" s="7" t="n">
        <v>607</v>
      </c>
      <c r="B611" s="9" t="s">
        <v>32</v>
      </c>
      <c r="C611" s="22" t="s">
        <v>300</v>
      </c>
      <c r="D611" s="9" t="s">
        <v>2882</v>
      </c>
      <c r="E611" s="9" t="s">
        <v>49</v>
      </c>
      <c r="F611" s="9" t="s">
        <v>99</v>
      </c>
      <c r="G611" s="22" t="s">
        <v>6469</v>
      </c>
      <c r="H611" s="9" t="s">
        <v>4298</v>
      </c>
      <c r="I611" s="7"/>
      <c r="J611" s="23" t="s">
        <v>6470</v>
      </c>
      <c r="K611" s="24" t="s">
        <v>6471</v>
      </c>
      <c r="L611" s="22" t="s">
        <v>6472</v>
      </c>
      <c r="M611" s="25"/>
      <c r="N611" s="25"/>
      <c r="O611" s="26"/>
      <c r="P611" s="27"/>
      <c r="Q611" s="28"/>
      <c r="R611" s="28"/>
      <c r="S611" s="26"/>
    </row>
    <row r="612" customFormat="false" ht="15" hidden="false" customHeight="false" outlineLevel="0" collapsed="false">
      <c r="A612" s="7" t="n">
        <v>608</v>
      </c>
      <c r="B612" s="9" t="s">
        <v>32</v>
      </c>
      <c r="C612" s="22" t="s">
        <v>300</v>
      </c>
      <c r="D612" s="9" t="s">
        <v>2882</v>
      </c>
      <c r="E612" s="9" t="s">
        <v>49</v>
      </c>
      <c r="F612" s="9" t="s">
        <v>124</v>
      </c>
      <c r="G612" s="22" t="s">
        <v>6473</v>
      </c>
      <c r="H612" s="9" t="s">
        <v>4298</v>
      </c>
      <c r="I612" s="7"/>
      <c r="J612" s="23" t="s">
        <v>6474</v>
      </c>
      <c r="K612" s="24" t="s">
        <v>6475</v>
      </c>
      <c r="L612" s="22" t="s">
        <v>6476</v>
      </c>
      <c r="M612" s="25"/>
      <c r="N612" s="25"/>
      <c r="O612" s="26"/>
      <c r="P612" s="27"/>
      <c r="Q612" s="28"/>
      <c r="R612" s="28"/>
      <c r="S612" s="26"/>
    </row>
    <row r="613" customFormat="false" ht="15" hidden="false" customHeight="false" outlineLevel="0" collapsed="false">
      <c r="A613" s="7" t="n">
        <v>609</v>
      </c>
      <c r="B613" s="9" t="s">
        <v>32</v>
      </c>
      <c r="C613" s="22" t="s">
        <v>300</v>
      </c>
      <c r="D613" s="9" t="s">
        <v>2882</v>
      </c>
      <c r="E613" s="9" t="s">
        <v>49</v>
      </c>
      <c r="F613" s="9" t="s">
        <v>99</v>
      </c>
      <c r="G613" s="22" t="s">
        <v>2911</v>
      </c>
      <c r="H613" s="9" t="s">
        <v>4298</v>
      </c>
      <c r="I613" s="7" t="s">
        <v>869</v>
      </c>
      <c r="J613" s="23" t="s">
        <v>2912</v>
      </c>
      <c r="K613" s="24" t="s">
        <v>2913</v>
      </c>
      <c r="L613" s="22" t="s">
        <v>2914</v>
      </c>
      <c r="M613" s="25"/>
      <c r="N613" s="25"/>
      <c r="O613" s="26"/>
      <c r="P613" s="27"/>
      <c r="Q613" s="28"/>
      <c r="R613" s="28"/>
      <c r="S613" s="26"/>
    </row>
    <row r="614" customFormat="false" ht="15" hidden="false" customHeight="false" outlineLevel="0" collapsed="false">
      <c r="A614" s="7" t="n">
        <v>610</v>
      </c>
      <c r="B614" s="9" t="s">
        <v>32</v>
      </c>
      <c r="C614" s="22" t="s">
        <v>300</v>
      </c>
      <c r="D614" s="9" t="s">
        <v>2882</v>
      </c>
      <c r="E614" s="9" t="s">
        <v>326</v>
      </c>
      <c r="F614" s="9" t="s">
        <v>99</v>
      </c>
      <c r="G614" s="22" t="s">
        <v>6477</v>
      </c>
      <c r="H614" s="9" t="s">
        <v>4298</v>
      </c>
      <c r="I614" s="7"/>
      <c r="J614" s="23" t="s">
        <v>6478</v>
      </c>
      <c r="K614" s="24" t="s">
        <v>6479</v>
      </c>
      <c r="L614" s="22" t="s">
        <v>6480</v>
      </c>
      <c r="M614" s="25"/>
      <c r="N614" s="25"/>
      <c r="O614" s="26"/>
      <c r="P614" s="27"/>
      <c r="Q614" s="28"/>
      <c r="R614" s="28"/>
      <c r="S614" s="26"/>
    </row>
    <row r="615" customFormat="false" ht="15" hidden="false" customHeight="false" outlineLevel="0" collapsed="false">
      <c r="A615" s="7" t="n">
        <v>611</v>
      </c>
      <c r="B615" s="9" t="s">
        <v>32</v>
      </c>
      <c r="C615" s="22" t="s">
        <v>300</v>
      </c>
      <c r="D615" s="9" t="s">
        <v>2882</v>
      </c>
      <c r="E615" s="9" t="s">
        <v>326</v>
      </c>
      <c r="F615" s="9" t="s">
        <v>124</v>
      </c>
      <c r="G615" s="22" t="s">
        <v>6481</v>
      </c>
      <c r="H615" s="9" t="s">
        <v>4298</v>
      </c>
      <c r="I615" s="7"/>
      <c r="J615" s="23" t="s">
        <v>6482</v>
      </c>
      <c r="K615" s="24" t="s">
        <v>6483</v>
      </c>
      <c r="L615" s="22" t="s">
        <v>6484</v>
      </c>
      <c r="M615" s="25"/>
      <c r="N615" s="25"/>
      <c r="O615" s="26"/>
      <c r="P615" s="27"/>
      <c r="Q615" s="28"/>
      <c r="R615" s="28"/>
      <c r="S615" s="26"/>
    </row>
    <row r="616" customFormat="false" ht="15" hidden="false" customHeight="false" outlineLevel="0" collapsed="false">
      <c r="A616" s="7" t="n">
        <v>612</v>
      </c>
      <c r="B616" s="9" t="s">
        <v>32</v>
      </c>
      <c r="C616" s="22" t="s">
        <v>300</v>
      </c>
      <c r="D616" s="9" t="s">
        <v>2882</v>
      </c>
      <c r="E616" s="9" t="s">
        <v>326</v>
      </c>
      <c r="F616" s="9" t="s">
        <v>99</v>
      </c>
      <c r="G616" s="22" t="s">
        <v>6485</v>
      </c>
      <c r="H616" s="9" t="s">
        <v>4298</v>
      </c>
      <c r="I616" s="7"/>
      <c r="J616" s="23" t="s">
        <v>6486</v>
      </c>
      <c r="K616" s="24" t="s">
        <v>6487</v>
      </c>
      <c r="L616" s="22" t="s">
        <v>6488</v>
      </c>
      <c r="M616" s="25"/>
      <c r="N616" s="25"/>
      <c r="O616" s="26"/>
      <c r="P616" s="27"/>
      <c r="Q616" s="28"/>
      <c r="R616" s="28"/>
      <c r="S616" s="26"/>
    </row>
    <row r="617" customFormat="false" ht="15" hidden="false" customHeight="false" outlineLevel="0" collapsed="false">
      <c r="A617" s="7" t="n">
        <v>613</v>
      </c>
      <c r="B617" s="9" t="s">
        <v>32</v>
      </c>
      <c r="C617" s="22" t="s">
        <v>300</v>
      </c>
      <c r="D617" s="9" t="s">
        <v>2882</v>
      </c>
      <c r="E617" s="9" t="s">
        <v>326</v>
      </c>
      <c r="F617" s="9" t="s">
        <v>99</v>
      </c>
      <c r="G617" s="22" t="s">
        <v>6489</v>
      </c>
      <c r="H617" s="9" t="s">
        <v>4298</v>
      </c>
      <c r="I617" s="7"/>
      <c r="J617" s="23" t="s">
        <v>6490</v>
      </c>
      <c r="K617" s="24" t="s">
        <v>6491</v>
      </c>
      <c r="L617" s="22" t="s">
        <v>6492</v>
      </c>
      <c r="M617" s="25"/>
      <c r="N617" s="25"/>
      <c r="O617" s="26"/>
      <c r="P617" s="27"/>
      <c r="Q617" s="28"/>
      <c r="R617" s="28"/>
      <c r="S617" s="26"/>
    </row>
    <row r="618" customFormat="false" ht="15" hidden="false" customHeight="false" outlineLevel="0" collapsed="false">
      <c r="A618" s="7" t="n">
        <v>614</v>
      </c>
      <c r="B618" s="9" t="s">
        <v>32</v>
      </c>
      <c r="C618" s="22" t="s">
        <v>300</v>
      </c>
      <c r="D618" s="9" t="s">
        <v>2915</v>
      </c>
      <c r="E618" s="9" t="s">
        <v>49</v>
      </c>
      <c r="F618" s="9" t="s">
        <v>99</v>
      </c>
      <c r="G618" s="22" t="s">
        <v>6493</v>
      </c>
      <c r="H618" s="9" t="s">
        <v>4298</v>
      </c>
      <c r="I618" s="7"/>
      <c r="J618" s="23" t="s">
        <v>6494</v>
      </c>
      <c r="K618" s="24" t="s">
        <v>6495</v>
      </c>
      <c r="L618" s="22" t="s">
        <v>6496</v>
      </c>
      <c r="M618" s="25"/>
      <c r="N618" s="25"/>
      <c r="O618" s="26"/>
      <c r="P618" s="27"/>
      <c r="Q618" s="28"/>
      <c r="R618" s="28"/>
      <c r="S618" s="26"/>
    </row>
    <row r="619" customFormat="false" ht="15" hidden="false" customHeight="false" outlineLevel="0" collapsed="false">
      <c r="A619" s="7" t="n">
        <v>615</v>
      </c>
      <c r="B619" s="9" t="s">
        <v>32</v>
      </c>
      <c r="C619" s="22" t="s">
        <v>300</v>
      </c>
      <c r="D619" s="9" t="s">
        <v>2915</v>
      </c>
      <c r="E619" s="9" t="s">
        <v>49</v>
      </c>
      <c r="F619" s="9" t="s">
        <v>99</v>
      </c>
      <c r="G619" s="22" t="s">
        <v>6497</v>
      </c>
      <c r="H619" s="9" t="s">
        <v>4298</v>
      </c>
      <c r="I619" s="7"/>
      <c r="J619" s="23" t="s">
        <v>6498</v>
      </c>
      <c r="K619" s="24" t="s">
        <v>6499</v>
      </c>
      <c r="L619" s="22" t="s">
        <v>6500</v>
      </c>
      <c r="M619" s="25"/>
      <c r="N619" s="25"/>
      <c r="O619" s="26"/>
      <c r="P619" s="27"/>
      <c r="Q619" s="28"/>
      <c r="R619" s="28"/>
      <c r="S619" s="26"/>
    </row>
    <row r="620" customFormat="false" ht="15" hidden="false" customHeight="false" outlineLevel="0" collapsed="false">
      <c r="A620" s="7" t="n">
        <v>616</v>
      </c>
      <c r="B620" s="9" t="s">
        <v>32</v>
      </c>
      <c r="C620" s="22" t="s">
        <v>300</v>
      </c>
      <c r="D620" s="9" t="s">
        <v>2915</v>
      </c>
      <c r="E620" s="9" t="s">
        <v>49</v>
      </c>
      <c r="F620" s="9" t="s">
        <v>99</v>
      </c>
      <c r="G620" s="22" t="s">
        <v>6501</v>
      </c>
      <c r="H620" s="9" t="s">
        <v>4298</v>
      </c>
      <c r="I620" s="7"/>
      <c r="J620" s="23" t="s">
        <v>6502</v>
      </c>
      <c r="K620" s="24" t="s">
        <v>6503</v>
      </c>
      <c r="L620" s="22" t="s">
        <v>6504</v>
      </c>
      <c r="M620" s="25"/>
      <c r="N620" s="25"/>
      <c r="O620" s="26"/>
      <c r="P620" s="27"/>
      <c r="Q620" s="28"/>
      <c r="R620" s="28"/>
      <c r="S620" s="26"/>
    </row>
    <row r="621" customFormat="false" ht="15" hidden="false" customHeight="false" outlineLevel="0" collapsed="false">
      <c r="A621" s="7" t="n">
        <v>617</v>
      </c>
      <c r="B621" s="9" t="s">
        <v>32</v>
      </c>
      <c r="C621" s="22" t="s">
        <v>300</v>
      </c>
      <c r="D621" s="9" t="s">
        <v>2915</v>
      </c>
      <c r="E621" s="9" t="s">
        <v>49</v>
      </c>
      <c r="F621" s="9" t="s">
        <v>124</v>
      </c>
      <c r="G621" s="22" t="s">
        <v>6505</v>
      </c>
      <c r="H621" s="9" t="s">
        <v>4298</v>
      </c>
      <c r="I621" s="7"/>
      <c r="J621" s="23" t="s">
        <v>6506</v>
      </c>
      <c r="K621" s="24" t="s">
        <v>6507</v>
      </c>
      <c r="L621" s="22" t="s">
        <v>6508</v>
      </c>
      <c r="M621" s="25"/>
      <c r="N621" s="25"/>
      <c r="O621" s="26"/>
      <c r="P621" s="27"/>
      <c r="Q621" s="28"/>
      <c r="R621" s="28"/>
      <c r="S621" s="26"/>
    </row>
    <row r="622" customFormat="false" ht="15" hidden="false" customHeight="false" outlineLevel="0" collapsed="false">
      <c r="A622" s="7" t="n">
        <v>618</v>
      </c>
      <c r="B622" s="9" t="s">
        <v>32</v>
      </c>
      <c r="C622" s="22" t="s">
        <v>300</v>
      </c>
      <c r="D622" s="9" t="s">
        <v>2915</v>
      </c>
      <c r="E622" s="9" t="s">
        <v>49</v>
      </c>
      <c r="F622" s="9" t="s">
        <v>124</v>
      </c>
      <c r="G622" s="22" t="s">
        <v>6509</v>
      </c>
      <c r="H622" s="9" t="s">
        <v>4298</v>
      </c>
      <c r="I622" s="7"/>
      <c r="J622" s="23" t="s">
        <v>6510</v>
      </c>
      <c r="K622" s="24" t="s">
        <v>6511</v>
      </c>
      <c r="L622" s="22" t="s">
        <v>2919</v>
      </c>
      <c r="M622" s="25"/>
      <c r="N622" s="25"/>
      <c r="O622" s="26"/>
      <c r="P622" s="27"/>
      <c r="Q622" s="28"/>
      <c r="R622" s="28"/>
      <c r="S622" s="26"/>
    </row>
    <row r="623" customFormat="false" ht="15" hidden="false" customHeight="false" outlineLevel="0" collapsed="false">
      <c r="A623" s="7" t="n">
        <v>619</v>
      </c>
      <c r="B623" s="9" t="s">
        <v>32</v>
      </c>
      <c r="C623" s="22" t="s">
        <v>300</v>
      </c>
      <c r="D623" s="9" t="s">
        <v>2915</v>
      </c>
      <c r="E623" s="9" t="s">
        <v>49</v>
      </c>
      <c r="F623" s="9" t="s">
        <v>99</v>
      </c>
      <c r="G623" s="22" t="s">
        <v>6512</v>
      </c>
      <c r="H623" s="9" t="s">
        <v>4298</v>
      </c>
      <c r="I623" s="7"/>
      <c r="J623" s="23" t="s">
        <v>6513</v>
      </c>
      <c r="K623" s="24" t="s">
        <v>6514</v>
      </c>
      <c r="L623" s="22" t="s">
        <v>6515</v>
      </c>
      <c r="M623" s="25"/>
      <c r="N623" s="25"/>
      <c r="O623" s="26"/>
      <c r="P623" s="27"/>
      <c r="Q623" s="28"/>
      <c r="R623" s="28"/>
      <c r="S623" s="26"/>
    </row>
    <row r="624" customFormat="false" ht="15" hidden="false" customHeight="false" outlineLevel="0" collapsed="false">
      <c r="A624" s="7" t="n">
        <v>620</v>
      </c>
      <c r="B624" s="9" t="s">
        <v>32</v>
      </c>
      <c r="C624" s="22" t="s">
        <v>300</v>
      </c>
      <c r="D624" s="9" t="s">
        <v>2915</v>
      </c>
      <c r="E624" s="9" t="s">
        <v>49</v>
      </c>
      <c r="F624" s="9" t="s">
        <v>99</v>
      </c>
      <c r="G624" s="22" t="s">
        <v>6516</v>
      </c>
      <c r="H624" s="9" t="s">
        <v>4298</v>
      </c>
      <c r="I624" s="7"/>
      <c r="J624" s="23" t="s">
        <v>6517</v>
      </c>
      <c r="K624" s="24" t="s">
        <v>6518</v>
      </c>
      <c r="L624" s="22" t="s">
        <v>6519</v>
      </c>
      <c r="M624" s="25"/>
      <c r="N624" s="25"/>
      <c r="O624" s="26"/>
      <c r="P624" s="27"/>
      <c r="Q624" s="28"/>
      <c r="R624" s="28"/>
      <c r="S624" s="26"/>
    </row>
    <row r="625" customFormat="false" ht="15" hidden="false" customHeight="false" outlineLevel="0" collapsed="false">
      <c r="A625" s="7" t="n">
        <v>621</v>
      </c>
      <c r="B625" s="9" t="s">
        <v>32</v>
      </c>
      <c r="C625" s="22" t="s">
        <v>300</v>
      </c>
      <c r="D625" s="9" t="s">
        <v>2915</v>
      </c>
      <c r="E625" s="9" t="s">
        <v>49</v>
      </c>
      <c r="F625" s="9" t="s">
        <v>124</v>
      </c>
      <c r="G625" s="22" t="s">
        <v>2916</v>
      </c>
      <c r="H625" s="9" t="s">
        <v>4298</v>
      </c>
      <c r="I625" s="7" t="s">
        <v>869</v>
      </c>
      <c r="J625" s="23" t="s">
        <v>2917</v>
      </c>
      <c r="K625" s="24" t="s">
        <v>2918</v>
      </c>
      <c r="L625" s="22" t="s">
        <v>2919</v>
      </c>
      <c r="M625" s="25"/>
      <c r="N625" s="25"/>
      <c r="O625" s="26"/>
      <c r="P625" s="27"/>
      <c r="Q625" s="28"/>
      <c r="R625" s="28"/>
      <c r="S625" s="26"/>
    </row>
    <row r="626" customFormat="false" ht="15" hidden="false" customHeight="false" outlineLevel="0" collapsed="false">
      <c r="A626" s="7" t="n">
        <v>622</v>
      </c>
      <c r="B626" s="9" t="s">
        <v>32</v>
      </c>
      <c r="C626" s="22" t="s">
        <v>300</v>
      </c>
      <c r="D626" s="9" t="s">
        <v>2915</v>
      </c>
      <c r="E626" s="9" t="s">
        <v>49</v>
      </c>
      <c r="F626" s="9" t="s">
        <v>124</v>
      </c>
      <c r="G626" s="22" t="s">
        <v>6520</v>
      </c>
      <c r="H626" s="9" t="s">
        <v>4298</v>
      </c>
      <c r="I626" s="7"/>
      <c r="J626" s="23" t="s">
        <v>6521</v>
      </c>
      <c r="K626" s="24" t="s">
        <v>6522</v>
      </c>
      <c r="L626" s="22" t="s">
        <v>6523</v>
      </c>
      <c r="M626" s="25"/>
      <c r="N626" s="25"/>
      <c r="O626" s="26"/>
      <c r="P626" s="27"/>
      <c r="Q626" s="28"/>
      <c r="R626" s="28"/>
      <c r="S626" s="26"/>
    </row>
    <row r="627" customFormat="false" ht="15" hidden="false" customHeight="false" outlineLevel="0" collapsed="false">
      <c r="A627" s="7" t="n">
        <v>623</v>
      </c>
      <c r="B627" s="9" t="s">
        <v>32</v>
      </c>
      <c r="C627" s="22" t="s">
        <v>300</v>
      </c>
      <c r="D627" s="9" t="s">
        <v>2915</v>
      </c>
      <c r="E627" s="9" t="s">
        <v>326</v>
      </c>
      <c r="F627" s="9" t="s">
        <v>124</v>
      </c>
      <c r="G627" s="22" t="s">
        <v>6524</v>
      </c>
      <c r="H627" s="9" t="s">
        <v>4298</v>
      </c>
      <c r="I627" s="7"/>
      <c r="J627" s="23" t="s">
        <v>6525</v>
      </c>
      <c r="K627" s="24" t="s">
        <v>6526</v>
      </c>
      <c r="L627" s="22" t="s">
        <v>6527</v>
      </c>
      <c r="M627" s="25"/>
      <c r="N627" s="25"/>
      <c r="O627" s="26"/>
      <c r="P627" s="27"/>
      <c r="Q627" s="28"/>
      <c r="R627" s="28"/>
      <c r="S627" s="26"/>
    </row>
    <row r="628" customFormat="false" ht="15" hidden="false" customHeight="false" outlineLevel="0" collapsed="false">
      <c r="A628" s="7" t="n">
        <v>624</v>
      </c>
      <c r="B628" s="9" t="s">
        <v>32</v>
      </c>
      <c r="C628" s="22" t="s">
        <v>300</v>
      </c>
      <c r="D628" s="9" t="s">
        <v>2915</v>
      </c>
      <c r="E628" s="9" t="s">
        <v>326</v>
      </c>
      <c r="F628" s="9" t="s">
        <v>124</v>
      </c>
      <c r="G628" s="22" t="s">
        <v>6528</v>
      </c>
      <c r="H628" s="9" t="s">
        <v>4298</v>
      </c>
      <c r="I628" s="7"/>
      <c r="J628" s="23" t="s">
        <v>6529</v>
      </c>
      <c r="K628" s="24" t="s">
        <v>6530</v>
      </c>
      <c r="L628" s="22" t="s">
        <v>6531</v>
      </c>
      <c r="M628" s="25"/>
      <c r="N628" s="25"/>
      <c r="O628" s="26"/>
      <c r="P628" s="27"/>
      <c r="Q628" s="28"/>
      <c r="R628" s="28"/>
      <c r="S628" s="26"/>
    </row>
    <row r="629" customFormat="false" ht="15" hidden="false" customHeight="false" outlineLevel="0" collapsed="false">
      <c r="A629" s="7" t="n">
        <v>625</v>
      </c>
      <c r="B629" s="9" t="s">
        <v>32</v>
      </c>
      <c r="C629" s="22" t="s">
        <v>300</v>
      </c>
      <c r="D629" s="9" t="s">
        <v>2915</v>
      </c>
      <c r="E629" s="9" t="s">
        <v>326</v>
      </c>
      <c r="F629" s="9" t="s">
        <v>124</v>
      </c>
      <c r="G629" s="22" t="s">
        <v>2920</v>
      </c>
      <c r="H629" s="9" t="s">
        <v>4298</v>
      </c>
      <c r="I629" s="7" t="s">
        <v>869</v>
      </c>
      <c r="J629" s="23" t="s">
        <v>2921</v>
      </c>
      <c r="K629" s="24" t="s">
        <v>2922</v>
      </c>
      <c r="L629" s="22" t="s">
        <v>2923</v>
      </c>
      <c r="M629" s="25"/>
      <c r="N629" s="25"/>
      <c r="O629" s="26"/>
      <c r="P629" s="27"/>
      <c r="Q629" s="28"/>
      <c r="R629" s="28"/>
      <c r="S629" s="26"/>
    </row>
    <row r="630" customFormat="false" ht="15" hidden="false" customHeight="false" outlineLevel="0" collapsed="false">
      <c r="A630" s="7" t="n">
        <v>626</v>
      </c>
      <c r="B630" s="9" t="s">
        <v>32</v>
      </c>
      <c r="C630" s="22" t="s">
        <v>300</v>
      </c>
      <c r="D630" s="9" t="s">
        <v>2915</v>
      </c>
      <c r="E630" s="9" t="s">
        <v>326</v>
      </c>
      <c r="F630" s="9" t="s">
        <v>99</v>
      </c>
      <c r="G630" s="22" t="s">
        <v>2924</v>
      </c>
      <c r="H630" s="9" t="s">
        <v>4298</v>
      </c>
      <c r="I630" s="7" t="s">
        <v>869</v>
      </c>
      <c r="J630" s="23" t="s">
        <v>2925</v>
      </c>
      <c r="K630" s="24" t="s">
        <v>2926</v>
      </c>
      <c r="L630" s="22" t="s">
        <v>2927</v>
      </c>
      <c r="M630" s="25"/>
      <c r="N630" s="25"/>
      <c r="O630" s="26"/>
      <c r="P630" s="27"/>
      <c r="Q630" s="28"/>
      <c r="R630" s="28"/>
      <c r="S630" s="26"/>
    </row>
    <row r="631" customFormat="false" ht="15" hidden="false" customHeight="false" outlineLevel="0" collapsed="false">
      <c r="A631" s="7" t="n">
        <v>627</v>
      </c>
      <c r="B631" s="9" t="s">
        <v>32</v>
      </c>
      <c r="C631" s="22" t="s">
        <v>552</v>
      </c>
      <c r="D631" s="9" t="s">
        <v>2882</v>
      </c>
      <c r="E631" s="9" t="s">
        <v>47</v>
      </c>
      <c r="F631" s="9" t="s">
        <v>553</v>
      </c>
      <c r="G631" s="22" t="s">
        <v>6532</v>
      </c>
      <c r="H631" s="9" t="s">
        <v>4298</v>
      </c>
      <c r="I631" s="7"/>
      <c r="J631" s="23" t="s">
        <v>6533</v>
      </c>
      <c r="K631" s="24" t="s">
        <v>6534</v>
      </c>
      <c r="L631" s="22" t="s">
        <v>6535</v>
      </c>
      <c r="M631" s="25"/>
      <c r="N631" s="25"/>
      <c r="O631" s="26"/>
      <c r="P631" s="27"/>
      <c r="Q631" s="28"/>
      <c r="R631" s="28"/>
      <c r="S631" s="26"/>
    </row>
    <row r="632" customFormat="false" ht="15" hidden="false" customHeight="false" outlineLevel="0" collapsed="false">
      <c r="A632" s="7" t="n">
        <v>628</v>
      </c>
      <c r="B632" s="9" t="s">
        <v>32</v>
      </c>
      <c r="C632" s="22" t="s">
        <v>552</v>
      </c>
      <c r="D632" s="9" t="s">
        <v>2882</v>
      </c>
      <c r="E632" s="9" t="s">
        <v>47</v>
      </c>
      <c r="F632" s="9" t="s">
        <v>553</v>
      </c>
      <c r="G632" s="22" t="s">
        <v>6536</v>
      </c>
      <c r="H632" s="9" t="s">
        <v>4298</v>
      </c>
      <c r="I632" s="7"/>
      <c r="J632" s="23" t="s">
        <v>6537</v>
      </c>
      <c r="K632" s="24" t="s">
        <v>6538</v>
      </c>
      <c r="L632" s="22" t="s">
        <v>6539</v>
      </c>
      <c r="M632" s="25"/>
      <c r="N632" s="25"/>
      <c r="O632" s="26"/>
      <c r="P632" s="27"/>
      <c r="Q632" s="28"/>
      <c r="R632" s="28"/>
      <c r="S632" s="26"/>
    </row>
    <row r="633" customFormat="false" ht="15" hidden="false" customHeight="false" outlineLevel="0" collapsed="false">
      <c r="A633" s="7" t="n">
        <v>629</v>
      </c>
      <c r="B633" s="9" t="s">
        <v>32</v>
      </c>
      <c r="C633" s="22" t="s">
        <v>552</v>
      </c>
      <c r="D633" s="9" t="s">
        <v>2882</v>
      </c>
      <c r="E633" s="9" t="s">
        <v>49</v>
      </c>
      <c r="F633" s="9" t="s">
        <v>553</v>
      </c>
      <c r="G633" s="22" t="s">
        <v>6540</v>
      </c>
      <c r="H633" s="9" t="s">
        <v>4298</v>
      </c>
      <c r="I633" s="7"/>
      <c r="J633" s="23" t="s">
        <v>6541</v>
      </c>
      <c r="K633" s="24" t="s">
        <v>6542</v>
      </c>
      <c r="L633" s="22" t="s">
        <v>6543</v>
      </c>
      <c r="M633" s="25"/>
      <c r="N633" s="25"/>
      <c r="O633" s="26"/>
      <c r="P633" s="27"/>
      <c r="Q633" s="28"/>
      <c r="R633" s="28"/>
      <c r="S633" s="26"/>
    </row>
    <row r="634" customFormat="false" ht="15" hidden="false" customHeight="false" outlineLevel="0" collapsed="false">
      <c r="A634" s="7" t="n">
        <v>630</v>
      </c>
      <c r="B634" s="9" t="s">
        <v>32</v>
      </c>
      <c r="C634" s="22" t="s">
        <v>2928</v>
      </c>
      <c r="D634" s="9" t="s">
        <v>2929</v>
      </c>
      <c r="E634" s="9" t="s">
        <v>47</v>
      </c>
      <c r="F634" s="9" t="s">
        <v>99</v>
      </c>
      <c r="G634" s="22" t="s">
        <v>6544</v>
      </c>
      <c r="H634" s="9" t="s">
        <v>4298</v>
      </c>
      <c r="I634" s="7"/>
      <c r="J634" s="23" t="s">
        <v>6545</v>
      </c>
      <c r="K634" s="24" t="s">
        <v>6546</v>
      </c>
      <c r="L634" s="22" t="s">
        <v>6547</v>
      </c>
      <c r="M634" s="25"/>
      <c r="N634" s="25"/>
      <c r="O634" s="26"/>
      <c r="P634" s="27"/>
      <c r="Q634" s="28"/>
      <c r="R634" s="28"/>
      <c r="S634" s="26"/>
    </row>
    <row r="635" customFormat="false" ht="15" hidden="false" customHeight="false" outlineLevel="0" collapsed="false">
      <c r="A635" s="7" t="n">
        <v>631</v>
      </c>
      <c r="B635" s="9" t="s">
        <v>32</v>
      </c>
      <c r="C635" s="22" t="s">
        <v>2928</v>
      </c>
      <c r="D635" s="9" t="s">
        <v>2929</v>
      </c>
      <c r="E635" s="9" t="s">
        <v>47</v>
      </c>
      <c r="F635" s="9" t="s">
        <v>99</v>
      </c>
      <c r="G635" s="22" t="s">
        <v>6548</v>
      </c>
      <c r="H635" s="9" t="s">
        <v>4298</v>
      </c>
      <c r="I635" s="7"/>
      <c r="J635" s="23" t="s">
        <v>6549</v>
      </c>
      <c r="K635" s="24" t="s">
        <v>6550</v>
      </c>
      <c r="L635" s="22" t="s">
        <v>6551</v>
      </c>
      <c r="M635" s="25"/>
      <c r="N635" s="25"/>
      <c r="O635" s="26"/>
      <c r="P635" s="27"/>
      <c r="Q635" s="28"/>
      <c r="R635" s="28"/>
      <c r="S635" s="26"/>
    </row>
    <row r="636" customFormat="false" ht="15" hidden="false" customHeight="false" outlineLevel="0" collapsed="false">
      <c r="A636" s="7" t="n">
        <v>632</v>
      </c>
      <c r="B636" s="9" t="s">
        <v>32</v>
      </c>
      <c r="C636" s="22" t="s">
        <v>2928</v>
      </c>
      <c r="D636" s="9" t="s">
        <v>2929</v>
      </c>
      <c r="E636" s="9" t="s">
        <v>48</v>
      </c>
      <c r="F636" s="9" t="s">
        <v>99</v>
      </c>
      <c r="G636" s="22" t="s">
        <v>6552</v>
      </c>
      <c r="H636" s="9" t="s">
        <v>4298</v>
      </c>
      <c r="I636" s="7"/>
      <c r="J636" s="23" t="s">
        <v>6553</v>
      </c>
      <c r="K636" s="24" t="s">
        <v>6554</v>
      </c>
      <c r="L636" s="22" t="s">
        <v>6555</v>
      </c>
      <c r="M636" s="25"/>
      <c r="N636" s="25"/>
      <c r="O636" s="26"/>
      <c r="P636" s="27"/>
      <c r="Q636" s="28"/>
      <c r="R636" s="28"/>
      <c r="S636" s="26"/>
    </row>
    <row r="637" customFormat="false" ht="15" hidden="false" customHeight="false" outlineLevel="0" collapsed="false">
      <c r="A637" s="7" t="n">
        <v>633</v>
      </c>
      <c r="B637" s="9" t="s">
        <v>32</v>
      </c>
      <c r="C637" s="22" t="s">
        <v>2928</v>
      </c>
      <c r="D637" s="9" t="s">
        <v>2929</v>
      </c>
      <c r="E637" s="9" t="s">
        <v>48</v>
      </c>
      <c r="F637" s="9" t="s">
        <v>99</v>
      </c>
      <c r="G637" s="22" t="s">
        <v>6556</v>
      </c>
      <c r="H637" s="9" t="s">
        <v>4298</v>
      </c>
      <c r="I637" s="7"/>
      <c r="J637" s="23" t="s">
        <v>6557</v>
      </c>
      <c r="K637" s="24" t="s">
        <v>6558</v>
      </c>
      <c r="L637" s="22" t="s">
        <v>6559</v>
      </c>
      <c r="M637" s="25"/>
      <c r="N637" s="25"/>
      <c r="O637" s="26"/>
      <c r="P637" s="27"/>
      <c r="Q637" s="28"/>
      <c r="R637" s="28"/>
      <c r="S637" s="26"/>
    </row>
    <row r="638" customFormat="false" ht="15" hidden="false" customHeight="false" outlineLevel="0" collapsed="false">
      <c r="A638" s="7" t="n">
        <v>634</v>
      </c>
      <c r="B638" s="9" t="s">
        <v>32</v>
      </c>
      <c r="C638" s="22" t="s">
        <v>2928</v>
      </c>
      <c r="D638" s="9" t="s">
        <v>2929</v>
      </c>
      <c r="E638" s="9" t="s">
        <v>48</v>
      </c>
      <c r="F638" s="9" t="s">
        <v>99</v>
      </c>
      <c r="G638" s="22" t="s">
        <v>6560</v>
      </c>
      <c r="H638" s="9" t="s">
        <v>4298</v>
      </c>
      <c r="I638" s="7"/>
      <c r="J638" s="23" t="s">
        <v>6561</v>
      </c>
      <c r="K638" s="24" t="s">
        <v>6562</v>
      </c>
      <c r="L638" s="22" t="s">
        <v>6563</v>
      </c>
      <c r="M638" s="25"/>
      <c r="N638" s="25"/>
      <c r="O638" s="26"/>
      <c r="P638" s="27"/>
      <c r="Q638" s="28"/>
      <c r="R638" s="28"/>
      <c r="S638" s="26"/>
    </row>
    <row r="639" customFormat="false" ht="15" hidden="false" customHeight="false" outlineLevel="0" collapsed="false">
      <c r="A639" s="7" t="n">
        <v>635</v>
      </c>
      <c r="B639" s="9" t="s">
        <v>32</v>
      </c>
      <c r="C639" s="22" t="s">
        <v>2928</v>
      </c>
      <c r="D639" s="9" t="s">
        <v>2929</v>
      </c>
      <c r="E639" s="9" t="s">
        <v>48</v>
      </c>
      <c r="F639" s="9" t="s">
        <v>99</v>
      </c>
      <c r="G639" s="22" t="s">
        <v>6564</v>
      </c>
      <c r="H639" s="9" t="s">
        <v>4298</v>
      </c>
      <c r="I639" s="7"/>
      <c r="J639" s="23" t="s">
        <v>6565</v>
      </c>
      <c r="K639" s="24" t="s">
        <v>6566</v>
      </c>
      <c r="L639" s="22" t="s">
        <v>6567</v>
      </c>
      <c r="M639" s="25"/>
      <c r="N639" s="25"/>
      <c r="O639" s="26"/>
      <c r="P639" s="27"/>
      <c r="Q639" s="28"/>
      <c r="R639" s="28"/>
      <c r="S639" s="26"/>
    </row>
    <row r="640" customFormat="false" ht="15" hidden="false" customHeight="false" outlineLevel="0" collapsed="false">
      <c r="A640" s="7" t="n">
        <v>636</v>
      </c>
      <c r="B640" s="9" t="s">
        <v>32</v>
      </c>
      <c r="C640" s="22" t="s">
        <v>2934</v>
      </c>
      <c r="D640" s="9" t="s">
        <v>2935</v>
      </c>
      <c r="E640" s="9" t="s">
        <v>47</v>
      </c>
      <c r="F640" s="9" t="s">
        <v>99</v>
      </c>
      <c r="G640" s="22" t="s">
        <v>4699</v>
      </c>
      <c r="H640" s="9" t="s">
        <v>4298</v>
      </c>
      <c r="I640" s="7"/>
      <c r="J640" s="23" t="s">
        <v>6568</v>
      </c>
      <c r="K640" s="24" t="s">
        <v>6569</v>
      </c>
      <c r="L640" s="22" t="s">
        <v>6570</v>
      </c>
      <c r="M640" s="25"/>
      <c r="N640" s="25"/>
      <c r="O640" s="26"/>
      <c r="P640" s="27"/>
      <c r="Q640" s="28"/>
      <c r="R640" s="28"/>
      <c r="S640" s="26"/>
    </row>
    <row r="641" customFormat="false" ht="15" hidden="false" customHeight="false" outlineLevel="0" collapsed="false">
      <c r="A641" s="7" t="n">
        <v>637</v>
      </c>
      <c r="B641" s="9" t="s">
        <v>32</v>
      </c>
      <c r="C641" s="22" t="s">
        <v>2934</v>
      </c>
      <c r="D641" s="9" t="s">
        <v>2935</v>
      </c>
      <c r="E641" s="9" t="s">
        <v>47</v>
      </c>
      <c r="F641" s="9" t="s">
        <v>99</v>
      </c>
      <c r="G641" s="22" t="s">
        <v>6571</v>
      </c>
      <c r="H641" s="9" t="s">
        <v>4298</v>
      </c>
      <c r="I641" s="7"/>
      <c r="J641" s="23" t="s">
        <v>6572</v>
      </c>
      <c r="K641" s="24" t="s">
        <v>6573</v>
      </c>
      <c r="L641" s="22" t="s">
        <v>6574</v>
      </c>
      <c r="M641" s="25"/>
      <c r="N641" s="25"/>
      <c r="O641" s="26"/>
      <c r="P641" s="27"/>
      <c r="Q641" s="28"/>
      <c r="R641" s="28"/>
      <c r="S641" s="26"/>
    </row>
    <row r="642" customFormat="false" ht="15" hidden="false" customHeight="false" outlineLevel="0" collapsed="false">
      <c r="A642" s="7" t="n">
        <v>638</v>
      </c>
      <c r="B642" s="9" t="s">
        <v>32</v>
      </c>
      <c r="C642" s="22" t="s">
        <v>2934</v>
      </c>
      <c r="D642" s="9" t="s">
        <v>2935</v>
      </c>
      <c r="E642" s="9" t="s">
        <v>47</v>
      </c>
      <c r="F642" s="9" t="s">
        <v>99</v>
      </c>
      <c r="G642" s="22" t="s">
        <v>6575</v>
      </c>
      <c r="H642" s="9" t="s">
        <v>4298</v>
      </c>
      <c r="I642" s="7"/>
      <c r="J642" s="23" t="s">
        <v>6576</v>
      </c>
      <c r="K642" s="24" t="s">
        <v>6577</v>
      </c>
      <c r="L642" s="22" t="s">
        <v>6578</v>
      </c>
      <c r="M642" s="25"/>
      <c r="N642" s="25"/>
      <c r="O642" s="26"/>
      <c r="P642" s="27"/>
      <c r="Q642" s="28"/>
      <c r="R642" s="28"/>
      <c r="S642" s="26"/>
    </row>
    <row r="643" customFormat="false" ht="15" hidden="false" customHeight="false" outlineLevel="0" collapsed="false">
      <c r="A643" s="7" t="n">
        <v>639</v>
      </c>
      <c r="B643" s="9" t="s">
        <v>32</v>
      </c>
      <c r="C643" s="22" t="s">
        <v>2940</v>
      </c>
      <c r="D643" s="9" t="s">
        <v>2941</v>
      </c>
      <c r="E643" s="9" t="s">
        <v>47</v>
      </c>
      <c r="F643" s="9" t="s">
        <v>99</v>
      </c>
      <c r="G643" s="22" t="s">
        <v>6579</v>
      </c>
      <c r="H643" s="9" t="s">
        <v>4298</v>
      </c>
      <c r="I643" s="7"/>
      <c r="J643" s="23" t="s">
        <v>6580</v>
      </c>
      <c r="K643" s="24" t="s">
        <v>6581</v>
      </c>
      <c r="L643" s="22" t="s">
        <v>6582</v>
      </c>
      <c r="M643" s="25"/>
      <c r="N643" s="25"/>
      <c r="O643" s="26"/>
      <c r="P643" s="27"/>
      <c r="Q643" s="28"/>
      <c r="R643" s="28"/>
      <c r="S643" s="26"/>
    </row>
    <row r="644" customFormat="false" ht="15" hidden="false" customHeight="false" outlineLevel="0" collapsed="false">
      <c r="A644" s="7" t="n">
        <v>640</v>
      </c>
      <c r="B644" s="9" t="s">
        <v>32</v>
      </c>
      <c r="C644" s="22" t="s">
        <v>2940</v>
      </c>
      <c r="D644" s="9" t="s">
        <v>2941</v>
      </c>
      <c r="E644" s="9" t="s">
        <v>47</v>
      </c>
      <c r="F644" s="9" t="s">
        <v>99</v>
      </c>
      <c r="G644" s="22" t="s">
        <v>6583</v>
      </c>
      <c r="H644" s="9" t="s">
        <v>4298</v>
      </c>
      <c r="I644" s="7"/>
      <c r="J644" s="23" t="s">
        <v>6584</v>
      </c>
      <c r="K644" s="24" t="s">
        <v>6585</v>
      </c>
      <c r="L644" s="22" t="s">
        <v>6586</v>
      </c>
      <c r="M644" s="25"/>
      <c r="N644" s="25"/>
      <c r="O644" s="26"/>
      <c r="P644" s="27"/>
      <c r="Q644" s="28"/>
      <c r="R644" s="28"/>
      <c r="S644" s="26"/>
    </row>
    <row r="645" customFormat="false" ht="15" hidden="false" customHeight="false" outlineLevel="0" collapsed="false">
      <c r="A645" s="7" t="n">
        <v>641</v>
      </c>
      <c r="B645" s="9" t="s">
        <v>32</v>
      </c>
      <c r="C645" s="22" t="s">
        <v>2940</v>
      </c>
      <c r="D645" s="9" t="s">
        <v>2941</v>
      </c>
      <c r="E645" s="9" t="s">
        <v>48</v>
      </c>
      <c r="F645" s="9" t="s">
        <v>99</v>
      </c>
      <c r="G645" s="22" t="s">
        <v>154</v>
      </c>
      <c r="H645" s="9" t="s">
        <v>4298</v>
      </c>
      <c r="I645" s="7"/>
      <c r="J645" s="23" t="s">
        <v>6587</v>
      </c>
      <c r="K645" s="24" t="s">
        <v>6588</v>
      </c>
      <c r="L645" s="22" t="s">
        <v>6589</v>
      </c>
      <c r="M645" s="25"/>
      <c r="N645" s="25"/>
      <c r="O645" s="26"/>
      <c r="P645" s="27"/>
      <c r="Q645" s="28"/>
      <c r="R645" s="28"/>
      <c r="S645" s="26"/>
    </row>
    <row r="646" customFormat="false" ht="15" hidden="false" customHeight="false" outlineLevel="0" collapsed="false">
      <c r="A646" s="7" t="n">
        <v>642</v>
      </c>
      <c r="B646" s="9" t="s">
        <v>32</v>
      </c>
      <c r="C646" s="22" t="s">
        <v>2940</v>
      </c>
      <c r="D646" s="9" t="s">
        <v>2941</v>
      </c>
      <c r="E646" s="9" t="s">
        <v>48</v>
      </c>
      <c r="F646" s="9" t="s">
        <v>124</v>
      </c>
      <c r="G646" s="22" t="s">
        <v>6590</v>
      </c>
      <c r="H646" s="9" t="s">
        <v>4298</v>
      </c>
      <c r="I646" s="7"/>
      <c r="J646" s="23" t="s">
        <v>6591</v>
      </c>
      <c r="K646" s="24" t="s">
        <v>6592</v>
      </c>
      <c r="L646" s="22" t="s">
        <v>6593</v>
      </c>
      <c r="M646" s="25"/>
      <c r="N646" s="25"/>
      <c r="O646" s="26"/>
      <c r="P646" s="27"/>
      <c r="Q646" s="28"/>
      <c r="R646" s="28"/>
      <c r="S646" s="26"/>
    </row>
    <row r="647" customFormat="false" ht="15" hidden="false" customHeight="false" outlineLevel="0" collapsed="false">
      <c r="A647" s="7" t="n">
        <v>643</v>
      </c>
      <c r="B647" s="9" t="s">
        <v>32</v>
      </c>
      <c r="C647" s="22" t="s">
        <v>6594</v>
      </c>
      <c r="D647" s="9" t="s">
        <v>6595</v>
      </c>
      <c r="E647" s="9" t="s">
        <v>47</v>
      </c>
      <c r="F647" s="9" t="s">
        <v>99</v>
      </c>
      <c r="G647" s="22" t="s">
        <v>6596</v>
      </c>
      <c r="H647" s="9" t="s">
        <v>4298</v>
      </c>
      <c r="I647" s="7"/>
      <c r="J647" s="23" t="s">
        <v>6597</v>
      </c>
      <c r="K647" s="24" t="s">
        <v>6598</v>
      </c>
      <c r="L647" s="22" t="s">
        <v>6599</v>
      </c>
      <c r="M647" s="25"/>
      <c r="N647" s="25"/>
      <c r="O647" s="26"/>
      <c r="P647" s="27"/>
      <c r="Q647" s="28"/>
      <c r="R647" s="28"/>
      <c r="S647" s="26"/>
    </row>
    <row r="648" customFormat="false" ht="15" hidden="false" customHeight="false" outlineLevel="0" collapsed="false">
      <c r="A648" s="7" t="n">
        <v>644</v>
      </c>
      <c r="B648" s="9" t="s">
        <v>32</v>
      </c>
      <c r="C648" s="22" t="s">
        <v>6594</v>
      </c>
      <c r="D648" s="9" t="s">
        <v>6595</v>
      </c>
      <c r="E648" s="9" t="s">
        <v>48</v>
      </c>
      <c r="F648" s="9" t="s">
        <v>99</v>
      </c>
      <c r="G648" s="22" t="s">
        <v>6600</v>
      </c>
      <c r="H648" s="9" t="s">
        <v>4298</v>
      </c>
      <c r="I648" s="7"/>
      <c r="J648" s="23" t="s">
        <v>6601</v>
      </c>
      <c r="K648" s="24" t="s">
        <v>6602</v>
      </c>
      <c r="L648" s="22" t="s">
        <v>6603</v>
      </c>
      <c r="M648" s="25"/>
      <c r="N648" s="25"/>
      <c r="O648" s="26"/>
      <c r="P648" s="27"/>
      <c r="Q648" s="28"/>
      <c r="R648" s="28"/>
      <c r="S648" s="26"/>
    </row>
    <row r="649" customFormat="false" ht="15" hidden="false" customHeight="false" outlineLevel="0" collapsed="false">
      <c r="A649" s="7" t="n">
        <v>645</v>
      </c>
      <c r="B649" s="9" t="s">
        <v>32</v>
      </c>
      <c r="C649" s="22" t="s">
        <v>6604</v>
      </c>
      <c r="D649" s="9" t="s">
        <v>2872</v>
      </c>
      <c r="E649" s="9" t="s">
        <v>47</v>
      </c>
      <c r="F649" s="9" t="s">
        <v>99</v>
      </c>
      <c r="G649" s="22" t="s">
        <v>6605</v>
      </c>
      <c r="H649" s="9" t="s">
        <v>4298</v>
      </c>
      <c r="I649" s="7"/>
      <c r="J649" s="23" t="s">
        <v>6606</v>
      </c>
      <c r="K649" s="24" t="s">
        <v>6607</v>
      </c>
      <c r="L649" s="22" t="s">
        <v>6608</v>
      </c>
      <c r="M649" s="25"/>
      <c r="N649" s="25"/>
      <c r="O649" s="26"/>
      <c r="P649" s="27"/>
      <c r="Q649" s="28"/>
      <c r="R649" s="28"/>
      <c r="S649" s="26"/>
    </row>
    <row r="650" customFormat="false" ht="15" hidden="false" customHeight="false" outlineLevel="0" collapsed="false">
      <c r="A650" s="7" t="n">
        <v>646</v>
      </c>
      <c r="B650" s="9" t="s">
        <v>32</v>
      </c>
      <c r="C650" s="22" t="s">
        <v>6604</v>
      </c>
      <c r="D650" s="9" t="s">
        <v>2872</v>
      </c>
      <c r="E650" s="9" t="s">
        <v>47</v>
      </c>
      <c r="F650" s="9" t="s">
        <v>99</v>
      </c>
      <c r="G650" s="22" t="s">
        <v>6609</v>
      </c>
      <c r="H650" s="9" t="s">
        <v>4298</v>
      </c>
      <c r="I650" s="7"/>
      <c r="J650" s="23" t="s">
        <v>6610</v>
      </c>
      <c r="K650" s="24" t="s">
        <v>6611</v>
      </c>
      <c r="L650" s="22" t="s">
        <v>6612</v>
      </c>
      <c r="M650" s="25"/>
      <c r="N650" s="25"/>
      <c r="O650" s="26"/>
      <c r="P650" s="27"/>
      <c r="Q650" s="28"/>
      <c r="R650" s="28"/>
      <c r="S650" s="26"/>
    </row>
    <row r="651" customFormat="false" ht="15" hidden="false" customHeight="false" outlineLevel="0" collapsed="false">
      <c r="A651" s="7" t="n">
        <v>647</v>
      </c>
      <c r="B651" s="9" t="s">
        <v>32</v>
      </c>
      <c r="C651" s="22" t="s">
        <v>6604</v>
      </c>
      <c r="D651" s="9" t="s">
        <v>2872</v>
      </c>
      <c r="E651" s="9" t="s">
        <v>48</v>
      </c>
      <c r="F651" s="9" t="s">
        <v>99</v>
      </c>
      <c r="G651" s="22" t="s">
        <v>860</v>
      </c>
      <c r="H651" s="9" t="s">
        <v>4298</v>
      </c>
      <c r="I651" s="7"/>
      <c r="J651" s="23" t="s">
        <v>6613</v>
      </c>
      <c r="K651" s="24" t="s">
        <v>6614</v>
      </c>
      <c r="L651" s="22" t="s">
        <v>6615</v>
      </c>
      <c r="M651" s="25"/>
      <c r="N651" s="25"/>
      <c r="O651" s="26"/>
      <c r="P651" s="27"/>
      <c r="Q651" s="28"/>
      <c r="R651" s="28"/>
      <c r="S651" s="26"/>
    </row>
    <row r="652" customFormat="false" ht="15" hidden="false" customHeight="false" outlineLevel="0" collapsed="false">
      <c r="A652" s="7" t="n">
        <v>648</v>
      </c>
      <c r="B652" s="9" t="s">
        <v>32</v>
      </c>
      <c r="C652" s="22" t="s">
        <v>6604</v>
      </c>
      <c r="D652" s="9" t="s">
        <v>2872</v>
      </c>
      <c r="E652" s="9" t="s">
        <v>48</v>
      </c>
      <c r="F652" s="9" t="s">
        <v>99</v>
      </c>
      <c r="G652" s="22" t="s">
        <v>6616</v>
      </c>
      <c r="H652" s="9" t="s">
        <v>4298</v>
      </c>
      <c r="I652" s="7"/>
      <c r="J652" s="23" t="s">
        <v>6617</v>
      </c>
      <c r="K652" s="24" t="s">
        <v>6618</v>
      </c>
      <c r="L652" s="22" t="s">
        <v>6619</v>
      </c>
      <c r="M652" s="25"/>
      <c r="N652" s="25"/>
      <c r="O652" s="26"/>
      <c r="P652" s="27"/>
      <c r="Q652" s="28"/>
      <c r="R652" s="28"/>
      <c r="S652" s="26"/>
    </row>
    <row r="653" customFormat="false" ht="15" hidden="false" customHeight="false" outlineLevel="0" collapsed="false">
      <c r="A653" s="7" t="n">
        <v>649</v>
      </c>
      <c r="B653" s="9" t="s">
        <v>32</v>
      </c>
      <c r="C653" s="22" t="s">
        <v>6604</v>
      </c>
      <c r="D653" s="9" t="s">
        <v>2872</v>
      </c>
      <c r="E653" s="9" t="s">
        <v>48</v>
      </c>
      <c r="F653" s="9" t="s">
        <v>124</v>
      </c>
      <c r="G653" s="22" t="s">
        <v>6620</v>
      </c>
      <c r="H653" s="9" t="s">
        <v>4298</v>
      </c>
      <c r="I653" s="7"/>
      <c r="J653" s="23" t="s">
        <v>6621</v>
      </c>
      <c r="K653" s="24" t="s">
        <v>6622</v>
      </c>
      <c r="L653" s="22" t="s">
        <v>6623</v>
      </c>
      <c r="M653" s="25"/>
      <c r="N653" s="25"/>
      <c r="O653" s="26"/>
      <c r="P653" s="27"/>
      <c r="Q653" s="28"/>
      <c r="R653" s="28"/>
      <c r="S653" s="26"/>
    </row>
    <row r="654" customFormat="false" ht="15" hidden="false" customHeight="false" outlineLevel="0" collapsed="false">
      <c r="A654" s="7" t="n">
        <v>650</v>
      </c>
      <c r="B654" s="9" t="s">
        <v>32</v>
      </c>
      <c r="C654" s="22" t="s">
        <v>6604</v>
      </c>
      <c r="D654" s="9" t="s">
        <v>2872</v>
      </c>
      <c r="E654" s="9" t="s">
        <v>48</v>
      </c>
      <c r="F654" s="9" t="s">
        <v>99</v>
      </c>
      <c r="G654" s="22" t="s">
        <v>6624</v>
      </c>
      <c r="H654" s="9" t="s">
        <v>4298</v>
      </c>
      <c r="I654" s="7"/>
      <c r="J654" s="23" t="s">
        <v>6625</v>
      </c>
      <c r="K654" s="24" t="s">
        <v>6626</v>
      </c>
      <c r="L654" s="22" t="s">
        <v>6627</v>
      </c>
      <c r="M654" s="25"/>
      <c r="N654" s="25"/>
      <c r="O654" s="26"/>
      <c r="P654" s="27"/>
      <c r="Q654" s="28"/>
      <c r="R654" s="28"/>
      <c r="S654" s="26"/>
    </row>
    <row r="655" customFormat="false" ht="15" hidden="false" customHeight="false" outlineLevel="0" collapsed="false">
      <c r="A655" s="7" t="n">
        <v>651</v>
      </c>
      <c r="B655" s="9" t="s">
        <v>32</v>
      </c>
      <c r="C655" s="22" t="s">
        <v>6604</v>
      </c>
      <c r="D655" s="9" t="s">
        <v>2872</v>
      </c>
      <c r="E655" s="9" t="s">
        <v>48</v>
      </c>
      <c r="F655" s="9" t="s">
        <v>124</v>
      </c>
      <c r="G655" s="22" t="s">
        <v>6628</v>
      </c>
      <c r="H655" s="9" t="s">
        <v>4298</v>
      </c>
      <c r="I655" s="7"/>
      <c r="J655" s="23" t="s">
        <v>6629</v>
      </c>
      <c r="K655" s="24" t="s">
        <v>6630</v>
      </c>
      <c r="L655" s="22" t="s">
        <v>6631</v>
      </c>
      <c r="M655" s="25"/>
      <c r="N655" s="25"/>
      <c r="O655" s="26"/>
      <c r="P655" s="27"/>
      <c r="Q655" s="28"/>
      <c r="R655" s="28"/>
      <c r="S655" s="26"/>
    </row>
    <row r="656" customFormat="false" ht="15" hidden="false" customHeight="false" outlineLevel="0" collapsed="false">
      <c r="A656" s="7" t="n">
        <v>652</v>
      </c>
      <c r="B656" s="9" t="s">
        <v>32</v>
      </c>
      <c r="C656" s="22" t="s">
        <v>2946</v>
      </c>
      <c r="D656" s="9" t="s">
        <v>2947</v>
      </c>
      <c r="E656" s="9" t="s">
        <v>47</v>
      </c>
      <c r="F656" s="9" t="s">
        <v>99</v>
      </c>
      <c r="G656" s="22" t="s">
        <v>3665</v>
      </c>
      <c r="H656" s="9" t="s">
        <v>4298</v>
      </c>
      <c r="I656" s="7"/>
      <c r="J656" s="23" t="s">
        <v>6632</v>
      </c>
      <c r="K656" s="24" t="s">
        <v>6633</v>
      </c>
      <c r="L656" s="22" t="s">
        <v>6634</v>
      </c>
      <c r="M656" s="25"/>
      <c r="N656" s="25"/>
      <c r="O656" s="26"/>
      <c r="P656" s="27"/>
      <c r="Q656" s="28"/>
      <c r="R656" s="28"/>
      <c r="S656" s="26"/>
    </row>
    <row r="657" customFormat="false" ht="15" hidden="false" customHeight="false" outlineLevel="0" collapsed="false">
      <c r="A657" s="7" t="n">
        <v>653</v>
      </c>
      <c r="B657" s="9" t="s">
        <v>32</v>
      </c>
      <c r="C657" s="22" t="s">
        <v>2946</v>
      </c>
      <c r="D657" s="9" t="s">
        <v>2947</v>
      </c>
      <c r="E657" s="9" t="s">
        <v>47</v>
      </c>
      <c r="F657" s="9" t="s">
        <v>99</v>
      </c>
      <c r="G657" s="22" t="s">
        <v>6635</v>
      </c>
      <c r="H657" s="9" t="s">
        <v>4298</v>
      </c>
      <c r="I657" s="7"/>
      <c r="J657" s="23" t="s">
        <v>6636</v>
      </c>
      <c r="K657" s="24" t="s">
        <v>6637</v>
      </c>
      <c r="L657" s="22" t="s">
        <v>6638</v>
      </c>
      <c r="M657" s="25"/>
      <c r="N657" s="25"/>
      <c r="O657" s="26"/>
      <c r="P657" s="27"/>
      <c r="Q657" s="28"/>
      <c r="R657" s="28"/>
      <c r="S657" s="26"/>
    </row>
    <row r="658" customFormat="false" ht="15" hidden="false" customHeight="false" outlineLevel="0" collapsed="false">
      <c r="A658" s="7" t="n">
        <v>654</v>
      </c>
      <c r="B658" s="9" t="s">
        <v>32</v>
      </c>
      <c r="C658" s="22" t="s">
        <v>2946</v>
      </c>
      <c r="D658" s="9" t="s">
        <v>2947</v>
      </c>
      <c r="E658" s="9" t="s">
        <v>47</v>
      </c>
      <c r="F658" s="9" t="s">
        <v>99</v>
      </c>
      <c r="G658" s="22" t="s">
        <v>6639</v>
      </c>
      <c r="H658" s="9" t="s">
        <v>4298</v>
      </c>
      <c r="I658" s="7"/>
      <c r="J658" s="23" t="s">
        <v>6640</v>
      </c>
      <c r="K658" s="24" t="s">
        <v>6641</v>
      </c>
      <c r="L658" s="22" t="s">
        <v>6642</v>
      </c>
      <c r="M658" s="25"/>
      <c r="N658" s="25"/>
      <c r="O658" s="26"/>
      <c r="P658" s="27"/>
      <c r="Q658" s="28"/>
      <c r="R658" s="28"/>
      <c r="S658" s="26"/>
    </row>
    <row r="659" customFormat="false" ht="15" hidden="false" customHeight="false" outlineLevel="0" collapsed="false">
      <c r="A659" s="7" t="n">
        <v>655</v>
      </c>
      <c r="B659" s="9" t="s">
        <v>32</v>
      </c>
      <c r="C659" s="22" t="s">
        <v>2946</v>
      </c>
      <c r="D659" s="9" t="s">
        <v>2947</v>
      </c>
      <c r="E659" s="9" t="s">
        <v>48</v>
      </c>
      <c r="F659" s="9" t="s">
        <v>99</v>
      </c>
      <c r="G659" s="22" t="s">
        <v>6643</v>
      </c>
      <c r="H659" s="9" t="s">
        <v>4298</v>
      </c>
      <c r="I659" s="7"/>
      <c r="J659" s="23" t="s">
        <v>6644</v>
      </c>
      <c r="K659" s="24" t="s">
        <v>6645</v>
      </c>
      <c r="L659" s="22" t="s">
        <v>6646</v>
      </c>
      <c r="M659" s="25"/>
      <c r="N659" s="25"/>
      <c r="O659" s="26"/>
      <c r="P659" s="27"/>
      <c r="Q659" s="28"/>
      <c r="R659" s="28"/>
      <c r="S659" s="26"/>
    </row>
    <row r="660" customFormat="false" ht="15" hidden="false" customHeight="false" outlineLevel="0" collapsed="false">
      <c r="A660" s="7" t="n">
        <v>656</v>
      </c>
      <c r="B660" s="9" t="s">
        <v>32</v>
      </c>
      <c r="C660" s="22" t="s">
        <v>2946</v>
      </c>
      <c r="D660" s="9" t="s">
        <v>2947</v>
      </c>
      <c r="E660" s="9" t="s">
        <v>48</v>
      </c>
      <c r="F660" s="9" t="s">
        <v>124</v>
      </c>
      <c r="G660" s="22" t="s">
        <v>2952</v>
      </c>
      <c r="H660" s="9" t="s">
        <v>4298</v>
      </c>
      <c r="I660" s="7" t="s">
        <v>869</v>
      </c>
      <c r="J660" s="23" t="s">
        <v>2953</v>
      </c>
      <c r="K660" s="24" t="s">
        <v>2954</v>
      </c>
      <c r="L660" s="22" t="s">
        <v>2955</v>
      </c>
      <c r="M660" s="25"/>
      <c r="N660" s="25"/>
      <c r="O660" s="26"/>
      <c r="P660" s="27"/>
      <c r="Q660" s="28"/>
      <c r="R660" s="28"/>
      <c r="S660" s="26"/>
    </row>
    <row r="661" customFormat="false" ht="15" hidden="false" customHeight="false" outlineLevel="0" collapsed="false">
      <c r="A661" s="7" t="n">
        <v>657</v>
      </c>
      <c r="B661" s="9" t="s">
        <v>32</v>
      </c>
      <c r="C661" s="22" t="s">
        <v>2956</v>
      </c>
      <c r="D661" s="9" t="s">
        <v>2877</v>
      </c>
      <c r="E661" s="9" t="s">
        <v>47</v>
      </c>
      <c r="F661" s="9" t="s">
        <v>99</v>
      </c>
      <c r="G661" s="22" t="s">
        <v>2957</v>
      </c>
      <c r="H661" s="9" t="s">
        <v>4298</v>
      </c>
      <c r="I661" s="7" t="s">
        <v>869</v>
      </c>
      <c r="J661" s="23" t="s">
        <v>2958</v>
      </c>
      <c r="K661" s="24" t="s">
        <v>2959</v>
      </c>
      <c r="L661" s="22" t="s">
        <v>2960</v>
      </c>
      <c r="M661" s="25"/>
      <c r="N661" s="25"/>
      <c r="O661" s="26"/>
      <c r="P661" s="27"/>
      <c r="Q661" s="28"/>
      <c r="R661" s="28"/>
      <c r="S661" s="26"/>
    </row>
    <row r="662" customFormat="false" ht="15" hidden="false" customHeight="false" outlineLevel="0" collapsed="false">
      <c r="A662" s="7" t="n">
        <v>658</v>
      </c>
      <c r="B662" s="9" t="s">
        <v>32</v>
      </c>
      <c r="C662" s="22" t="s">
        <v>2956</v>
      </c>
      <c r="D662" s="9" t="s">
        <v>2877</v>
      </c>
      <c r="E662" s="9" t="s">
        <v>47</v>
      </c>
      <c r="F662" s="9" t="s">
        <v>99</v>
      </c>
      <c r="G662" s="22" t="s">
        <v>6647</v>
      </c>
      <c r="H662" s="9" t="s">
        <v>4298</v>
      </c>
      <c r="I662" s="7"/>
      <c r="J662" s="23" t="s">
        <v>6648</v>
      </c>
      <c r="K662" s="24" t="s">
        <v>6649</v>
      </c>
      <c r="L662" s="22" t="s">
        <v>6650</v>
      </c>
      <c r="M662" s="25"/>
      <c r="N662" s="25"/>
      <c r="O662" s="26"/>
      <c r="P662" s="27"/>
      <c r="Q662" s="28"/>
      <c r="R662" s="28"/>
      <c r="S662" s="26"/>
    </row>
    <row r="663" customFormat="false" ht="15" hidden="false" customHeight="false" outlineLevel="0" collapsed="false">
      <c r="A663" s="7" t="n">
        <v>659</v>
      </c>
      <c r="B663" s="9" t="s">
        <v>32</v>
      </c>
      <c r="C663" s="22" t="s">
        <v>2956</v>
      </c>
      <c r="D663" s="9" t="s">
        <v>2877</v>
      </c>
      <c r="E663" s="9" t="s">
        <v>47</v>
      </c>
      <c r="F663" s="9" t="s">
        <v>99</v>
      </c>
      <c r="G663" s="22" t="s">
        <v>6651</v>
      </c>
      <c r="H663" s="9" t="s">
        <v>4298</v>
      </c>
      <c r="I663" s="7"/>
      <c r="J663" s="23" t="s">
        <v>6652</v>
      </c>
      <c r="K663" s="24" t="s">
        <v>6653</v>
      </c>
      <c r="L663" s="22" t="s">
        <v>6654</v>
      </c>
      <c r="M663" s="25"/>
      <c r="N663" s="25"/>
      <c r="O663" s="26"/>
      <c r="P663" s="27"/>
      <c r="Q663" s="28"/>
      <c r="R663" s="28"/>
      <c r="S663" s="26"/>
    </row>
    <row r="664" customFormat="false" ht="15" hidden="false" customHeight="false" outlineLevel="0" collapsed="false">
      <c r="A664" s="7" t="n">
        <v>660</v>
      </c>
      <c r="B664" s="9" t="s">
        <v>32</v>
      </c>
      <c r="C664" s="22" t="s">
        <v>2956</v>
      </c>
      <c r="D664" s="9" t="s">
        <v>2877</v>
      </c>
      <c r="E664" s="9" t="s">
        <v>47</v>
      </c>
      <c r="F664" s="9" t="s">
        <v>99</v>
      </c>
      <c r="G664" s="22" t="s">
        <v>6655</v>
      </c>
      <c r="H664" s="9" t="s">
        <v>4298</v>
      </c>
      <c r="I664" s="7"/>
      <c r="J664" s="23" t="s">
        <v>6656</v>
      </c>
      <c r="K664" s="24" t="s">
        <v>6657</v>
      </c>
      <c r="L664" s="22" t="s">
        <v>6658</v>
      </c>
      <c r="M664" s="25"/>
      <c r="N664" s="25"/>
      <c r="O664" s="26"/>
      <c r="P664" s="27"/>
      <c r="Q664" s="28"/>
      <c r="R664" s="28"/>
      <c r="S664" s="26"/>
    </row>
    <row r="665" customFormat="false" ht="15" hidden="false" customHeight="false" outlineLevel="0" collapsed="false">
      <c r="A665" s="7" t="n">
        <v>661</v>
      </c>
      <c r="B665" s="9" t="s">
        <v>32</v>
      </c>
      <c r="C665" s="22" t="s">
        <v>2956</v>
      </c>
      <c r="D665" s="9" t="s">
        <v>2877</v>
      </c>
      <c r="E665" s="9" t="s">
        <v>47</v>
      </c>
      <c r="F665" s="9" t="s">
        <v>99</v>
      </c>
      <c r="G665" s="22" t="s">
        <v>2961</v>
      </c>
      <c r="H665" s="9" t="s">
        <v>4298</v>
      </c>
      <c r="I665" s="7" t="s">
        <v>869</v>
      </c>
      <c r="J665" s="23" t="s">
        <v>2962</v>
      </c>
      <c r="K665" s="24" t="s">
        <v>2963</v>
      </c>
      <c r="L665" s="22" t="s">
        <v>2964</v>
      </c>
      <c r="M665" s="25"/>
      <c r="N665" s="25"/>
      <c r="O665" s="26"/>
      <c r="P665" s="27"/>
      <c r="Q665" s="28"/>
      <c r="R665" s="28"/>
      <c r="S665" s="26"/>
    </row>
    <row r="666" customFormat="false" ht="15" hidden="false" customHeight="false" outlineLevel="0" collapsed="false">
      <c r="A666" s="7" t="n">
        <v>662</v>
      </c>
      <c r="B666" s="9" t="s">
        <v>32</v>
      </c>
      <c r="C666" s="22" t="s">
        <v>2956</v>
      </c>
      <c r="D666" s="9" t="s">
        <v>2877</v>
      </c>
      <c r="E666" s="9" t="s">
        <v>47</v>
      </c>
      <c r="F666" s="9" t="s">
        <v>99</v>
      </c>
      <c r="G666" s="22" t="s">
        <v>1948</v>
      </c>
      <c r="H666" s="9" t="s">
        <v>4298</v>
      </c>
      <c r="I666" s="7"/>
      <c r="J666" s="23" t="s">
        <v>6659</v>
      </c>
      <c r="K666" s="24" t="s">
        <v>6660</v>
      </c>
      <c r="L666" s="22" t="s">
        <v>6661</v>
      </c>
      <c r="M666" s="25"/>
      <c r="N666" s="25"/>
      <c r="O666" s="26"/>
      <c r="P666" s="27"/>
      <c r="Q666" s="28"/>
      <c r="R666" s="28"/>
      <c r="S666" s="26"/>
    </row>
    <row r="667" customFormat="false" ht="15" hidden="false" customHeight="false" outlineLevel="0" collapsed="false">
      <c r="A667" s="7" t="n">
        <v>663</v>
      </c>
      <c r="B667" s="9" t="s">
        <v>32</v>
      </c>
      <c r="C667" s="22" t="s">
        <v>2956</v>
      </c>
      <c r="D667" s="9" t="s">
        <v>2877</v>
      </c>
      <c r="E667" s="9" t="s">
        <v>47</v>
      </c>
      <c r="F667" s="9" t="s">
        <v>99</v>
      </c>
      <c r="G667" s="22" t="s">
        <v>6662</v>
      </c>
      <c r="H667" s="9" t="s">
        <v>4298</v>
      </c>
      <c r="I667" s="7"/>
      <c r="J667" s="23" t="s">
        <v>6663</v>
      </c>
      <c r="K667" s="24" t="s">
        <v>6664</v>
      </c>
      <c r="L667" s="22" t="s">
        <v>6665</v>
      </c>
      <c r="M667" s="25"/>
      <c r="N667" s="25"/>
      <c r="O667" s="26"/>
      <c r="P667" s="27"/>
      <c r="Q667" s="28"/>
      <c r="R667" s="28"/>
      <c r="S667" s="26"/>
    </row>
    <row r="668" customFormat="false" ht="15" hidden="false" customHeight="false" outlineLevel="0" collapsed="false">
      <c r="A668" s="7" t="n">
        <v>664</v>
      </c>
      <c r="B668" s="9" t="s">
        <v>32</v>
      </c>
      <c r="C668" s="22" t="s">
        <v>2956</v>
      </c>
      <c r="D668" s="9" t="s">
        <v>2877</v>
      </c>
      <c r="E668" s="9" t="s">
        <v>47</v>
      </c>
      <c r="F668" s="9" t="s">
        <v>99</v>
      </c>
      <c r="G668" s="22" t="s">
        <v>6666</v>
      </c>
      <c r="H668" s="9" t="s">
        <v>4298</v>
      </c>
      <c r="I668" s="7"/>
      <c r="J668" s="23" t="s">
        <v>6667</v>
      </c>
      <c r="K668" s="24" t="s">
        <v>6668</v>
      </c>
      <c r="L668" s="22" t="s">
        <v>6669</v>
      </c>
      <c r="M668" s="25"/>
      <c r="N668" s="25"/>
      <c r="O668" s="26"/>
      <c r="P668" s="27"/>
      <c r="Q668" s="28"/>
      <c r="R668" s="28"/>
      <c r="S668" s="26"/>
    </row>
    <row r="669" customFormat="false" ht="15" hidden="false" customHeight="false" outlineLevel="0" collapsed="false">
      <c r="A669" s="7" t="n">
        <v>665</v>
      </c>
      <c r="B669" s="9" t="s">
        <v>32</v>
      </c>
      <c r="C669" s="22" t="s">
        <v>2956</v>
      </c>
      <c r="D669" s="9" t="s">
        <v>2877</v>
      </c>
      <c r="E669" s="9" t="s">
        <v>47</v>
      </c>
      <c r="F669" s="9" t="s">
        <v>99</v>
      </c>
      <c r="G669" s="22" t="s">
        <v>2965</v>
      </c>
      <c r="H669" s="9" t="s">
        <v>4298</v>
      </c>
      <c r="I669" s="7" t="s">
        <v>869</v>
      </c>
      <c r="J669" s="23" t="s">
        <v>2966</v>
      </c>
      <c r="K669" s="24" t="s">
        <v>2967</v>
      </c>
      <c r="L669" s="22" t="s">
        <v>2968</v>
      </c>
      <c r="M669" s="25"/>
      <c r="N669" s="25"/>
      <c r="O669" s="26"/>
      <c r="P669" s="27"/>
      <c r="Q669" s="28"/>
      <c r="R669" s="28"/>
      <c r="S669" s="26"/>
    </row>
    <row r="670" customFormat="false" ht="15" hidden="false" customHeight="false" outlineLevel="0" collapsed="false">
      <c r="A670" s="7" t="n">
        <v>666</v>
      </c>
      <c r="B670" s="9" t="s">
        <v>32</v>
      </c>
      <c r="C670" s="22" t="s">
        <v>2956</v>
      </c>
      <c r="D670" s="9" t="s">
        <v>2877</v>
      </c>
      <c r="E670" s="9" t="s">
        <v>47</v>
      </c>
      <c r="F670" s="9" t="s">
        <v>99</v>
      </c>
      <c r="G670" s="22" t="s">
        <v>2969</v>
      </c>
      <c r="H670" s="9" t="s">
        <v>4298</v>
      </c>
      <c r="I670" s="7" t="s">
        <v>869</v>
      </c>
      <c r="J670" s="23" t="s">
        <v>2970</v>
      </c>
      <c r="K670" s="24" t="s">
        <v>2971</v>
      </c>
      <c r="L670" s="22" t="s">
        <v>2972</v>
      </c>
      <c r="M670" s="25"/>
      <c r="N670" s="25"/>
      <c r="O670" s="26"/>
      <c r="P670" s="27"/>
      <c r="Q670" s="28"/>
      <c r="R670" s="28"/>
      <c r="S670" s="26"/>
    </row>
    <row r="671" customFormat="false" ht="15" hidden="false" customHeight="false" outlineLevel="0" collapsed="false">
      <c r="A671" s="7" t="n">
        <v>667</v>
      </c>
      <c r="B671" s="9" t="s">
        <v>32</v>
      </c>
      <c r="C671" s="22" t="s">
        <v>2956</v>
      </c>
      <c r="D671" s="9" t="s">
        <v>2877</v>
      </c>
      <c r="E671" s="9" t="s">
        <v>48</v>
      </c>
      <c r="F671" s="9" t="s">
        <v>99</v>
      </c>
      <c r="G671" s="22" t="s">
        <v>6670</v>
      </c>
      <c r="H671" s="9" t="s">
        <v>4298</v>
      </c>
      <c r="I671" s="7"/>
      <c r="J671" s="23" t="s">
        <v>6671</v>
      </c>
      <c r="K671" s="24" t="s">
        <v>6672</v>
      </c>
      <c r="L671" s="22" t="s">
        <v>6673</v>
      </c>
      <c r="M671" s="25"/>
      <c r="N671" s="25"/>
      <c r="O671" s="26"/>
      <c r="P671" s="27"/>
      <c r="Q671" s="28"/>
      <c r="R671" s="28"/>
      <c r="S671" s="26"/>
    </row>
    <row r="672" customFormat="false" ht="15" hidden="false" customHeight="false" outlineLevel="0" collapsed="false">
      <c r="A672" s="7" t="n">
        <v>668</v>
      </c>
      <c r="B672" s="9" t="s">
        <v>32</v>
      </c>
      <c r="C672" s="22" t="s">
        <v>2977</v>
      </c>
      <c r="D672" s="9" t="s">
        <v>2882</v>
      </c>
      <c r="E672" s="9" t="s">
        <v>47</v>
      </c>
      <c r="F672" s="9" t="s">
        <v>99</v>
      </c>
      <c r="G672" s="22" t="s">
        <v>5158</v>
      </c>
      <c r="H672" s="9" t="s">
        <v>4298</v>
      </c>
      <c r="I672" s="7"/>
      <c r="J672" s="23" t="s">
        <v>6674</v>
      </c>
      <c r="K672" s="24" t="s">
        <v>6675</v>
      </c>
      <c r="L672" s="22" t="s">
        <v>6676</v>
      </c>
      <c r="M672" s="25"/>
      <c r="N672" s="25"/>
      <c r="O672" s="26"/>
      <c r="P672" s="27"/>
      <c r="Q672" s="28"/>
      <c r="R672" s="28"/>
      <c r="S672" s="26"/>
    </row>
    <row r="673" customFormat="false" ht="15" hidden="false" customHeight="false" outlineLevel="0" collapsed="false">
      <c r="A673" s="7" t="n">
        <v>669</v>
      </c>
      <c r="B673" s="9" t="s">
        <v>32</v>
      </c>
      <c r="C673" s="22" t="s">
        <v>2977</v>
      </c>
      <c r="D673" s="9" t="s">
        <v>2882</v>
      </c>
      <c r="E673" s="9" t="s">
        <v>47</v>
      </c>
      <c r="F673" s="9" t="s">
        <v>99</v>
      </c>
      <c r="G673" s="22" t="s">
        <v>2978</v>
      </c>
      <c r="H673" s="9" t="s">
        <v>4298</v>
      </c>
      <c r="I673" s="7" t="s">
        <v>869</v>
      </c>
      <c r="J673" s="23" t="s">
        <v>2979</v>
      </c>
      <c r="K673" s="24" t="s">
        <v>2980</v>
      </c>
      <c r="L673" s="22" t="s">
        <v>2981</v>
      </c>
      <c r="M673" s="25"/>
      <c r="N673" s="25"/>
      <c r="O673" s="26"/>
      <c r="P673" s="27"/>
      <c r="Q673" s="28"/>
      <c r="R673" s="28"/>
      <c r="S673" s="26"/>
    </row>
    <row r="674" customFormat="false" ht="15" hidden="false" customHeight="false" outlineLevel="0" collapsed="false">
      <c r="A674" s="7" t="n">
        <v>670</v>
      </c>
      <c r="B674" s="9" t="s">
        <v>32</v>
      </c>
      <c r="C674" s="22" t="s">
        <v>2977</v>
      </c>
      <c r="D674" s="9" t="s">
        <v>2882</v>
      </c>
      <c r="E674" s="9" t="s">
        <v>47</v>
      </c>
      <c r="F674" s="9" t="s">
        <v>99</v>
      </c>
      <c r="G674" s="22" t="s">
        <v>2982</v>
      </c>
      <c r="H674" s="9" t="s">
        <v>4298</v>
      </c>
      <c r="I674" s="7" t="s">
        <v>869</v>
      </c>
      <c r="J674" s="23" t="s">
        <v>2983</v>
      </c>
      <c r="K674" s="24" t="s">
        <v>2984</v>
      </c>
      <c r="L674" s="22" t="s">
        <v>2985</v>
      </c>
      <c r="M674" s="25"/>
      <c r="N674" s="25"/>
      <c r="O674" s="26"/>
      <c r="P674" s="27"/>
      <c r="Q674" s="28"/>
      <c r="R674" s="28"/>
      <c r="S674" s="26"/>
    </row>
    <row r="675" customFormat="false" ht="15" hidden="false" customHeight="false" outlineLevel="0" collapsed="false">
      <c r="A675" s="7" t="n">
        <v>671</v>
      </c>
      <c r="B675" s="9" t="s">
        <v>32</v>
      </c>
      <c r="C675" s="22" t="s">
        <v>2977</v>
      </c>
      <c r="D675" s="9" t="s">
        <v>2882</v>
      </c>
      <c r="E675" s="9" t="s">
        <v>47</v>
      </c>
      <c r="F675" s="9" t="s">
        <v>99</v>
      </c>
      <c r="G675" s="22" t="s">
        <v>5214</v>
      </c>
      <c r="H675" s="9" t="s">
        <v>4298</v>
      </c>
      <c r="I675" s="7"/>
      <c r="J675" s="23" t="s">
        <v>6677</v>
      </c>
      <c r="K675" s="24" t="s">
        <v>6678</v>
      </c>
      <c r="L675" s="22" t="s">
        <v>6679</v>
      </c>
      <c r="M675" s="25"/>
      <c r="N675" s="25"/>
      <c r="O675" s="26"/>
      <c r="P675" s="27"/>
      <c r="Q675" s="28"/>
      <c r="R675" s="28"/>
      <c r="S675" s="26"/>
    </row>
    <row r="676" customFormat="false" ht="15" hidden="false" customHeight="false" outlineLevel="0" collapsed="false">
      <c r="A676" s="7" t="n">
        <v>672</v>
      </c>
      <c r="B676" s="9" t="s">
        <v>32</v>
      </c>
      <c r="C676" s="22" t="s">
        <v>2977</v>
      </c>
      <c r="D676" s="9" t="s">
        <v>2882</v>
      </c>
      <c r="E676" s="9" t="s">
        <v>47</v>
      </c>
      <c r="F676" s="9" t="s">
        <v>99</v>
      </c>
      <c r="G676" s="22" t="s">
        <v>6680</v>
      </c>
      <c r="H676" s="9" t="s">
        <v>4298</v>
      </c>
      <c r="I676" s="7"/>
      <c r="J676" s="23" t="s">
        <v>6681</v>
      </c>
      <c r="K676" s="24" t="s">
        <v>6682</v>
      </c>
      <c r="L676" s="22" t="s">
        <v>6683</v>
      </c>
      <c r="M676" s="25"/>
      <c r="N676" s="25"/>
      <c r="O676" s="26"/>
      <c r="P676" s="27"/>
      <c r="Q676" s="28"/>
      <c r="R676" s="28"/>
      <c r="S676" s="26"/>
    </row>
    <row r="677" customFormat="false" ht="15" hidden="false" customHeight="false" outlineLevel="0" collapsed="false">
      <c r="A677" s="7" t="n">
        <v>673</v>
      </c>
      <c r="B677" s="9" t="s">
        <v>32</v>
      </c>
      <c r="C677" s="22" t="s">
        <v>2977</v>
      </c>
      <c r="D677" s="9" t="s">
        <v>2882</v>
      </c>
      <c r="E677" s="9" t="s">
        <v>47</v>
      </c>
      <c r="F677" s="9" t="s">
        <v>99</v>
      </c>
      <c r="G677" s="22" t="s">
        <v>6684</v>
      </c>
      <c r="H677" s="9" t="s">
        <v>4298</v>
      </c>
      <c r="I677" s="7"/>
      <c r="J677" s="23" t="s">
        <v>6685</v>
      </c>
      <c r="K677" s="24" t="s">
        <v>6686</v>
      </c>
      <c r="L677" s="22" t="s">
        <v>6687</v>
      </c>
      <c r="M677" s="25"/>
      <c r="N677" s="25"/>
      <c r="O677" s="26"/>
      <c r="P677" s="27"/>
      <c r="Q677" s="28"/>
      <c r="R677" s="28"/>
      <c r="S677" s="26"/>
    </row>
    <row r="678" customFormat="false" ht="15" hidden="false" customHeight="false" outlineLevel="0" collapsed="false">
      <c r="A678" s="7" t="n">
        <v>674</v>
      </c>
      <c r="B678" s="9" t="s">
        <v>32</v>
      </c>
      <c r="C678" s="22" t="s">
        <v>2977</v>
      </c>
      <c r="D678" s="9" t="s">
        <v>2882</v>
      </c>
      <c r="E678" s="9" t="s">
        <v>47</v>
      </c>
      <c r="F678" s="9" t="s">
        <v>99</v>
      </c>
      <c r="G678" s="22" t="s">
        <v>6688</v>
      </c>
      <c r="H678" s="9" t="s">
        <v>4298</v>
      </c>
      <c r="I678" s="7"/>
      <c r="J678" s="23" t="s">
        <v>6689</v>
      </c>
      <c r="K678" s="24" t="s">
        <v>6690</v>
      </c>
      <c r="L678" s="22" t="s">
        <v>6691</v>
      </c>
      <c r="M678" s="25"/>
      <c r="N678" s="25"/>
      <c r="O678" s="26"/>
      <c r="P678" s="27"/>
      <c r="Q678" s="28"/>
      <c r="R678" s="28"/>
      <c r="S678" s="26"/>
    </row>
    <row r="679" customFormat="false" ht="15" hidden="false" customHeight="false" outlineLevel="0" collapsed="false">
      <c r="A679" s="7" t="n">
        <v>675</v>
      </c>
      <c r="B679" s="9" t="s">
        <v>32</v>
      </c>
      <c r="C679" s="22" t="s">
        <v>2977</v>
      </c>
      <c r="D679" s="9" t="s">
        <v>2882</v>
      </c>
      <c r="E679" s="9" t="s">
        <v>47</v>
      </c>
      <c r="F679" s="9" t="s">
        <v>99</v>
      </c>
      <c r="G679" s="22" t="s">
        <v>6692</v>
      </c>
      <c r="H679" s="9" t="s">
        <v>4298</v>
      </c>
      <c r="I679" s="7"/>
      <c r="J679" s="23" t="s">
        <v>6693</v>
      </c>
      <c r="K679" s="24" t="s">
        <v>6694</v>
      </c>
      <c r="L679" s="22" t="s">
        <v>6695</v>
      </c>
      <c r="M679" s="25"/>
      <c r="N679" s="25"/>
      <c r="O679" s="26"/>
      <c r="P679" s="27"/>
      <c r="Q679" s="28"/>
      <c r="R679" s="28"/>
      <c r="S679" s="26"/>
    </row>
    <row r="680" customFormat="false" ht="15" hidden="false" customHeight="false" outlineLevel="0" collapsed="false">
      <c r="A680" s="7" t="n">
        <v>676</v>
      </c>
      <c r="B680" s="9" t="s">
        <v>32</v>
      </c>
      <c r="C680" s="22" t="s">
        <v>2977</v>
      </c>
      <c r="D680" s="9" t="s">
        <v>2882</v>
      </c>
      <c r="E680" s="9" t="s">
        <v>47</v>
      </c>
      <c r="F680" s="9" t="s">
        <v>99</v>
      </c>
      <c r="G680" s="22" t="s">
        <v>2986</v>
      </c>
      <c r="H680" s="9" t="s">
        <v>4298</v>
      </c>
      <c r="I680" s="7" t="s">
        <v>869</v>
      </c>
      <c r="J680" s="23" t="s">
        <v>2987</v>
      </c>
      <c r="K680" s="24" t="s">
        <v>2988</v>
      </c>
      <c r="L680" s="22" t="s">
        <v>2989</v>
      </c>
      <c r="M680" s="25"/>
      <c r="N680" s="25"/>
      <c r="O680" s="26"/>
      <c r="P680" s="27"/>
      <c r="Q680" s="28"/>
      <c r="R680" s="28"/>
      <c r="S680" s="26"/>
    </row>
    <row r="681" customFormat="false" ht="15" hidden="false" customHeight="false" outlineLevel="0" collapsed="false">
      <c r="A681" s="7" t="n">
        <v>677</v>
      </c>
      <c r="B681" s="9" t="s">
        <v>32</v>
      </c>
      <c r="C681" s="22" t="s">
        <v>2977</v>
      </c>
      <c r="D681" s="9" t="s">
        <v>2882</v>
      </c>
      <c r="E681" s="9" t="s">
        <v>47</v>
      </c>
      <c r="F681" s="9" t="s">
        <v>99</v>
      </c>
      <c r="G681" s="22" t="s">
        <v>6696</v>
      </c>
      <c r="H681" s="9" t="s">
        <v>4298</v>
      </c>
      <c r="I681" s="7"/>
      <c r="J681" s="23" t="s">
        <v>6697</v>
      </c>
      <c r="K681" s="24" t="s">
        <v>6698</v>
      </c>
      <c r="L681" s="22" t="s">
        <v>6699</v>
      </c>
      <c r="M681" s="25"/>
      <c r="N681" s="25"/>
      <c r="O681" s="26"/>
      <c r="P681" s="27"/>
      <c r="Q681" s="28"/>
      <c r="R681" s="28"/>
      <c r="S681" s="26"/>
    </row>
    <row r="682" customFormat="false" ht="15" hidden="false" customHeight="false" outlineLevel="0" collapsed="false">
      <c r="A682" s="7" t="n">
        <v>678</v>
      </c>
      <c r="B682" s="9" t="s">
        <v>32</v>
      </c>
      <c r="C682" s="22" t="s">
        <v>2977</v>
      </c>
      <c r="D682" s="9" t="s">
        <v>2882</v>
      </c>
      <c r="E682" s="9" t="s">
        <v>47</v>
      </c>
      <c r="F682" s="9" t="s">
        <v>99</v>
      </c>
      <c r="G682" s="22" t="s">
        <v>6700</v>
      </c>
      <c r="H682" s="9" t="s">
        <v>4298</v>
      </c>
      <c r="I682" s="7"/>
      <c r="J682" s="23" t="s">
        <v>6701</v>
      </c>
      <c r="K682" s="24" t="s">
        <v>6702</v>
      </c>
      <c r="L682" s="22" t="s">
        <v>6703</v>
      </c>
      <c r="M682" s="25"/>
      <c r="N682" s="25"/>
      <c r="O682" s="26"/>
      <c r="P682" s="27"/>
      <c r="Q682" s="28"/>
      <c r="R682" s="28"/>
      <c r="S682" s="26"/>
    </row>
    <row r="683" customFormat="false" ht="15" hidden="false" customHeight="false" outlineLevel="0" collapsed="false">
      <c r="A683" s="7" t="n">
        <v>679</v>
      </c>
      <c r="B683" s="9" t="s">
        <v>32</v>
      </c>
      <c r="C683" s="22" t="s">
        <v>2977</v>
      </c>
      <c r="D683" s="9" t="s">
        <v>2882</v>
      </c>
      <c r="E683" s="9" t="s">
        <v>47</v>
      </c>
      <c r="F683" s="9" t="s">
        <v>99</v>
      </c>
      <c r="G683" s="22" t="s">
        <v>6704</v>
      </c>
      <c r="H683" s="9" t="s">
        <v>4298</v>
      </c>
      <c r="I683" s="7"/>
      <c r="J683" s="23" t="s">
        <v>6705</v>
      </c>
      <c r="K683" s="24" t="s">
        <v>6706</v>
      </c>
      <c r="L683" s="22" t="s">
        <v>6707</v>
      </c>
      <c r="M683" s="25"/>
      <c r="N683" s="25"/>
      <c r="O683" s="26"/>
      <c r="P683" s="27"/>
      <c r="Q683" s="28"/>
      <c r="R683" s="28"/>
      <c r="S683" s="26"/>
    </row>
    <row r="684" customFormat="false" ht="15" hidden="false" customHeight="false" outlineLevel="0" collapsed="false">
      <c r="A684" s="7" t="n">
        <v>680</v>
      </c>
      <c r="B684" s="9" t="s">
        <v>32</v>
      </c>
      <c r="C684" s="22" t="s">
        <v>2977</v>
      </c>
      <c r="D684" s="9" t="s">
        <v>2882</v>
      </c>
      <c r="E684" s="9" t="s">
        <v>47</v>
      </c>
      <c r="F684" s="9" t="s">
        <v>99</v>
      </c>
      <c r="G684" s="22" t="s">
        <v>6708</v>
      </c>
      <c r="H684" s="9" t="s">
        <v>4298</v>
      </c>
      <c r="I684" s="7"/>
      <c r="J684" s="23" t="s">
        <v>6709</v>
      </c>
      <c r="K684" s="24" t="s">
        <v>6710</v>
      </c>
      <c r="L684" s="22" t="s">
        <v>6711</v>
      </c>
      <c r="M684" s="25"/>
      <c r="N684" s="25"/>
      <c r="O684" s="26"/>
      <c r="P684" s="27"/>
      <c r="Q684" s="28"/>
      <c r="R684" s="28"/>
      <c r="S684" s="26"/>
    </row>
    <row r="685" customFormat="false" ht="15" hidden="false" customHeight="false" outlineLevel="0" collapsed="false">
      <c r="A685" s="7" t="n">
        <v>681</v>
      </c>
      <c r="B685" s="9" t="s">
        <v>32</v>
      </c>
      <c r="C685" s="22" t="s">
        <v>2977</v>
      </c>
      <c r="D685" s="9" t="s">
        <v>2882</v>
      </c>
      <c r="E685" s="9" t="s">
        <v>47</v>
      </c>
      <c r="F685" s="9" t="s">
        <v>99</v>
      </c>
      <c r="G685" s="22" t="s">
        <v>2990</v>
      </c>
      <c r="H685" s="9" t="s">
        <v>4298</v>
      </c>
      <c r="I685" s="7" t="s">
        <v>869</v>
      </c>
      <c r="J685" s="23" t="s">
        <v>2991</v>
      </c>
      <c r="K685" s="24" t="s">
        <v>2992</v>
      </c>
      <c r="L685" s="22" t="s">
        <v>2993</v>
      </c>
      <c r="M685" s="25"/>
      <c r="N685" s="25"/>
      <c r="O685" s="26"/>
      <c r="P685" s="27"/>
      <c r="Q685" s="28"/>
      <c r="R685" s="28"/>
      <c r="S685" s="26"/>
    </row>
    <row r="686" customFormat="false" ht="15" hidden="false" customHeight="false" outlineLevel="0" collapsed="false">
      <c r="A686" s="7" t="n">
        <v>682</v>
      </c>
      <c r="B686" s="9" t="s">
        <v>32</v>
      </c>
      <c r="C686" s="22" t="s">
        <v>2977</v>
      </c>
      <c r="D686" s="9" t="s">
        <v>2882</v>
      </c>
      <c r="E686" s="9" t="s">
        <v>47</v>
      </c>
      <c r="F686" s="9" t="s">
        <v>99</v>
      </c>
      <c r="G686" s="22" t="s">
        <v>6712</v>
      </c>
      <c r="H686" s="9" t="s">
        <v>4298</v>
      </c>
      <c r="I686" s="7"/>
      <c r="J686" s="23" t="s">
        <v>6713</v>
      </c>
      <c r="K686" s="24" t="s">
        <v>6714</v>
      </c>
      <c r="L686" s="22" t="s">
        <v>6715</v>
      </c>
      <c r="M686" s="25"/>
      <c r="N686" s="25"/>
      <c r="O686" s="26"/>
      <c r="P686" s="27"/>
      <c r="Q686" s="28"/>
      <c r="R686" s="28"/>
      <c r="S686" s="26"/>
    </row>
    <row r="687" customFormat="false" ht="15" hidden="false" customHeight="false" outlineLevel="0" collapsed="false">
      <c r="A687" s="7" t="n">
        <v>683</v>
      </c>
      <c r="B687" s="9" t="s">
        <v>32</v>
      </c>
      <c r="C687" s="22" t="s">
        <v>2977</v>
      </c>
      <c r="D687" s="9" t="s">
        <v>2882</v>
      </c>
      <c r="E687" s="9" t="s">
        <v>47</v>
      </c>
      <c r="F687" s="9" t="s">
        <v>99</v>
      </c>
      <c r="G687" s="22" t="s">
        <v>6716</v>
      </c>
      <c r="H687" s="9" t="s">
        <v>4298</v>
      </c>
      <c r="I687" s="7"/>
      <c r="J687" s="23" t="s">
        <v>6717</v>
      </c>
      <c r="K687" s="24" t="s">
        <v>6718</v>
      </c>
      <c r="L687" s="22" t="s">
        <v>6719</v>
      </c>
      <c r="M687" s="25"/>
      <c r="N687" s="25"/>
      <c r="O687" s="26"/>
      <c r="P687" s="27"/>
      <c r="Q687" s="28"/>
      <c r="R687" s="28"/>
      <c r="S687" s="26"/>
    </row>
    <row r="688" customFormat="false" ht="15" hidden="false" customHeight="false" outlineLevel="0" collapsed="false">
      <c r="A688" s="7" t="n">
        <v>684</v>
      </c>
      <c r="B688" s="9" t="s">
        <v>32</v>
      </c>
      <c r="C688" s="22" t="s">
        <v>2977</v>
      </c>
      <c r="D688" s="9" t="s">
        <v>2882</v>
      </c>
      <c r="E688" s="9" t="s">
        <v>47</v>
      </c>
      <c r="F688" s="9" t="s">
        <v>99</v>
      </c>
      <c r="G688" s="22" t="s">
        <v>6720</v>
      </c>
      <c r="H688" s="9" t="s">
        <v>4298</v>
      </c>
      <c r="I688" s="7"/>
      <c r="J688" s="23" t="s">
        <v>6721</v>
      </c>
      <c r="K688" s="24" t="s">
        <v>6722</v>
      </c>
      <c r="L688" s="22" t="s">
        <v>6723</v>
      </c>
      <c r="M688" s="25"/>
      <c r="N688" s="25"/>
      <c r="O688" s="26"/>
      <c r="P688" s="27"/>
      <c r="Q688" s="28"/>
      <c r="R688" s="28"/>
      <c r="S688" s="26"/>
    </row>
    <row r="689" customFormat="false" ht="15" hidden="false" customHeight="false" outlineLevel="0" collapsed="false">
      <c r="A689" s="7" t="n">
        <v>685</v>
      </c>
      <c r="B689" s="9" t="s">
        <v>32</v>
      </c>
      <c r="C689" s="22" t="s">
        <v>2977</v>
      </c>
      <c r="D689" s="9" t="s">
        <v>2882</v>
      </c>
      <c r="E689" s="9" t="s">
        <v>47</v>
      </c>
      <c r="F689" s="9" t="s">
        <v>99</v>
      </c>
      <c r="G689" s="22" t="s">
        <v>6724</v>
      </c>
      <c r="H689" s="9" t="s">
        <v>4298</v>
      </c>
      <c r="I689" s="7"/>
      <c r="J689" s="23" t="s">
        <v>6725</v>
      </c>
      <c r="K689" s="24" t="s">
        <v>6726</v>
      </c>
      <c r="L689" s="22" t="s">
        <v>6727</v>
      </c>
      <c r="M689" s="25"/>
      <c r="N689" s="25"/>
      <c r="O689" s="26"/>
      <c r="P689" s="27"/>
      <c r="Q689" s="28"/>
      <c r="R689" s="28"/>
      <c r="S689" s="26"/>
    </row>
    <row r="690" customFormat="false" ht="15" hidden="false" customHeight="false" outlineLevel="0" collapsed="false">
      <c r="A690" s="7" t="n">
        <v>686</v>
      </c>
      <c r="B690" s="9" t="s">
        <v>32</v>
      </c>
      <c r="C690" s="22" t="s">
        <v>2977</v>
      </c>
      <c r="D690" s="9" t="s">
        <v>2882</v>
      </c>
      <c r="E690" s="9" t="s">
        <v>47</v>
      </c>
      <c r="F690" s="9" t="s">
        <v>99</v>
      </c>
      <c r="G690" s="22" t="s">
        <v>6728</v>
      </c>
      <c r="H690" s="9" t="s">
        <v>4298</v>
      </c>
      <c r="I690" s="7"/>
      <c r="J690" s="23" t="s">
        <v>6729</v>
      </c>
      <c r="K690" s="24" t="s">
        <v>6730</v>
      </c>
      <c r="L690" s="22" t="s">
        <v>6731</v>
      </c>
      <c r="M690" s="25"/>
      <c r="N690" s="25"/>
      <c r="O690" s="26"/>
      <c r="P690" s="27"/>
      <c r="Q690" s="28"/>
      <c r="R690" s="28"/>
      <c r="S690" s="26"/>
    </row>
    <row r="691" customFormat="false" ht="15" hidden="false" customHeight="false" outlineLevel="0" collapsed="false">
      <c r="A691" s="7" t="n">
        <v>687</v>
      </c>
      <c r="B691" s="9" t="s">
        <v>32</v>
      </c>
      <c r="C691" s="22" t="s">
        <v>2977</v>
      </c>
      <c r="D691" s="9" t="s">
        <v>2882</v>
      </c>
      <c r="E691" s="9" t="s">
        <v>47</v>
      </c>
      <c r="F691" s="9" t="s">
        <v>99</v>
      </c>
      <c r="G691" s="22" t="s">
        <v>3002</v>
      </c>
      <c r="H691" s="9" t="s">
        <v>4298</v>
      </c>
      <c r="I691" s="7" t="s">
        <v>869</v>
      </c>
      <c r="J691" s="23" t="s">
        <v>3003</v>
      </c>
      <c r="K691" s="24" t="s">
        <v>3004</v>
      </c>
      <c r="L691" s="22" t="s">
        <v>3005</v>
      </c>
      <c r="M691" s="25"/>
      <c r="N691" s="25"/>
      <c r="O691" s="26"/>
      <c r="P691" s="27"/>
      <c r="Q691" s="28"/>
      <c r="R691" s="28"/>
      <c r="S691" s="26"/>
    </row>
    <row r="692" customFormat="false" ht="15" hidden="false" customHeight="false" outlineLevel="0" collapsed="false">
      <c r="A692" s="7" t="n">
        <v>688</v>
      </c>
      <c r="B692" s="9" t="s">
        <v>32</v>
      </c>
      <c r="C692" s="22" t="s">
        <v>2977</v>
      </c>
      <c r="D692" s="9" t="s">
        <v>2882</v>
      </c>
      <c r="E692" s="9" t="s">
        <v>47</v>
      </c>
      <c r="F692" s="9" t="s">
        <v>99</v>
      </c>
      <c r="G692" s="22" t="s">
        <v>6732</v>
      </c>
      <c r="H692" s="9" t="s">
        <v>4298</v>
      </c>
      <c r="I692" s="7"/>
      <c r="J692" s="23" t="s">
        <v>6733</v>
      </c>
      <c r="K692" s="24" t="s">
        <v>6734</v>
      </c>
      <c r="L692" s="22" t="s">
        <v>6735</v>
      </c>
      <c r="M692" s="25"/>
      <c r="N692" s="25"/>
      <c r="O692" s="26"/>
      <c r="P692" s="27"/>
      <c r="Q692" s="28"/>
      <c r="R692" s="28"/>
      <c r="S692" s="26"/>
    </row>
    <row r="693" customFormat="false" ht="15" hidden="false" customHeight="false" outlineLevel="0" collapsed="false">
      <c r="A693" s="7" t="n">
        <v>689</v>
      </c>
      <c r="B693" s="9" t="s">
        <v>32</v>
      </c>
      <c r="C693" s="22" t="s">
        <v>2977</v>
      </c>
      <c r="D693" s="9" t="s">
        <v>2882</v>
      </c>
      <c r="E693" s="9" t="s">
        <v>47</v>
      </c>
      <c r="F693" s="9" t="s">
        <v>99</v>
      </c>
      <c r="G693" s="22" t="s">
        <v>6736</v>
      </c>
      <c r="H693" s="9" t="s">
        <v>4298</v>
      </c>
      <c r="I693" s="7"/>
      <c r="J693" s="23" t="s">
        <v>6737</v>
      </c>
      <c r="K693" s="24" t="s">
        <v>6738</v>
      </c>
      <c r="L693" s="22" t="s">
        <v>6739</v>
      </c>
      <c r="M693" s="25"/>
      <c r="N693" s="25"/>
      <c r="O693" s="26"/>
      <c r="P693" s="27"/>
      <c r="Q693" s="28"/>
      <c r="R693" s="28"/>
      <c r="S693" s="26"/>
    </row>
    <row r="694" customFormat="false" ht="15" hidden="false" customHeight="false" outlineLevel="0" collapsed="false">
      <c r="A694" s="7" t="n">
        <v>690</v>
      </c>
      <c r="B694" s="9" t="s">
        <v>32</v>
      </c>
      <c r="C694" s="22" t="s">
        <v>2977</v>
      </c>
      <c r="D694" s="9" t="s">
        <v>2882</v>
      </c>
      <c r="E694" s="9" t="s">
        <v>47</v>
      </c>
      <c r="F694" s="9" t="s">
        <v>99</v>
      </c>
      <c r="G694" s="22" t="s">
        <v>6740</v>
      </c>
      <c r="H694" s="9" t="s">
        <v>4298</v>
      </c>
      <c r="I694" s="7"/>
      <c r="J694" s="23" t="s">
        <v>6741</v>
      </c>
      <c r="K694" s="24" t="s">
        <v>6742</v>
      </c>
      <c r="L694" s="22" t="s">
        <v>6743</v>
      </c>
      <c r="M694" s="25"/>
      <c r="N694" s="25"/>
      <c r="O694" s="26"/>
      <c r="P694" s="27"/>
      <c r="Q694" s="28"/>
      <c r="R694" s="28"/>
      <c r="S694" s="26"/>
    </row>
    <row r="695" customFormat="false" ht="15" hidden="false" customHeight="false" outlineLevel="0" collapsed="false">
      <c r="A695" s="7" t="n">
        <v>691</v>
      </c>
      <c r="B695" s="9" t="s">
        <v>32</v>
      </c>
      <c r="C695" s="22" t="s">
        <v>2977</v>
      </c>
      <c r="D695" s="9" t="s">
        <v>2882</v>
      </c>
      <c r="E695" s="9" t="s">
        <v>47</v>
      </c>
      <c r="F695" s="9" t="s">
        <v>99</v>
      </c>
      <c r="G695" s="22" t="s">
        <v>4238</v>
      </c>
      <c r="H695" s="9" t="s">
        <v>4298</v>
      </c>
      <c r="I695" s="7"/>
      <c r="J695" s="23" t="s">
        <v>6744</v>
      </c>
      <c r="K695" s="24" t="s">
        <v>6745</v>
      </c>
      <c r="L695" s="22" t="s">
        <v>6746</v>
      </c>
      <c r="M695" s="25"/>
      <c r="N695" s="25"/>
      <c r="O695" s="26"/>
      <c r="P695" s="27"/>
      <c r="Q695" s="28"/>
      <c r="R695" s="28"/>
      <c r="S695" s="26"/>
    </row>
    <row r="696" customFormat="false" ht="15" hidden="false" customHeight="false" outlineLevel="0" collapsed="false">
      <c r="A696" s="7" t="n">
        <v>692</v>
      </c>
      <c r="B696" s="9" t="s">
        <v>32</v>
      </c>
      <c r="C696" s="22" t="s">
        <v>2977</v>
      </c>
      <c r="D696" s="9" t="s">
        <v>2882</v>
      </c>
      <c r="E696" s="9" t="s">
        <v>47</v>
      </c>
      <c r="F696" s="9" t="s">
        <v>99</v>
      </c>
      <c r="G696" s="22" t="s">
        <v>6747</v>
      </c>
      <c r="H696" s="9" t="s">
        <v>4298</v>
      </c>
      <c r="I696" s="7"/>
      <c r="J696" s="23" t="s">
        <v>6748</v>
      </c>
      <c r="K696" s="24" t="s">
        <v>6749</v>
      </c>
      <c r="L696" s="22" t="s">
        <v>6750</v>
      </c>
      <c r="M696" s="25"/>
      <c r="N696" s="25"/>
      <c r="O696" s="26"/>
      <c r="P696" s="27"/>
      <c r="Q696" s="28"/>
      <c r="R696" s="28"/>
      <c r="S696" s="26"/>
    </row>
    <row r="697" customFormat="false" ht="15" hidden="false" customHeight="false" outlineLevel="0" collapsed="false">
      <c r="A697" s="7" t="n">
        <v>693</v>
      </c>
      <c r="B697" s="9" t="s">
        <v>32</v>
      </c>
      <c r="C697" s="22" t="s">
        <v>2977</v>
      </c>
      <c r="D697" s="9" t="s">
        <v>2882</v>
      </c>
      <c r="E697" s="9" t="s">
        <v>47</v>
      </c>
      <c r="F697" s="9" t="s">
        <v>99</v>
      </c>
      <c r="G697" s="22" t="s">
        <v>6751</v>
      </c>
      <c r="H697" s="9" t="s">
        <v>4298</v>
      </c>
      <c r="I697" s="7"/>
      <c r="J697" s="23" t="s">
        <v>6752</v>
      </c>
      <c r="K697" s="24" t="s">
        <v>6753</v>
      </c>
      <c r="L697" s="22" t="s">
        <v>6754</v>
      </c>
      <c r="M697" s="25"/>
      <c r="N697" s="25"/>
      <c r="O697" s="26"/>
      <c r="P697" s="27"/>
      <c r="Q697" s="28"/>
      <c r="R697" s="28"/>
      <c r="S697" s="26"/>
    </row>
    <row r="698" customFormat="false" ht="15" hidden="false" customHeight="false" outlineLevel="0" collapsed="false">
      <c r="A698" s="7" t="n">
        <v>694</v>
      </c>
      <c r="B698" s="9" t="s">
        <v>32</v>
      </c>
      <c r="C698" s="22" t="s">
        <v>2977</v>
      </c>
      <c r="D698" s="9" t="s">
        <v>2882</v>
      </c>
      <c r="E698" s="9" t="s">
        <v>47</v>
      </c>
      <c r="F698" s="9" t="s">
        <v>99</v>
      </c>
      <c r="G698" s="22" t="s">
        <v>6755</v>
      </c>
      <c r="H698" s="9" t="s">
        <v>4298</v>
      </c>
      <c r="I698" s="7"/>
      <c r="J698" s="23" t="s">
        <v>6756</v>
      </c>
      <c r="K698" s="24" t="s">
        <v>6757</v>
      </c>
      <c r="L698" s="22" t="s">
        <v>6758</v>
      </c>
      <c r="M698" s="25"/>
      <c r="N698" s="25"/>
      <c r="O698" s="26"/>
      <c r="P698" s="27"/>
      <c r="Q698" s="28"/>
      <c r="R698" s="28"/>
      <c r="S698" s="26"/>
    </row>
    <row r="699" customFormat="false" ht="15" hidden="false" customHeight="false" outlineLevel="0" collapsed="false">
      <c r="A699" s="7" t="n">
        <v>695</v>
      </c>
      <c r="B699" s="9" t="s">
        <v>32</v>
      </c>
      <c r="C699" s="22" t="s">
        <v>2977</v>
      </c>
      <c r="D699" s="9" t="s">
        <v>2882</v>
      </c>
      <c r="E699" s="9" t="s">
        <v>47</v>
      </c>
      <c r="F699" s="9" t="s">
        <v>99</v>
      </c>
      <c r="G699" s="22" t="s">
        <v>694</v>
      </c>
      <c r="H699" s="9" t="s">
        <v>4298</v>
      </c>
      <c r="I699" s="7"/>
      <c r="J699" s="23" t="s">
        <v>6759</v>
      </c>
      <c r="K699" s="24" t="s">
        <v>6760</v>
      </c>
      <c r="L699" s="22" t="s">
        <v>6761</v>
      </c>
      <c r="M699" s="25"/>
      <c r="N699" s="25"/>
      <c r="O699" s="26"/>
      <c r="P699" s="27"/>
      <c r="Q699" s="28"/>
      <c r="R699" s="28"/>
      <c r="S699" s="26"/>
    </row>
    <row r="700" customFormat="false" ht="15" hidden="false" customHeight="false" outlineLevel="0" collapsed="false">
      <c r="A700" s="7" t="n">
        <v>696</v>
      </c>
      <c r="B700" s="9" t="s">
        <v>32</v>
      </c>
      <c r="C700" s="22" t="s">
        <v>2977</v>
      </c>
      <c r="D700" s="9" t="s">
        <v>2882</v>
      </c>
      <c r="E700" s="9" t="s">
        <v>47</v>
      </c>
      <c r="F700" s="9" t="s">
        <v>99</v>
      </c>
      <c r="G700" s="22" t="s">
        <v>6762</v>
      </c>
      <c r="H700" s="9" t="s">
        <v>4298</v>
      </c>
      <c r="I700" s="7"/>
      <c r="J700" s="23" t="s">
        <v>6763</v>
      </c>
      <c r="K700" s="24" t="s">
        <v>6764</v>
      </c>
      <c r="L700" s="22" t="s">
        <v>6765</v>
      </c>
      <c r="M700" s="25"/>
      <c r="N700" s="25"/>
      <c r="O700" s="26"/>
      <c r="P700" s="27"/>
      <c r="Q700" s="28"/>
      <c r="R700" s="28"/>
      <c r="S700" s="26"/>
    </row>
    <row r="701" customFormat="false" ht="15" hidden="false" customHeight="false" outlineLevel="0" collapsed="false">
      <c r="A701" s="7" t="n">
        <v>697</v>
      </c>
      <c r="B701" s="9" t="s">
        <v>32</v>
      </c>
      <c r="C701" s="22" t="s">
        <v>2977</v>
      </c>
      <c r="D701" s="9" t="s">
        <v>2882</v>
      </c>
      <c r="E701" s="9" t="s">
        <v>48</v>
      </c>
      <c r="F701" s="9" t="s">
        <v>99</v>
      </c>
      <c r="G701" s="22" t="s">
        <v>6766</v>
      </c>
      <c r="H701" s="9" t="s">
        <v>4298</v>
      </c>
      <c r="I701" s="7"/>
      <c r="J701" s="23" t="s">
        <v>6767</v>
      </c>
      <c r="K701" s="24" t="s">
        <v>6768</v>
      </c>
      <c r="L701" s="22" t="s">
        <v>6769</v>
      </c>
      <c r="M701" s="25"/>
      <c r="N701" s="25"/>
      <c r="O701" s="26"/>
      <c r="P701" s="27"/>
      <c r="Q701" s="28"/>
      <c r="R701" s="28"/>
      <c r="S701" s="26"/>
    </row>
    <row r="702" customFormat="false" ht="15" hidden="false" customHeight="false" outlineLevel="0" collapsed="false">
      <c r="A702" s="7" t="n">
        <v>698</v>
      </c>
      <c r="B702" s="9" t="s">
        <v>32</v>
      </c>
      <c r="C702" s="22" t="s">
        <v>2977</v>
      </c>
      <c r="D702" s="9" t="s">
        <v>2882</v>
      </c>
      <c r="E702" s="9" t="s">
        <v>48</v>
      </c>
      <c r="F702" s="9" t="s">
        <v>99</v>
      </c>
      <c r="G702" s="22" t="s">
        <v>3254</v>
      </c>
      <c r="H702" s="9" t="s">
        <v>4298</v>
      </c>
      <c r="I702" s="7"/>
      <c r="J702" s="23" t="s">
        <v>6770</v>
      </c>
      <c r="K702" s="24" t="s">
        <v>6771</v>
      </c>
      <c r="L702" s="22" t="s">
        <v>6772</v>
      </c>
      <c r="M702" s="25"/>
      <c r="N702" s="25"/>
      <c r="O702" s="26"/>
      <c r="P702" s="27"/>
      <c r="Q702" s="28"/>
      <c r="R702" s="28"/>
      <c r="S702" s="26"/>
    </row>
    <row r="703" customFormat="false" ht="15" hidden="false" customHeight="false" outlineLevel="0" collapsed="false">
      <c r="A703" s="7" t="n">
        <v>699</v>
      </c>
      <c r="B703" s="9" t="s">
        <v>32</v>
      </c>
      <c r="C703" s="22" t="s">
        <v>2977</v>
      </c>
      <c r="D703" s="9" t="s">
        <v>2882</v>
      </c>
      <c r="E703" s="9" t="s">
        <v>48</v>
      </c>
      <c r="F703" s="9" t="s">
        <v>124</v>
      </c>
      <c r="G703" s="22" t="s">
        <v>6773</v>
      </c>
      <c r="H703" s="9" t="s">
        <v>4298</v>
      </c>
      <c r="I703" s="7"/>
      <c r="J703" s="23" t="s">
        <v>6774</v>
      </c>
      <c r="K703" s="24" t="s">
        <v>6775</v>
      </c>
      <c r="L703" s="22" t="s">
        <v>6776</v>
      </c>
      <c r="M703" s="25"/>
      <c r="N703" s="25"/>
      <c r="O703" s="26"/>
      <c r="P703" s="27"/>
      <c r="Q703" s="28"/>
      <c r="R703" s="28"/>
      <c r="S703" s="26"/>
    </row>
    <row r="704" customFormat="false" ht="15" hidden="false" customHeight="false" outlineLevel="0" collapsed="false">
      <c r="A704" s="7" t="n">
        <v>700</v>
      </c>
      <c r="B704" s="9" t="s">
        <v>32</v>
      </c>
      <c r="C704" s="22" t="s">
        <v>2977</v>
      </c>
      <c r="D704" s="9" t="s">
        <v>2882</v>
      </c>
      <c r="E704" s="9" t="s">
        <v>48</v>
      </c>
      <c r="F704" s="9" t="s">
        <v>124</v>
      </c>
      <c r="G704" s="22" t="s">
        <v>4895</v>
      </c>
      <c r="H704" s="9" t="s">
        <v>4298</v>
      </c>
      <c r="I704" s="7"/>
      <c r="J704" s="23" t="s">
        <v>6777</v>
      </c>
      <c r="K704" s="24" t="s">
        <v>6778</v>
      </c>
      <c r="L704" s="22" t="s">
        <v>6779</v>
      </c>
      <c r="M704" s="25"/>
      <c r="N704" s="25"/>
      <c r="O704" s="26"/>
      <c r="P704" s="27"/>
      <c r="Q704" s="28"/>
      <c r="R704" s="28"/>
      <c r="S704" s="26"/>
    </row>
    <row r="705" customFormat="false" ht="15" hidden="false" customHeight="false" outlineLevel="0" collapsed="false">
      <c r="A705" s="7" t="n">
        <v>701</v>
      </c>
      <c r="B705" s="9" t="s">
        <v>32</v>
      </c>
      <c r="C705" s="22" t="s">
        <v>2977</v>
      </c>
      <c r="D705" s="9" t="s">
        <v>2882</v>
      </c>
      <c r="E705" s="9" t="s">
        <v>48</v>
      </c>
      <c r="F705" s="9" t="s">
        <v>124</v>
      </c>
      <c r="G705" s="22" t="s">
        <v>6780</v>
      </c>
      <c r="H705" s="9" t="s">
        <v>4298</v>
      </c>
      <c r="I705" s="7"/>
      <c r="J705" s="23" t="s">
        <v>6781</v>
      </c>
      <c r="K705" s="24" t="s">
        <v>6782</v>
      </c>
      <c r="L705" s="22" t="s">
        <v>6783</v>
      </c>
      <c r="M705" s="25"/>
      <c r="N705" s="25"/>
      <c r="O705" s="26"/>
      <c r="P705" s="27"/>
      <c r="Q705" s="28"/>
      <c r="R705" s="28"/>
      <c r="S705" s="26"/>
    </row>
    <row r="706" customFormat="false" ht="15" hidden="false" customHeight="false" outlineLevel="0" collapsed="false">
      <c r="A706" s="7" t="n">
        <v>702</v>
      </c>
      <c r="B706" s="9" t="s">
        <v>32</v>
      </c>
      <c r="C706" s="22" t="s">
        <v>2977</v>
      </c>
      <c r="D706" s="9" t="s">
        <v>2882</v>
      </c>
      <c r="E706" s="9" t="s">
        <v>48</v>
      </c>
      <c r="F706" s="9" t="s">
        <v>99</v>
      </c>
      <c r="G706" s="22" t="s">
        <v>6784</v>
      </c>
      <c r="H706" s="9" t="s">
        <v>4298</v>
      </c>
      <c r="I706" s="7"/>
      <c r="J706" s="23" t="s">
        <v>6785</v>
      </c>
      <c r="K706" s="24" t="s">
        <v>6786</v>
      </c>
      <c r="L706" s="22" t="s">
        <v>6787</v>
      </c>
      <c r="M706" s="25"/>
      <c r="N706" s="25"/>
      <c r="O706" s="26"/>
      <c r="P706" s="27"/>
      <c r="Q706" s="28"/>
      <c r="R706" s="28"/>
      <c r="S706" s="26"/>
    </row>
    <row r="707" customFormat="false" ht="15" hidden="false" customHeight="false" outlineLevel="0" collapsed="false">
      <c r="A707" s="7" t="n">
        <v>703</v>
      </c>
      <c r="B707" s="9" t="s">
        <v>32</v>
      </c>
      <c r="C707" s="22" t="s">
        <v>2977</v>
      </c>
      <c r="D707" s="9" t="s">
        <v>2882</v>
      </c>
      <c r="E707" s="9" t="s">
        <v>48</v>
      </c>
      <c r="F707" s="9" t="s">
        <v>99</v>
      </c>
      <c r="G707" s="22" t="s">
        <v>6788</v>
      </c>
      <c r="H707" s="9" t="s">
        <v>4298</v>
      </c>
      <c r="I707" s="7"/>
      <c r="J707" s="23" t="s">
        <v>6789</v>
      </c>
      <c r="K707" s="24" t="s">
        <v>6790</v>
      </c>
      <c r="L707" s="22" t="s">
        <v>6791</v>
      </c>
      <c r="M707" s="25"/>
      <c r="N707" s="25"/>
      <c r="O707" s="26"/>
      <c r="P707" s="27"/>
      <c r="Q707" s="28"/>
      <c r="R707" s="28"/>
      <c r="S707" s="26"/>
    </row>
    <row r="708" customFormat="false" ht="15" hidden="false" customHeight="false" outlineLevel="0" collapsed="false">
      <c r="A708" s="7" t="n">
        <v>704</v>
      </c>
      <c r="B708" s="9" t="s">
        <v>32</v>
      </c>
      <c r="C708" s="22" t="s">
        <v>2977</v>
      </c>
      <c r="D708" s="9" t="s">
        <v>2882</v>
      </c>
      <c r="E708" s="9" t="s">
        <v>48</v>
      </c>
      <c r="F708" s="9" t="s">
        <v>99</v>
      </c>
      <c r="G708" s="22" t="s">
        <v>6792</v>
      </c>
      <c r="H708" s="9" t="s">
        <v>4298</v>
      </c>
      <c r="I708" s="7"/>
      <c r="J708" s="23" t="s">
        <v>6793</v>
      </c>
      <c r="K708" s="24" t="s">
        <v>6794</v>
      </c>
      <c r="L708" s="22" t="s">
        <v>6795</v>
      </c>
      <c r="M708" s="25"/>
      <c r="N708" s="25"/>
      <c r="O708" s="26"/>
      <c r="P708" s="27"/>
      <c r="Q708" s="28"/>
      <c r="R708" s="28"/>
      <c r="S708" s="26"/>
    </row>
    <row r="709" customFormat="false" ht="15" hidden="false" customHeight="false" outlineLevel="0" collapsed="false">
      <c r="A709" s="7" t="n">
        <v>705</v>
      </c>
      <c r="B709" s="9" t="s">
        <v>32</v>
      </c>
      <c r="C709" s="22" t="s">
        <v>2977</v>
      </c>
      <c r="D709" s="9" t="s">
        <v>2882</v>
      </c>
      <c r="E709" s="9" t="s">
        <v>48</v>
      </c>
      <c r="F709" s="9" t="s">
        <v>99</v>
      </c>
      <c r="G709" s="22" t="s">
        <v>6796</v>
      </c>
      <c r="H709" s="9" t="s">
        <v>4298</v>
      </c>
      <c r="I709" s="7"/>
      <c r="J709" s="23" t="s">
        <v>6797</v>
      </c>
      <c r="K709" s="24" t="s">
        <v>6798</v>
      </c>
      <c r="L709" s="22" t="s">
        <v>6799</v>
      </c>
      <c r="M709" s="25"/>
      <c r="N709" s="25"/>
      <c r="O709" s="26"/>
      <c r="P709" s="27"/>
      <c r="Q709" s="28"/>
      <c r="R709" s="28"/>
      <c r="S709" s="26"/>
    </row>
    <row r="710" customFormat="false" ht="15" hidden="false" customHeight="false" outlineLevel="0" collapsed="false">
      <c r="A710" s="7" t="n">
        <v>706</v>
      </c>
      <c r="B710" s="9" t="s">
        <v>32</v>
      </c>
      <c r="C710" s="22" t="s">
        <v>2977</v>
      </c>
      <c r="D710" s="9" t="s">
        <v>2882</v>
      </c>
      <c r="E710" s="9" t="s">
        <v>48</v>
      </c>
      <c r="F710" s="9" t="s">
        <v>99</v>
      </c>
      <c r="G710" s="22" t="s">
        <v>6800</v>
      </c>
      <c r="H710" s="9" t="s">
        <v>4298</v>
      </c>
      <c r="I710" s="7"/>
      <c r="J710" s="23" t="s">
        <v>6801</v>
      </c>
      <c r="K710" s="24" t="s">
        <v>6802</v>
      </c>
      <c r="L710" s="22" t="s">
        <v>6803</v>
      </c>
      <c r="M710" s="25"/>
      <c r="N710" s="25"/>
      <c r="O710" s="26"/>
      <c r="P710" s="27"/>
      <c r="Q710" s="28"/>
      <c r="R710" s="28"/>
      <c r="S710" s="26"/>
    </row>
    <row r="711" customFormat="false" ht="15" hidden="false" customHeight="false" outlineLevel="0" collapsed="false">
      <c r="A711" s="7" t="n">
        <v>707</v>
      </c>
      <c r="B711" s="9" t="s">
        <v>32</v>
      </c>
      <c r="C711" s="22" t="s">
        <v>2977</v>
      </c>
      <c r="D711" s="9" t="s">
        <v>2882</v>
      </c>
      <c r="E711" s="9" t="s">
        <v>48</v>
      </c>
      <c r="F711" s="9" t="s">
        <v>99</v>
      </c>
      <c r="G711" s="22" t="s">
        <v>6804</v>
      </c>
      <c r="H711" s="9" t="s">
        <v>4298</v>
      </c>
      <c r="I711" s="7"/>
      <c r="J711" s="23" t="s">
        <v>6805</v>
      </c>
      <c r="K711" s="24" t="s">
        <v>6806</v>
      </c>
      <c r="L711" s="22" t="s">
        <v>6807</v>
      </c>
      <c r="M711" s="25"/>
      <c r="N711" s="25"/>
      <c r="O711" s="26"/>
      <c r="P711" s="27"/>
      <c r="Q711" s="28"/>
      <c r="R711" s="28"/>
      <c r="S711" s="26"/>
    </row>
    <row r="712" customFormat="false" ht="15" hidden="false" customHeight="false" outlineLevel="0" collapsed="false">
      <c r="A712" s="7" t="n">
        <v>708</v>
      </c>
      <c r="B712" s="9" t="s">
        <v>32</v>
      </c>
      <c r="C712" s="22" t="s">
        <v>2977</v>
      </c>
      <c r="D712" s="9" t="s">
        <v>2882</v>
      </c>
      <c r="E712" s="9" t="s">
        <v>48</v>
      </c>
      <c r="F712" s="9" t="s">
        <v>124</v>
      </c>
      <c r="G712" s="22" t="s">
        <v>6808</v>
      </c>
      <c r="H712" s="9" t="s">
        <v>4298</v>
      </c>
      <c r="I712" s="7"/>
      <c r="J712" s="23" t="s">
        <v>6809</v>
      </c>
      <c r="K712" s="24" t="s">
        <v>6810</v>
      </c>
      <c r="L712" s="22" t="s">
        <v>2902</v>
      </c>
      <c r="M712" s="25"/>
      <c r="N712" s="25"/>
      <c r="O712" s="26"/>
      <c r="P712" s="27"/>
      <c r="Q712" s="28"/>
      <c r="R712" s="28"/>
      <c r="S712" s="26"/>
    </row>
    <row r="713" customFormat="false" ht="15" hidden="false" customHeight="false" outlineLevel="0" collapsed="false">
      <c r="A713" s="7" t="n">
        <v>709</v>
      </c>
      <c r="B713" s="9" t="s">
        <v>32</v>
      </c>
      <c r="C713" s="22" t="s">
        <v>2977</v>
      </c>
      <c r="D713" s="9" t="s">
        <v>2882</v>
      </c>
      <c r="E713" s="9" t="s">
        <v>48</v>
      </c>
      <c r="F713" s="9" t="s">
        <v>124</v>
      </c>
      <c r="G713" s="22" t="s">
        <v>6811</v>
      </c>
      <c r="H713" s="9" t="s">
        <v>4298</v>
      </c>
      <c r="I713" s="7"/>
      <c r="J713" s="23" t="s">
        <v>6812</v>
      </c>
      <c r="K713" s="24" t="s">
        <v>6813</v>
      </c>
      <c r="L713" s="22" t="s">
        <v>6440</v>
      </c>
      <c r="M713" s="25"/>
      <c r="N713" s="25"/>
      <c r="O713" s="26"/>
      <c r="P713" s="27"/>
      <c r="Q713" s="28"/>
      <c r="R713" s="28"/>
      <c r="S713" s="26"/>
    </row>
    <row r="714" customFormat="false" ht="15" hidden="false" customHeight="false" outlineLevel="0" collapsed="false">
      <c r="A714" s="7" t="n">
        <v>710</v>
      </c>
      <c r="B714" s="9" t="s">
        <v>32</v>
      </c>
      <c r="C714" s="22" t="s">
        <v>2977</v>
      </c>
      <c r="D714" s="9" t="s">
        <v>2882</v>
      </c>
      <c r="E714" s="9" t="s">
        <v>48</v>
      </c>
      <c r="F714" s="9" t="s">
        <v>99</v>
      </c>
      <c r="G714" s="22" t="s">
        <v>6814</v>
      </c>
      <c r="H714" s="9" t="s">
        <v>4298</v>
      </c>
      <c r="I714" s="7"/>
      <c r="J714" s="23" t="s">
        <v>6815</v>
      </c>
      <c r="K714" s="24" t="s">
        <v>6816</v>
      </c>
      <c r="L714" s="22" t="s">
        <v>6817</v>
      </c>
      <c r="M714" s="25"/>
      <c r="N714" s="25"/>
      <c r="O714" s="26"/>
      <c r="P714" s="27"/>
      <c r="Q714" s="28"/>
      <c r="R714" s="28"/>
      <c r="S714" s="26"/>
    </row>
    <row r="715" customFormat="false" ht="15" hidden="false" customHeight="false" outlineLevel="0" collapsed="false">
      <c r="A715" s="7" t="n">
        <v>711</v>
      </c>
      <c r="B715" s="9" t="s">
        <v>32</v>
      </c>
      <c r="C715" s="22" t="s">
        <v>2977</v>
      </c>
      <c r="D715" s="9" t="s">
        <v>2882</v>
      </c>
      <c r="E715" s="9" t="s">
        <v>48</v>
      </c>
      <c r="F715" s="9" t="s">
        <v>99</v>
      </c>
      <c r="G715" s="22" t="s">
        <v>3010</v>
      </c>
      <c r="H715" s="9" t="s">
        <v>4298</v>
      </c>
      <c r="I715" s="7" t="s">
        <v>869</v>
      </c>
      <c r="J715" s="23" t="s">
        <v>3011</v>
      </c>
      <c r="K715" s="24" t="s">
        <v>3012</v>
      </c>
      <c r="L715" s="22" t="s">
        <v>3013</v>
      </c>
      <c r="M715" s="25"/>
      <c r="N715" s="25"/>
      <c r="O715" s="26"/>
      <c r="P715" s="27"/>
      <c r="Q715" s="28"/>
      <c r="R715" s="28"/>
      <c r="S715" s="26"/>
    </row>
    <row r="716" customFormat="false" ht="15" hidden="false" customHeight="false" outlineLevel="0" collapsed="false">
      <c r="A716" s="7" t="n">
        <v>712</v>
      </c>
      <c r="B716" s="9" t="s">
        <v>32</v>
      </c>
      <c r="C716" s="22" t="s">
        <v>2977</v>
      </c>
      <c r="D716" s="9" t="s">
        <v>2882</v>
      </c>
      <c r="E716" s="9" t="s">
        <v>48</v>
      </c>
      <c r="F716" s="9" t="s">
        <v>124</v>
      </c>
      <c r="G716" s="22" t="s">
        <v>6818</v>
      </c>
      <c r="H716" s="9" t="s">
        <v>4298</v>
      </c>
      <c r="I716" s="7"/>
      <c r="J716" s="23" t="s">
        <v>6819</v>
      </c>
      <c r="K716" s="24" t="s">
        <v>6820</v>
      </c>
      <c r="L716" s="22" t="s">
        <v>6821</v>
      </c>
      <c r="M716" s="25"/>
      <c r="N716" s="25"/>
      <c r="O716" s="26"/>
      <c r="P716" s="27"/>
      <c r="Q716" s="28"/>
      <c r="R716" s="28"/>
      <c r="S716" s="26"/>
    </row>
    <row r="717" customFormat="false" ht="15" hidden="false" customHeight="false" outlineLevel="0" collapsed="false">
      <c r="A717" s="7" t="n">
        <v>713</v>
      </c>
      <c r="B717" s="9" t="s">
        <v>32</v>
      </c>
      <c r="C717" s="22" t="s">
        <v>3014</v>
      </c>
      <c r="D717" s="9" t="s">
        <v>2915</v>
      </c>
      <c r="E717" s="9" t="s">
        <v>47</v>
      </c>
      <c r="F717" s="9" t="s">
        <v>99</v>
      </c>
      <c r="G717" s="22" t="s">
        <v>6822</v>
      </c>
      <c r="H717" s="9" t="s">
        <v>4298</v>
      </c>
      <c r="I717" s="7"/>
      <c r="J717" s="23" t="s">
        <v>6823</v>
      </c>
      <c r="K717" s="24" t="s">
        <v>6824</v>
      </c>
      <c r="L717" s="22" t="s">
        <v>6825</v>
      </c>
      <c r="M717" s="25"/>
      <c r="N717" s="25"/>
      <c r="O717" s="26"/>
      <c r="P717" s="27"/>
      <c r="Q717" s="28"/>
      <c r="R717" s="28"/>
      <c r="S717" s="26"/>
    </row>
    <row r="718" customFormat="false" ht="15" hidden="false" customHeight="false" outlineLevel="0" collapsed="false">
      <c r="A718" s="7" t="n">
        <v>714</v>
      </c>
      <c r="B718" s="9" t="s">
        <v>32</v>
      </c>
      <c r="C718" s="22" t="s">
        <v>3014</v>
      </c>
      <c r="D718" s="9" t="s">
        <v>2915</v>
      </c>
      <c r="E718" s="9" t="s">
        <v>47</v>
      </c>
      <c r="F718" s="9" t="s">
        <v>99</v>
      </c>
      <c r="G718" s="22" t="s">
        <v>6826</v>
      </c>
      <c r="H718" s="9" t="s">
        <v>4298</v>
      </c>
      <c r="I718" s="7"/>
      <c r="J718" s="23" t="s">
        <v>6827</v>
      </c>
      <c r="K718" s="24" t="s">
        <v>6828</v>
      </c>
      <c r="L718" s="22" t="s">
        <v>6829</v>
      </c>
      <c r="M718" s="25"/>
      <c r="N718" s="25"/>
      <c r="O718" s="26"/>
      <c r="P718" s="27"/>
      <c r="Q718" s="28"/>
      <c r="R718" s="28"/>
      <c r="S718" s="26"/>
    </row>
    <row r="719" customFormat="false" ht="15" hidden="false" customHeight="false" outlineLevel="0" collapsed="false">
      <c r="A719" s="7" t="n">
        <v>715</v>
      </c>
      <c r="B719" s="9" t="s">
        <v>32</v>
      </c>
      <c r="C719" s="22" t="s">
        <v>3014</v>
      </c>
      <c r="D719" s="9" t="s">
        <v>2915</v>
      </c>
      <c r="E719" s="9" t="s">
        <v>47</v>
      </c>
      <c r="F719" s="9" t="s">
        <v>99</v>
      </c>
      <c r="G719" s="22" t="s">
        <v>3023</v>
      </c>
      <c r="H719" s="9" t="s">
        <v>4298</v>
      </c>
      <c r="I719" s="7" t="s">
        <v>869</v>
      </c>
      <c r="J719" s="23" t="s">
        <v>3024</v>
      </c>
      <c r="K719" s="24" t="s">
        <v>3025</v>
      </c>
      <c r="L719" s="22" t="s">
        <v>3026</v>
      </c>
      <c r="M719" s="25"/>
      <c r="N719" s="25"/>
      <c r="O719" s="26"/>
      <c r="P719" s="27"/>
      <c r="Q719" s="28"/>
      <c r="R719" s="28"/>
      <c r="S719" s="26"/>
    </row>
    <row r="720" customFormat="false" ht="15" hidden="false" customHeight="false" outlineLevel="0" collapsed="false">
      <c r="A720" s="7" t="n">
        <v>716</v>
      </c>
      <c r="B720" s="9" t="s">
        <v>32</v>
      </c>
      <c r="C720" s="22" t="s">
        <v>3014</v>
      </c>
      <c r="D720" s="9" t="s">
        <v>2915</v>
      </c>
      <c r="E720" s="9" t="s">
        <v>47</v>
      </c>
      <c r="F720" s="9" t="s">
        <v>99</v>
      </c>
      <c r="G720" s="22" t="s">
        <v>6830</v>
      </c>
      <c r="H720" s="9" t="s">
        <v>4298</v>
      </c>
      <c r="I720" s="7"/>
      <c r="J720" s="23" t="s">
        <v>6831</v>
      </c>
      <c r="K720" s="24" t="s">
        <v>6832</v>
      </c>
      <c r="L720" s="22" t="s">
        <v>6833</v>
      </c>
      <c r="M720" s="25"/>
      <c r="N720" s="25"/>
      <c r="O720" s="26"/>
      <c r="P720" s="27"/>
      <c r="Q720" s="28"/>
      <c r="R720" s="28"/>
      <c r="S720" s="26"/>
    </row>
    <row r="721" customFormat="false" ht="15" hidden="false" customHeight="false" outlineLevel="0" collapsed="false">
      <c r="A721" s="7" t="n">
        <v>717</v>
      </c>
      <c r="B721" s="9" t="s">
        <v>32</v>
      </c>
      <c r="C721" s="22" t="s">
        <v>3014</v>
      </c>
      <c r="D721" s="9" t="s">
        <v>2915</v>
      </c>
      <c r="E721" s="9" t="s">
        <v>47</v>
      </c>
      <c r="F721" s="9" t="s">
        <v>99</v>
      </c>
      <c r="G721" s="22" t="s">
        <v>6834</v>
      </c>
      <c r="H721" s="9" t="s">
        <v>4298</v>
      </c>
      <c r="I721" s="7"/>
      <c r="J721" s="23" t="s">
        <v>6835</v>
      </c>
      <c r="K721" s="24" t="s">
        <v>6836</v>
      </c>
      <c r="L721" s="22" t="s">
        <v>6837</v>
      </c>
      <c r="M721" s="25"/>
      <c r="N721" s="25"/>
      <c r="O721" s="26"/>
      <c r="P721" s="27"/>
      <c r="Q721" s="28"/>
      <c r="R721" s="28"/>
      <c r="S721" s="26"/>
    </row>
    <row r="722" customFormat="false" ht="15" hidden="false" customHeight="false" outlineLevel="0" collapsed="false">
      <c r="A722" s="7" t="n">
        <v>718</v>
      </c>
      <c r="B722" s="9" t="s">
        <v>32</v>
      </c>
      <c r="C722" s="22" t="s">
        <v>3014</v>
      </c>
      <c r="D722" s="9" t="s">
        <v>2915</v>
      </c>
      <c r="E722" s="9" t="s">
        <v>48</v>
      </c>
      <c r="F722" s="9" t="s">
        <v>99</v>
      </c>
      <c r="G722" s="22" t="s">
        <v>6838</v>
      </c>
      <c r="H722" s="9" t="s">
        <v>4298</v>
      </c>
      <c r="I722" s="7"/>
      <c r="J722" s="23" t="s">
        <v>6839</v>
      </c>
      <c r="K722" s="24" t="s">
        <v>6840</v>
      </c>
      <c r="L722" s="22" t="s">
        <v>6841</v>
      </c>
      <c r="M722" s="25"/>
      <c r="N722" s="25"/>
      <c r="O722" s="26"/>
      <c r="P722" s="27"/>
      <c r="Q722" s="28"/>
      <c r="R722" s="28"/>
      <c r="S722" s="26"/>
    </row>
    <row r="723" customFormat="false" ht="15" hidden="false" customHeight="false" outlineLevel="0" collapsed="false">
      <c r="A723" s="7" t="n">
        <v>719</v>
      </c>
      <c r="B723" s="9" t="s">
        <v>32</v>
      </c>
      <c r="C723" s="22" t="s">
        <v>3014</v>
      </c>
      <c r="D723" s="9" t="s">
        <v>2915</v>
      </c>
      <c r="E723" s="9" t="s">
        <v>48</v>
      </c>
      <c r="F723" s="9" t="s">
        <v>124</v>
      </c>
      <c r="G723" s="22" t="s">
        <v>3035</v>
      </c>
      <c r="H723" s="9" t="s">
        <v>4298</v>
      </c>
      <c r="I723" s="7" t="s">
        <v>869</v>
      </c>
      <c r="J723" s="23" t="s">
        <v>3036</v>
      </c>
      <c r="K723" s="24" t="s">
        <v>3037</v>
      </c>
      <c r="L723" s="22" t="s">
        <v>2919</v>
      </c>
      <c r="M723" s="25"/>
      <c r="N723" s="25"/>
      <c r="O723" s="26"/>
      <c r="P723" s="27"/>
      <c r="Q723" s="28"/>
      <c r="R723" s="28"/>
      <c r="S723" s="26"/>
    </row>
    <row r="724" customFormat="false" ht="15" hidden="false" customHeight="false" outlineLevel="0" collapsed="false">
      <c r="A724" s="7" t="n">
        <v>720</v>
      </c>
      <c r="B724" s="9" t="s">
        <v>34</v>
      </c>
      <c r="C724" s="22" t="s">
        <v>3038</v>
      </c>
      <c r="D724" s="9" t="s">
        <v>3039</v>
      </c>
      <c r="E724" s="9" t="s">
        <v>47</v>
      </c>
      <c r="F724" s="9" t="s">
        <v>99</v>
      </c>
      <c r="G724" s="22" t="s">
        <v>3043</v>
      </c>
      <c r="H724" s="9" t="s">
        <v>4298</v>
      </c>
      <c r="I724" s="7" t="s">
        <v>869</v>
      </c>
      <c r="J724" s="23" t="s">
        <v>3044</v>
      </c>
      <c r="K724" s="24" t="s">
        <v>3045</v>
      </c>
      <c r="L724" s="22" t="s">
        <v>3046</v>
      </c>
      <c r="M724" s="25"/>
      <c r="N724" s="25"/>
      <c r="O724" s="26"/>
      <c r="P724" s="27"/>
      <c r="Q724" s="28"/>
      <c r="R724" s="28"/>
      <c r="S724" s="26"/>
    </row>
    <row r="725" customFormat="false" ht="15" hidden="false" customHeight="false" outlineLevel="0" collapsed="false">
      <c r="A725" s="7" t="n">
        <v>721</v>
      </c>
      <c r="B725" s="9" t="s">
        <v>34</v>
      </c>
      <c r="C725" s="22" t="s">
        <v>3038</v>
      </c>
      <c r="D725" s="9" t="s">
        <v>3039</v>
      </c>
      <c r="E725" s="9" t="s">
        <v>48</v>
      </c>
      <c r="F725" s="9" t="s">
        <v>99</v>
      </c>
      <c r="G725" s="22" t="s">
        <v>6842</v>
      </c>
      <c r="H725" s="9" t="s">
        <v>4298</v>
      </c>
      <c r="I725" s="7"/>
      <c r="J725" s="23" t="s">
        <v>6843</v>
      </c>
      <c r="K725" s="24" t="s">
        <v>6844</v>
      </c>
      <c r="L725" s="22" t="s">
        <v>6845</v>
      </c>
      <c r="M725" s="25"/>
      <c r="N725" s="25"/>
      <c r="O725" s="26"/>
      <c r="P725" s="27"/>
      <c r="Q725" s="28"/>
      <c r="R725" s="28"/>
      <c r="S725" s="26"/>
    </row>
    <row r="726" customFormat="false" ht="15" hidden="false" customHeight="false" outlineLevel="0" collapsed="false">
      <c r="A726" s="7" t="n">
        <v>722</v>
      </c>
      <c r="B726" s="9" t="s">
        <v>34</v>
      </c>
      <c r="C726" s="22" t="s">
        <v>3038</v>
      </c>
      <c r="D726" s="9" t="s">
        <v>3039</v>
      </c>
      <c r="E726" s="9" t="s">
        <v>48</v>
      </c>
      <c r="F726" s="9" t="s">
        <v>124</v>
      </c>
      <c r="G726" s="22" t="s">
        <v>3055</v>
      </c>
      <c r="H726" s="9" t="s">
        <v>4298</v>
      </c>
      <c r="I726" s="7" t="s">
        <v>869</v>
      </c>
      <c r="J726" s="23" t="s">
        <v>3056</v>
      </c>
      <c r="K726" s="24" t="s">
        <v>3057</v>
      </c>
      <c r="L726" s="22" t="s">
        <v>3058</v>
      </c>
      <c r="M726" s="25"/>
      <c r="N726" s="25"/>
      <c r="O726" s="26"/>
      <c r="P726" s="27"/>
      <c r="Q726" s="28"/>
      <c r="R726" s="28"/>
      <c r="S726" s="26"/>
    </row>
    <row r="727" customFormat="false" ht="15" hidden="false" customHeight="false" outlineLevel="0" collapsed="false">
      <c r="A727" s="7" t="n">
        <v>723</v>
      </c>
      <c r="B727" s="9" t="s">
        <v>34</v>
      </c>
      <c r="C727" s="22" t="s">
        <v>300</v>
      </c>
      <c r="D727" s="9" t="s">
        <v>3062</v>
      </c>
      <c r="E727" s="9" t="s">
        <v>49</v>
      </c>
      <c r="F727" s="9" t="s">
        <v>99</v>
      </c>
      <c r="G727" s="22" t="s">
        <v>6846</v>
      </c>
      <c r="H727" s="9" t="s">
        <v>4298</v>
      </c>
      <c r="I727" s="7"/>
      <c r="J727" s="23" t="s">
        <v>6847</v>
      </c>
      <c r="K727" s="24" t="s">
        <v>6848</v>
      </c>
      <c r="L727" s="22" t="s">
        <v>6849</v>
      </c>
      <c r="M727" s="25"/>
      <c r="N727" s="25"/>
      <c r="O727" s="26"/>
      <c r="P727" s="27"/>
      <c r="Q727" s="28"/>
      <c r="R727" s="28"/>
      <c r="S727" s="26"/>
    </row>
    <row r="728" customFormat="false" ht="15" hidden="false" customHeight="false" outlineLevel="0" collapsed="false">
      <c r="A728" s="7" t="n">
        <v>724</v>
      </c>
      <c r="B728" s="9" t="s">
        <v>34</v>
      </c>
      <c r="C728" s="22" t="s">
        <v>300</v>
      </c>
      <c r="D728" s="9" t="s">
        <v>3062</v>
      </c>
      <c r="E728" s="9" t="s">
        <v>49</v>
      </c>
      <c r="F728" s="9" t="s">
        <v>124</v>
      </c>
      <c r="G728" s="22" t="s">
        <v>6850</v>
      </c>
      <c r="H728" s="9" t="s">
        <v>4298</v>
      </c>
      <c r="I728" s="7"/>
      <c r="J728" s="23" t="s">
        <v>6851</v>
      </c>
      <c r="K728" s="24" t="s">
        <v>6852</v>
      </c>
      <c r="L728" s="22" t="s">
        <v>6853</v>
      </c>
      <c r="M728" s="25"/>
      <c r="N728" s="25"/>
      <c r="O728" s="26"/>
      <c r="P728" s="27"/>
      <c r="Q728" s="28"/>
      <c r="R728" s="28"/>
      <c r="S728" s="26"/>
    </row>
    <row r="729" customFormat="false" ht="15" hidden="false" customHeight="false" outlineLevel="0" collapsed="false">
      <c r="A729" s="7" t="n">
        <v>725</v>
      </c>
      <c r="B729" s="9" t="s">
        <v>34</v>
      </c>
      <c r="C729" s="22" t="s">
        <v>300</v>
      </c>
      <c r="D729" s="9" t="s">
        <v>3159</v>
      </c>
      <c r="E729" s="9" t="s">
        <v>49</v>
      </c>
      <c r="F729" s="9" t="s">
        <v>124</v>
      </c>
      <c r="G729" s="22" t="s">
        <v>6854</v>
      </c>
      <c r="H729" s="9" t="s">
        <v>4298</v>
      </c>
      <c r="I729" s="7"/>
      <c r="J729" s="23" t="s">
        <v>6855</v>
      </c>
      <c r="K729" s="24" t="s">
        <v>6856</v>
      </c>
      <c r="L729" s="22" t="s">
        <v>6857</v>
      </c>
      <c r="M729" s="25"/>
      <c r="N729" s="25"/>
      <c r="O729" s="26"/>
      <c r="P729" s="27"/>
      <c r="Q729" s="28"/>
      <c r="R729" s="28"/>
      <c r="S729" s="26"/>
    </row>
    <row r="730" customFormat="false" ht="15" hidden="false" customHeight="false" outlineLevel="0" collapsed="false">
      <c r="A730" s="7" t="n">
        <v>726</v>
      </c>
      <c r="B730" s="9" t="s">
        <v>34</v>
      </c>
      <c r="C730" s="22" t="s">
        <v>300</v>
      </c>
      <c r="D730" s="9" t="s">
        <v>3159</v>
      </c>
      <c r="E730" s="9" t="s">
        <v>49</v>
      </c>
      <c r="F730" s="9" t="s">
        <v>124</v>
      </c>
      <c r="G730" s="22" t="s">
        <v>6858</v>
      </c>
      <c r="H730" s="9" t="s">
        <v>4298</v>
      </c>
      <c r="I730" s="7"/>
      <c r="J730" s="23" t="s">
        <v>6859</v>
      </c>
      <c r="K730" s="24" t="s">
        <v>6860</v>
      </c>
      <c r="L730" s="22" t="s">
        <v>6857</v>
      </c>
      <c r="M730" s="25"/>
      <c r="N730" s="25"/>
      <c r="O730" s="26"/>
      <c r="P730" s="27"/>
      <c r="Q730" s="28"/>
      <c r="R730" s="28"/>
      <c r="S730" s="26"/>
    </row>
    <row r="731" customFormat="false" ht="15" hidden="false" customHeight="false" outlineLevel="0" collapsed="false">
      <c r="A731" s="7" t="n">
        <v>727</v>
      </c>
      <c r="B731" s="9" t="s">
        <v>34</v>
      </c>
      <c r="C731" s="22" t="s">
        <v>300</v>
      </c>
      <c r="D731" s="9" t="s">
        <v>3159</v>
      </c>
      <c r="E731" s="9" t="s">
        <v>49</v>
      </c>
      <c r="F731" s="9" t="s">
        <v>124</v>
      </c>
      <c r="G731" s="22" t="s">
        <v>6861</v>
      </c>
      <c r="H731" s="9" t="s">
        <v>4298</v>
      </c>
      <c r="I731" s="7"/>
      <c r="J731" s="23" t="s">
        <v>6862</v>
      </c>
      <c r="K731" s="24" t="s">
        <v>6863</v>
      </c>
      <c r="L731" s="22" t="s">
        <v>6864</v>
      </c>
      <c r="M731" s="25"/>
      <c r="N731" s="25"/>
      <c r="O731" s="26"/>
      <c r="P731" s="27"/>
      <c r="Q731" s="28"/>
      <c r="R731" s="28"/>
      <c r="S731" s="26"/>
    </row>
    <row r="732" customFormat="false" ht="15" hidden="false" customHeight="false" outlineLevel="0" collapsed="false">
      <c r="A732" s="7" t="n">
        <v>728</v>
      </c>
      <c r="B732" s="9" t="s">
        <v>34</v>
      </c>
      <c r="C732" s="22" t="s">
        <v>300</v>
      </c>
      <c r="D732" s="9" t="s">
        <v>3159</v>
      </c>
      <c r="E732" s="9" t="s">
        <v>49</v>
      </c>
      <c r="F732" s="9" t="s">
        <v>124</v>
      </c>
      <c r="G732" s="22" t="s">
        <v>6865</v>
      </c>
      <c r="H732" s="9" t="s">
        <v>4298</v>
      </c>
      <c r="I732" s="7"/>
      <c r="J732" s="23" t="s">
        <v>6866</v>
      </c>
      <c r="K732" s="24" t="s">
        <v>6867</v>
      </c>
      <c r="L732" s="22" t="s">
        <v>6868</v>
      </c>
      <c r="M732" s="25"/>
      <c r="N732" s="25"/>
      <c r="O732" s="26"/>
      <c r="P732" s="27"/>
      <c r="Q732" s="28"/>
      <c r="R732" s="28"/>
      <c r="S732" s="26"/>
    </row>
    <row r="733" customFormat="false" ht="15" hidden="false" customHeight="false" outlineLevel="0" collapsed="false">
      <c r="A733" s="7" t="n">
        <v>729</v>
      </c>
      <c r="B733" s="9" t="s">
        <v>34</v>
      </c>
      <c r="C733" s="22" t="s">
        <v>300</v>
      </c>
      <c r="D733" s="9" t="s">
        <v>3067</v>
      </c>
      <c r="E733" s="9" t="s">
        <v>49</v>
      </c>
      <c r="F733" s="9" t="s">
        <v>124</v>
      </c>
      <c r="G733" s="22" t="s">
        <v>6869</v>
      </c>
      <c r="H733" s="9" t="s">
        <v>4298</v>
      </c>
      <c r="I733" s="7"/>
      <c r="J733" s="23" t="s">
        <v>6870</v>
      </c>
      <c r="K733" s="24" t="s">
        <v>6871</v>
      </c>
      <c r="L733" s="22" t="s">
        <v>6872</v>
      </c>
      <c r="M733" s="25"/>
      <c r="N733" s="25"/>
      <c r="O733" s="26"/>
      <c r="P733" s="27"/>
      <c r="Q733" s="28"/>
      <c r="R733" s="28"/>
      <c r="S733" s="26"/>
    </row>
    <row r="734" customFormat="false" ht="15" hidden="false" customHeight="false" outlineLevel="0" collapsed="false">
      <c r="A734" s="7" t="n">
        <v>730</v>
      </c>
      <c r="B734" s="9" t="s">
        <v>34</v>
      </c>
      <c r="C734" s="22" t="s">
        <v>300</v>
      </c>
      <c r="D734" s="9" t="s">
        <v>3067</v>
      </c>
      <c r="E734" s="9" t="s">
        <v>49</v>
      </c>
      <c r="F734" s="9" t="s">
        <v>124</v>
      </c>
      <c r="G734" s="22" t="s">
        <v>3068</v>
      </c>
      <c r="H734" s="9" t="s">
        <v>4298</v>
      </c>
      <c r="I734" s="7" t="s">
        <v>869</v>
      </c>
      <c r="J734" s="23" t="s">
        <v>3069</v>
      </c>
      <c r="K734" s="24" t="s">
        <v>3070</v>
      </c>
      <c r="L734" s="22" t="s">
        <v>3071</v>
      </c>
      <c r="M734" s="25"/>
      <c r="N734" s="25"/>
      <c r="O734" s="26"/>
      <c r="P734" s="27"/>
      <c r="Q734" s="28"/>
      <c r="R734" s="28"/>
      <c r="S734" s="29" t="s">
        <v>3072</v>
      </c>
    </row>
    <row r="735" customFormat="false" ht="15" hidden="false" customHeight="false" outlineLevel="0" collapsed="false">
      <c r="A735" s="7" t="n">
        <v>731</v>
      </c>
      <c r="B735" s="9" t="s">
        <v>34</v>
      </c>
      <c r="C735" s="22" t="s">
        <v>300</v>
      </c>
      <c r="D735" s="9" t="s">
        <v>3178</v>
      </c>
      <c r="E735" s="9" t="s">
        <v>49</v>
      </c>
      <c r="F735" s="9" t="s">
        <v>124</v>
      </c>
      <c r="G735" s="22" t="s">
        <v>6873</v>
      </c>
      <c r="H735" s="9" t="s">
        <v>4298</v>
      </c>
      <c r="I735" s="7"/>
      <c r="J735" s="23" t="s">
        <v>6874</v>
      </c>
      <c r="K735" s="24" t="s">
        <v>6875</v>
      </c>
      <c r="L735" s="22" t="s">
        <v>6876</v>
      </c>
      <c r="M735" s="25"/>
      <c r="N735" s="25"/>
      <c r="O735" s="26"/>
      <c r="P735" s="27"/>
      <c r="Q735" s="28"/>
      <c r="R735" s="28"/>
      <c r="S735" s="26"/>
    </row>
    <row r="736" customFormat="false" ht="15" hidden="false" customHeight="false" outlineLevel="0" collapsed="false">
      <c r="A736" s="7" t="n">
        <v>732</v>
      </c>
      <c r="B736" s="9" t="s">
        <v>34</v>
      </c>
      <c r="C736" s="22" t="s">
        <v>300</v>
      </c>
      <c r="D736" s="9" t="s">
        <v>3178</v>
      </c>
      <c r="E736" s="9" t="s">
        <v>49</v>
      </c>
      <c r="F736" s="9" t="s">
        <v>99</v>
      </c>
      <c r="G736" s="22" t="s">
        <v>6877</v>
      </c>
      <c r="H736" s="9" t="s">
        <v>4298</v>
      </c>
      <c r="I736" s="7"/>
      <c r="J736" s="23" t="s">
        <v>6878</v>
      </c>
      <c r="K736" s="24" t="s">
        <v>6879</v>
      </c>
      <c r="L736" s="22" t="s">
        <v>6880</v>
      </c>
      <c r="M736" s="25"/>
      <c r="N736" s="25"/>
      <c r="O736" s="26"/>
      <c r="P736" s="27"/>
      <c r="Q736" s="28"/>
      <c r="R736" s="28"/>
      <c r="S736" s="26"/>
    </row>
    <row r="737" customFormat="false" ht="15" hidden="false" customHeight="false" outlineLevel="0" collapsed="false">
      <c r="A737" s="7" t="n">
        <v>733</v>
      </c>
      <c r="B737" s="9" t="s">
        <v>34</v>
      </c>
      <c r="C737" s="22" t="s">
        <v>300</v>
      </c>
      <c r="D737" s="9" t="s">
        <v>3184</v>
      </c>
      <c r="E737" s="9" t="s">
        <v>49</v>
      </c>
      <c r="F737" s="9" t="s">
        <v>124</v>
      </c>
      <c r="G737" s="22" t="s">
        <v>6881</v>
      </c>
      <c r="H737" s="9" t="s">
        <v>4298</v>
      </c>
      <c r="I737" s="7"/>
      <c r="J737" s="23" t="s">
        <v>6882</v>
      </c>
      <c r="K737" s="24" t="s">
        <v>6883</v>
      </c>
      <c r="L737" s="22" t="s">
        <v>6884</v>
      </c>
      <c r="M737" s="25"/>
      <c r="N737" s="25"/>
      <c r="O737" s="26"/>
      <c r="P737" s="27"/>
      <c r="Q737" s="28"/>
      <c r="R737" s="28"/>
      <c r="S737" s="26"/>
    </row>
    <row r="738" customFormat="false" ht="15" hidden="false" customHeight="false" outlineLevel="0" collapsed="false">
      <c r="A738" s="7" t="n">
        <v>734</v>
      </c>
      <c r="B738" s="9" t="s">
        <v>34</v>
      </c>
      <c r="C738" s="22" t="s">
        <v>300</v>
      </c>
      <c r="D738" s="9" t="s">
        <v>3082</v>
      </c>
      <c r="E738" s="9" t="s">
        <v>49</v>
      </c>
      <c r="F738" s="9" t="s">
        <v>124</v>
      </c>
      <c r="G738" s="22" t="s">
        <v>6885</v>
      </c>
      <c r="H738" s="9" t="s">
        <v>4298</v>
      </c>
      <c r="I738" s="7"/>
      <c r="J738" s="23" t="s">
        <v>6886</v>
      </c>
      <c r="K738" s="24" t="s">
        <v>6887</v>
      </c>
      <c r="L738" s="22" t="s">
        <v>6888</v>
      </c>
      <c r="M738" s="25"/>
      <c r="N738" s="25"/>
      <c r="O738" s="26"/>
      <c r="P738" s="27"/>
      <c r="Q738" s="28"/>
      <c r="R738" s="28"/>
      <c r="S738" s="26"/>
    </row>
    <row r="739" customFormat="false" ht="15" hidden="false" customHeight="false" outlineLevel="0" collapsed="false">
      <c r="A739" s="7" t="n">
        <v>735</v>
      </c>
      <c r="B739" s="9" t="s">
        <v>34</v>
      </c>
      <c r="C739" s="22" t="s">
        <v>300</v>
      </c>
      <c r="D739" s="9" t="s">
        <v>3082</v>
      </c>
      <c r="E739" s="9" t="s">
        <v>49</v>
      </c>
      <c r="F739" s="9" t="s">
        <v>124</v>
      </c>
      <c r="G739" s="22" t="s">
        <v>6889</v>
      </c>
      <c r="H739" s="9" t="s">
        <v>4298</v>
      </c>
      <c r="I739" s="7"/>
      <c r="J739" s="23" t="s">
        <v>6890</v>
      </c>
      <c r="K739" s="24" t="s">
        <v>6891</v>
      </c>
      <c r="L739" s="22" t="s">
        <v>3261</v>
      </c>
      <c r="M739" s="25"/>
      <c r="N739" s="25"/>
      <c r="O739" s="26"/>
      <c r="P739" s="27"/>
      <c r="Q739" s="28"/>
      <c r="R739" s="28"/>
      <c r="S739" s="26"/>
    </row>
    <row r="740" customFormat="false" ht="15" hidden="false" customHeight="false" outlineLevel="0" collapsed="false">
      <c r="A740" s="7" t="n">
        <v>736</v>
      </c>
      <c r="B740" s="9" t="s">
        <v>34</v>
      </c>
      <c r="C740" s="22" t="s">
        <v>300</v>
      </c>
      <c r="D740" s="9" t="s">
        <v>3082</v>
      </c>
      <c r="E740" s="9" t="s">
        <v>49</v>
      </c>
      <c r="F740" s="9" t="s">
        <v>124</v>
      </c>
      <c r="G740" s="22" t="s">
        <v>6892</v>
      </c>
      <c r="H740" s="9" t="s">
        <v>4298</v>
      </c>
      <c r="I740" s="7"/>
      <c r="J740" s="23" t="s">
        <v>6893</v>
      </c>
      <c r="K740" s="24" t="s">
        <v>6894</v>
      </c>
      <c r="L740" s="22" t="s">
        <v>6895</v>
      </c>
      <c r="M740" s="25"/>
      <c r="N740" s="25"/>
      <c r="O740" s="26"/>
      <c r="P740" s="27"/>
      <c r="Q740" s="28"/>
      <c r="R740" s="28"/>
      <c r="S740" s="26"/>
    </row>
    <row r="741" customFormat="false" ht="15" hidden="false" customHeight="false" outlineLevel="0" collapsed="false">
      <c r="A741" s="7" t="n">
        <v>737</v>
      </c>
      <c r="B741" s="9" t="s">
        <v>34</v>
      </c>
      <c r="C741" s="22" t="s">
        <v>300</v>
      </c>
      <c r="D741" s="9" t="s">
        <v>3269</v>
      </c>
      <c r="E741" s="9" t="s">
        <v>49</v>
      </c>
      <c r="F741" s="9" t="s">
        <v>99</v>
      </c>
      <c r="G741" s="22" t="s">
        <v>6896</v>
      </c>
      <c r="H741" s="9" t="s">
        <v>4298</v>
      </c>
      <c r="I741" s="7"/>
      <c r="J741" s="23" t="s">
        <v>6897</v>
      </c>
      <c r="K741" s="24" t="s">
        <v>6898</v>
      </c>
      <c r="L741" s="22" t="s">
        <v>6899</v>
      </c>
      <c r="M741" s="25"/>
      <c r="N741" s="25"/>
      <c r="O741" s="26"/>
      <c r="P741" s="27"/>
      <c r="Q741" s="28"/>
      <c r="R741" s="28"/>
      <c r="S741" s="26"/>
    </row>
    <row r="742" customFormat="false" ht="15" hidden="false" customHeight="false" outlineLevel="0" collapsed="false">
      <c r="A742" s="7" t="n">
        <v>738</v>
      </c>
      <c r="B742" s="9" t="s">
        <v>34</v>
      </c>
      <c r="C742" s="22" t="s">
        <v>300</v>
      </c>
      <c r="D742" s="9" t="s">
        <v>3091</v>
      </c>
      <c r="E742" s="9" t="s">
        <v>49</v>
      </c>
      <c r="F742" s="9" t="s">
        <v>99</v>
      </c>
      <c r="G742" s="22" t="s">
        <v>6900</v>
      </c>
      <c r="H742" s="9" t="s">
        <v>4298</v>
      </c>
      <c r="I742" s="7"/>
      <c r="J742" s="23" t="s">
        <v>6901</v>
      </c>
      <c r="K742" s="24" t="s">
        <v>6902</v>
      </c>
      <c r="L742" s="22" t="s">
        <v>6903</v>
      </c>
      <c r="M742" s="25"/>
      <c r="N742" s="25"/>
      <c r="O742" s="26"/>
      <c r="P742" s="27"/>
      <c r="Q742" s="28"/>
      <c r="R742" s="28"/>
      <c r="S742" s="26"/>
    </row>
    <row r="743" customFormat="false" ht="15" hidden="false" customHeight="false" outlineLevel="0" collapsed="false">
      <c r="A743" s="7" t="n">
        <v>739</v>
      </c>
      <c r="B743" s="9" t="s">
        <v>34</v>
      </c>
      <c r="C743" s="22" t="s">
        <v>300</v>
      </c>
      <c r="D743" s="9" t="s">
        <v>3091</v>
      </c>
      <c r="E743" s="9" t="s">
        <v>49</v>
      </c>
      <c r="F743" s="9" t="s">
        <v>124</v>
      </c>
      <c r="G743" s="22" t="s">
        <v>6904</v>
      </c>
      <c r="H743" s="9" t="s">
        <v>4298</v>
      </c>
      <c r="I743" s="7"/>
      <c r="J743" s="23" t="s">
        <v>6905</v>
      </c>
      <c r="K743" s="24" t="s">
        <v>6906</v>
      </c>
      <c r="L743" s="22" t="s">
        <v>6907</v>
      </c>
      <c r="M743" s="25"/>
      <c r="N743" s="25"/>
      <c r="O743" s="26"/>
      <c r="P743" s="27"/>
      <c r="Q743" s="28"/>
      <c r="R743" s="28"/>
      <c r="S743" s="26"/>
    </row>
    <row r="744" customFormat="false" ht="15" hidden="false" customHeight="false" outlineLevel="0" collapsed="false">
      <c r="A744" s="7" t="n">
        <v>740</v>
      </c>
      <c r="B744" s="9" t="s">
        <v>34</v>
      </c>
      <c r="C744" s="22" t="s">
        <v>300</v>
      </c>
      <c r="D744" s="9" t="s">
        <v>3091</v>
      </c>
      <c r="E744" s="9" t="s">
        <v>49</v>
      </c>
      <c r="F744" s="9" t="s">
        <v>124</v>
      </c>
      <c r="G744" s="22" t="s">
        <v>3092</v>
      </c>
      <c r="H744" s="9" t="s">
        <v>4298</v>
      </c>
      <c r="I744" s="7" t="s">
        <v>869</v>
      </c>
      <c r="J744" s="23" t="s">
        <v>3093</v>
      </c>
      <c r="K744" s="24" t="s">
        <v>3094</v>
      </c>
      <c r="L744" s="22" t="s">
        <v>3095</v>
      </c>
      <c r="M744" s="25"/>
      <c r="N744" s="25"/>
      <c r="O744" s="26"/>
      <c r="P744" s="27"/>
      <c r="Q744" s="28"/>
      <c r="R744" s="28"/>
      <c r="S744" s="26"/>
    </row>
    <row r="745" customFormat="false" ht="15" hidden="false" customHeight="false" outlineLevel="0" collapsed="false">
      <c r="A745" s="7" t="n">
        <v>741</v>
      </c>
      <c r="B745" s="9" t="s">
        <v>34</v>
      </c>
      <c r="C745" s="22" t="s">
        <v>300</v>
      </c>
      <c r="D745" s="9" t="s">
        <v>3091</v>
      </c>
      <c r="E745" s="9" t="s">
        <v>49</v>
      </c>
      <c r="F745" s="9" t="s">
        <v>124</v>
      </c>
      <c r="G745" s="22" t="s">
        <v>6908</v>
      </c>
      <c r="H745" s="9" t="s">
        <v>4298</v>
      </c>
      <c r="I745" s="7"/>
      <c r="J745" s="23" t="s">
        <v>6909</v>
      </c>
      <c r="K745" s="24" t="s">
        <v>6910</v>
      </c>
      <c r="L745" s="22" t="s">
        <v>6911</v>
      </c>
      <c r="M745" s="25"/>
      <c r="N745" s="25"/>
      <c r="O745" s="26"/>
      <c r="P745" s="27"/>
      <c r="Q745" s="28"/>
      <c r="R745" s="28"/>
      <c r="S745" s="26"/>
    </row>
    <row r="746" customFormat="false" ht="15" hidden="false" customHeight="false" outlineLevel="0" collapsed="false">
      <c r="A746" s="7" t="n">
        <v>742</v>
      </c>
      <c r="B746" s="9" t="s">
        <v>34</v>
      </c>
      <c r="C746" s="22" t="s">
        <v>300</v>
      </c>
      <c r="D746" s="9" t="s">
        <v>3091</v>
      </c>
      <c r="E746" s="9" t="s">
        <v>49</v>
      </c>
      <c r="F746" s="9" t="s">
        <v>99</v>
      </c>
      <c r="G746" s="22" t="s">
        <v>6912</v>
      </c>
      <c r="H746" s="9" t="s">
        <v>4298</v>
      </c>
      <c r="I746" s="7"/>
      <c r="J746" s="23" t="s">
        <v>6913</v>
      </c>
      <c r="K746" s="24" t="s">
        <v>6914</v>
      </c>
      <c r="L746" s="22" t="s">
        <v>6915</v>
      </c>
      <c r="M746" s="25"/>
      <c r="N746" s="25"/>
      <c r="O746" s="26"/>
      <c r="P746" s="27"/>
      <c r="Q746" s="28"/>
      <c r="R746" s="28"/>
      <c r="S746" s="26"/>
    </row>
    <row r="747" customFormat="false" ht="15" hidden="false" customHeight="false" outlineLevel="0" collapsed="false">
      <c r="A747" s="7" t="n">
        <v>743</v>
      </c>
      <c r="B747" s="9" t="s">
        <v>34</v>
      </c>
      <c r="C747" s="22" t="s">
        <v>300</v>
      </c>
      <c r="D747" s="9" t="s">
        <v>3091</v>
      </c>
      <c r="E747" s="9" t="s">
        <v>49</v>
      </c>
      <c r="F747" s="9" t="s">
        <v>99</v>
      </c>
      <c r="G747" s="22" t="s">
        <v>6916</v>
      </c>
      <c r="H747" s="9" t="s">
        <v>4298</v>
      </c>
      <c r="I747" s="7"/>
      <c r="J747" s="23" t="s">
        <v>6917</v>
      </c>
      <c r="K747" s="24" t="s">
        <v>6918</v>
      </c>
      <c r="L747" s="22" t="s">
        <v>6919</v>
      </c>
      <c r="M747" s="25"/>
      <c r="N747" s="25"/>
      <c r="O747" s="26"/>
      <c r="P747" s="27"/>
      <c r="Q747" s="28"/>
      <c r="R747" s="28"/>
      <c r="S747" s="26"/>
    </row>
    <row r="748" customFormat="false" ht="15" hidden="false" customHeight="false" outlineLevel="0" collapsed="false">
      <c r="A748" s="7" t="n">
        <v>744</v>
      </c>
      <c r="B748" s="9" t="s">
        <v>34</v>
      </c>
      <c r="C748" s="22" t="s">
        <v>300</v>
      </c>
      <c r="D748" s="9" t="s">
        <v>3091</v>
      </c>
      <c r="E748" s="9" t="s">
        <v>49</v>
      </c>
      <c r="F748" s="9" t="s">
        <v>124</v>
      </c>
      <c r="G748" s="22" t="s">
        <v>3108</v>
      </c>
      <c r="H748" s="9" t="s">
        <v>4298</v>
      </c>
      <c r="I748" s="7" t="s">
        <v>869</v>
      </c>
      <c r="J748" s="23" t="s">
        <v>3109</v>
      </c>
      <c r="K748" s="24" t="s">
        <v>3110</v>
      </c>
      <c r="L748" s="22" t="s">
        <v>3111</v>
      </c>
      <c r="M748" s="25"/>
      <c r="N748" s="25"/>
      <c r="O748" s="26"/>
      <c r="P748" s="27"/>
      <c r="Q748" s="28"/>
      <c r="R748" s="28"/>
      <c r="S748" s="26"/>
    </row>
    <row r="749" customFormat="false" ht="15" hidden="false" customHeight="false" outlineLevel="0" collapsed="false">
      <c r="A749" s="7" t="n">
        <v>745</v>
      </c>
      <c r="B749" s="9" t="s">
        <v>34</v>
      </c>
      <c r="C749" s="22" t="s">
        <v>300</v>
      </c>
      <c r="D749" s="9" t="s">
        <v>3091</v>
      </c>
      <c r="E749" s="9" t="s">
        <v>326</v>
      </c>
      <c r="F749" s="9" t="s">
        <v>99</v>
      </c>
      <c r="G749" s="22" t="s">
        <v>3112</v>
      </c>
      <c r="H749" s="9" t="s">
        <v>4298</v>
      </c>
      <c r="I749" s="7" t="s">
        <v>869</v>
      </c>
      <c r="J749" s="23" t="s">
        <v>3113</v>
      </c>
      <c r="K749" s="24" t="s">
        <v>3114</v>
      </c>
      <c r="L749" s="22" t="s">
        <v>3115</v>
      </c>
      <c r="M749" s="25"/>
      <c r="N749" s="25"/>
      <c r="O749" s="26"/>
      <c r="P749" s="27"/>
      <c r="Q749" s="28"/>
      <c r="R749" s="28"/>
      <c r="S749" s="26"/>
    </row>
    <row r="750" customFormat="false" ht="15" hidden="false" customHeight="false" outlineLevel="0" collapsed="false">
      <c r="A750" s="7" t="n">
        <v>746</v>
      </c>
      <c r="B750" s="9" t="s">
        <v>34</v>
      </c>
      <c r="C750" s="22" t="s">
        <v>300</v>
      </c>
      <c r="D750" s="9" t="s">
        <v>3116</v>
      </c>
      <c r="E750" s="9" t="s">
        <v>49</v>
      </c>
      <c r="F750" s="9" t="s">
        <v>124</v>
      </c>
      <c r="G750" s="22" t="s">
        <v>3117</v>
      </c>
      <c r="H750" s="9" t="s">
        <v>4298</v>
      </c>
      <c r="I750" s="7" t="s">
        <v>869</v>
      </c>
      <c r="J750" s="23" t="s">
        <v>3118</v>
      </c>
      <c r="K750" s="24" t="s">
        <v>3119</v>
      </c>
      <c r="L750" s="22" t="s">
        <v>3120</v>
      </c>
      <c r="M750" s="25"/>
      <c r="N750" s="25"/>
      <c r="O750" s="26"/>
      <c r="P750" s="27"/>
      <c r="Q750" s="28"/>
      <c r="R750" s="28"/>
      <c r="S750" s="26"/>
    </row>
    <row r="751" customFormat="false" ht="15" hidden="false" customHeight="false" outlineLevel="0" collapsed="false">
      <c r="A751" s="7" t="n">
        <v>747</v>
      </c>
      <c r="B751" s="9" t="s">
        <v>34</v>
      </c>
      <c r="C751" s="22" t="s">
        <v>300</v>
      </c>
      <c r="D751" s="9" t="s">
        <v>3116</v>
      </c>
      <c r="E751" s="9" t="s">
        <v>49</v>
      </c>
      <c r="F751" s="9" t="s">
        <v>124</v>
      </c>
      <c r="G751" s="22" t="s">
        <v>6920</v>
      </c>
      <c r="H751" s="9" t="s">
        <v>4298</v>
      </c>
      <c r="I751" s="7"/>
      <c r="J751" s="23" t="s">
        <v>6921</v>
      </c>
      <c r="K751" s="24" t="s">
        <v>6922</v>
      </c>
      <c r="L751" s="22" t="s">
        <v>3378</v>
      </c>
      <c r="M751" s="25"/>
      <c r="N751" s="25"/>
      <c r="O751" s="26"/>
      <c r="P751" s="27"/>
      <c r="Q751" s="28"/>
      <c r="R751" s="28"/>
      <c r="S751" s="26"/>
    </row>
    <row r="752" customFormat="false" ht="15" hidden="false" customHeight="false" outlineLevel="0" collapsed="false">
      <c r="A752" s="7" t="n">
        <v>748</v>
      </c>
      <c r="B752" s="9" t="s">
        <v>34</v>
      </c>
      <c r="C752" s="22" t="s">
        <v>300</v>
      </c>
      <c r="D752" s="9" t="s">
        <v>3116</v>
      </c>
      <c r="E752" s="9" t="s">
        <v>49</v>
      </c>
      <c r="F752" s="9" t="s">
        <v>99</v>
      </c>
      <c r="G752" s="22" t="s">
        <v>6923</v>
      </c>
      <c r="H752" s="9" t="s">
        <v>4298</v>
      </c>
      <c r="I752" s="7"/>
      <c r="J752" s="23" t="s">
        <v>6924</v>
      </c>
      <c r="K752" s="24" t="s">
        <v>6925</v>
      </c>
      <c r="L752" s="22" t="s">
        <v>6926</v>
      </c>
      <c r="M752" s="25"/>
      <c r="N752" s="25"/>
      <c r="O752" s="26"/>
      <c r="P752" s="27"/>
      <c r="Q752" s="28"/>
      <c r="R752" s="28"/>
      <c r="S752" s="26"/>
    </row>
    <row r="753" customFormat="false" ht="15" hidden="false" customHeight="false" outlineLevel="0" collapsed="false">
      <c r="A753" s="7" t="n">
        <v>749</v>
      </c>
      <c r="B753" s="9" t="s">
        <v>34</v>
      </c>
      <c r="C753" s="22" t="s">
        <v>300</v>
      </c>
      <c r="D753" s="9" t="s">
        <v>3116</v>
      </c>
      <c r="E753" s="9" t="s">
        <v>49</v>
      </c>
      <c r="F753" s="9" t="s">
        <v>124</v>
      </c>
      <c r="G753" s="22" t="s">
        <v>3121</v>
      </c>
      <c r="H753" s="9" t="s">
        <v>4298</v>
      </c>
      <c r="I753" s="7" t="s">
        <v>869</v>
      </c>
      <c r="J753" s="23" t="s">
        <v>3122</v>
      </c>
      <c r="K753" s="24" t="s">
        <v>3123</v>
      </c>
      <c r="L753" s="22" t="s">
        <v>3124</v>
      </c>
      <c r="M753" s="25"/>
      <c r="N753" s="25"/>
      <c r="O753" s="26"/>
      <c r="P753" s="27"/>
      <c r="Q753" s="28"/>
      <c r="R753" s="28"/>
      <c r="S753" s="26"/>
    </row>
    <row r="754" customFormat="false" ht="15" hidden="false" customHeight="false" outlineLevel="0" collapsed="false">
      <c r="A754" s="7" t="n">
        <v>750</v>
      </c>
      <c r="B754" s="9" t="s">
        <v>34</v>
      </c>
      <c r="C754" s="22" t="s">
        <v>300</v>
      </c>
      <c r="D754" s="9" t="s">
        <v>3116</v>
      </c>
      <c r="E754" s="9" t="s">
        <v>326</v>
      </c>
      <c r="F754" s="9" t="s">
        <v>99</v>
      </c>
      <c r="G754" s="22" t="s">
        <v>6927</v>
      </c>
      <c r="H754" s="9" t="s">
        <v>4298</v>
      </c>
      <c r="I754" s="7"/>
      <c r="J754" s="23" t="s">
        <v>6928</v>
      </c>
      <c r="K754" s="24" t="s">
        <v>6929</v>
      </c>
      <c r="L754" s="22" t="s">
        <v>6930</v>
      </c>
      <c r="M754" s="25"/>
      <c r="N754" s="25"/>
      <c r="O754" s="26"/>
      <c r="P754" s="27"/>
      <c r="Q754" s="28"/>
      <c r="R754" s="28"/>
      <c r="S754" s="26"/>
    </row>
    <row r="755" customFormat="false" ht="15" hidden="false" customHeight="false" outlineLevel="0" collapsed="false">
      <c r="A755" s="7" t="n">
        <v>751</v>
      </c>
      <c r="B755" s="9" t="s">
        <v>34</v>
      </c>
      <c r="C755" s="22" t="s">
        <v>3125</v>
      </c>
      <c r="D755" s="9" t="s">
        <v>3062</v>
      </c>
      <c r="E755" s="9" t="s">
        <v>47</v>
      </c>
      <c r="F755" s="9" t="s">
        <v>99</v>
      </c>
      <c r="G755" s="22" t="s">
        <v>6931</v>
      </c>
      <c r="H755" s="9" t="s">
        <v>4298</v>
      </c>
      <c r="I755" s="7"/>
      <c r="J755" s="23" t="s">
        <v>6932</v>
      </c>
      <c r="K755" s="24" t="s">
        <v>6933</v>
      </c>
      <c r="L755" s="22" t="s">
        <v>6934</v>
      </c>
      <c r="M755" s="25"/>
      <c r="N755" s="25"/>
      <c r="O755" s="26"/>
      <c r="P755" s="27"/>
      <c r="Q755" s="28"/>
      <c r="R755" s="28"/>
      <c r="S755" s="26"/>
    </row>
    <row r="756" customFormat="false" ht="15" hidden="false" customHeight="false" outlineLevel="0" collapsed="false">
      <c r="A756" s="7" t="n">
        <v>752</v>
      </c>
      <c r="B756" s="9" t="s">
        <v>34</v>
      </c>
      <c r="C756" s="22" t="s">
        <v>3125</v>
      </c>
      <c r="D756" s="9" t="s">
        <v>3062</v>
      </c>
      <c r="E756" s="9" t="s">
        <v>47</v>
      </c>
      <c r="F756" s="9" t="s">
        <v>99</v>
      </c>
      <c r="G756" s="22" t="s">
        <v>6935</v>
      </c>
      <c r="H756" s="9" t="s">
        <v>4298</v>
      </c>
      <c r="I756" s="7"/>
      <c r="J756" s="23" t="s">
        <v>6936</v>
      </c>
      <c r="K756" s="24" t="s">
        <v>6937</v>
      </c>
      <c r="L756" s="22" t="s">
        <v>6938</v>
      </c>
      <c r="M756" s="25"/>
      <c r="N756" s="25"/>
      <c r="O756" s="26"/>
      <c r="P756" s="27"/>
      <c r="Q756" s="28"/>
      <c r="R756" s="28"/>
      <c r="S756" s="26"/>
    </row>
    <row r="757" customFormat="false" ht="15" hidden="false" customHeight="false" outlineLevel="0" collapsed="false">
      <c r="A757" s="7" t="n">
        <v>753</v>
      </c>
      <c r="B757" s="9" t="s">
        <v>34</v>
      </c>
      <c r="C757" s="22" t="s">
        <v>3125</v>
      </c>
      <c r="D757" s="9" t="s">
        <v>3062</v>
      </c>
      <c r="E757" s="9" t="s">
        <v>47</v>
      </c>
      <c r="F757" s="9" t="s">
        <v>99</v>
      </c>
      <c r="G757" s="22" t="s">
        <v>6939</v>
      </c>
      <c r="H757" s="9" t="s">
        <v>4298</v>
      </c>
      <c r="I757" s="7"/>
      <c r="J757" s="23" t="s">
        <v>6940</v>
      </c>
      <c r="K757" s="24" t="s">
        <v>6941</v>
      </c>
      <c r="L757" s="22" t="s">
        <v>6942</v>
      </c>
      <c r="M757" s="25"/>
      <c r="N757" s="25"/>
      <c r="O757" s="26"/>
      <c r="P757" s="27"/>
      <c r="Q757" s="28"/>
      <c r="R757" s="28"/>
      <c r="S757" s="26"/>
    </row>
    <row r="758" customFormat="false" ht="15" hidden="false" customHeight="false" outlineLevel="0" collapsed="false">
      <c r="A758" s="7" t="n">
        <v>754</v>
      </c>
      <c r="B758" s="9" t="s">
        <v>34</v>
      </c>
      <c r="C758" s="22" t="s">
        <v>3125</v>
      </c>
      <c r="D758" s="9" t="s">
        <v>3062</v>
      </c>
      <c r="E758" s="9" t="s">
        <v>48</v>
      </c>
      <c r="F758" s="9" t="s">
        <v>99</v>
      </c>
      <c r="G758" s="22" t="s">
        <v>6943</v>
      </c>
      <c r="H758" s="9" t="s">
        <v>4298</v>
      </c>
      <c r="I758" s="7"/>
      <c r="J758" s="23" t="s">
        <v>6944</v>
      </c>
      <c r="K758" s="24" t="s">
        <v>6945</v>
      </c>
      <c r="L758" s="22" t="s">
        <v>6946</v>
      </c>
      <c r="M758" s="25"/>
      <c r="N758" s="25"/>
      <c r="O758" s="26"/>
      <c r="P758" s="27"/>
      <c r="Q758" s="28"/>
      <c r="R758" s="28"/>
      <c r="S758" s="26"/>
    </row>
    <row r="759" customFormat="false" ht="15" hidden="false" customHeight="false" outlineLevel="0" collapsed="false">
      <c r="A759" s="7" t="n">
        <v>755</v>
      </c>
      <c r="B759" s="9" t="s">
        <v>34</v>
      </c>
      <c r="C759" s="22" t="s">
        <v>3125</v>
      </c>
      <c r="D759" s="9" t="s">
        <v>3062</v>
      </c>
      <c r="E759" s="9" t="s">
        <v>48</v>
      </c>
      <c r="F759" s="9" t="s">
        <v>124</v>
      </c>
      <c r="G759" s="22" t="s">
        <v>6947</v>
      </c>
      <c r="H759" s="9" t="s">
        <v>4298</v>
      </c>
      <c r="I759" s="7"/>
      <c r="J759" s="23" t="s">
        <v>6948</v>
      </c>
      <c r="K759" s="24" t="s">
        <v>6949</v>
      </c>
      <c r="L759" s="22" t="s">
        <v>6950</v>
      </c>
      <c r="M759" s="25"/>
      <c r="N759" s="25"/>
      <c r="O759" s="26"/>
      <c r="P759" s="27"/>
      <c r="Q759" s="28"/>
      <c r="R759" s="28"/>
      <c r="S759" s="26"/>
    </row>
    <row r="760" customFormat="false" ht="15" hidden="false" customHeight="false" outlineLevel="0" collapsed="false">
      <c r="A760" s="7" t="n">
        <v>756</v>
      </c>
      <c r="B760" s="9" t="s">
        <v>34</v>
      </c>
      <c r="C760" s="22" t="s">
        <v>3158</v>
      </c>
      <c r="D760" s="9" t="s">
        <v>3159</v>
      </c>
      <c r="E760" s="9" t="s">
        <v>47</v>
      </c>
      <c r="F760" s="9" t="s">
        <v>99</v>
      </c>
      <c r="G760" s="22" t="s">
        <v>2957</v>
      </c>
      <c r="H760" s="9" t="s">
        <v>4298</v>
      </c>
      <c r="I760" s="7" t="s">
        <v>869</v>
      </c>
      <c r="J760" s="23" t="s">
        <v>3160</v>
      </c>
      <c r="K760" s="24" t="s">
        <v>3161</v>
      </c>
      <c r="L760" s="22" t="s">
        <v>3162</v>
      </c>
      <c r="M760" s="25"/>
      <c r="N760" s="25"/>
      <c r="O760" s="26"/>
      <c r="P760" s="27"/>
      <c r="Q760" s="28"/>
      <c r="R760" s="28"/>
      <c r="S760" s="26"/>
    </row>
    <row r="761" customFormat="false" ht="15" hidden="false" customHeight="false" outlineLevel="0" collapsed="false">
      <c r="A761" s="7" t="n">
        <v>757</v>
      </c>
      <c r="B761" s="9" t="s">
        <v>34</v>
      </c>
      <c r="C761" s="22" t="s">
        <v>3158</v>
      </c>
      <c r="D761" s="9" t="s">
        <v>3159</v>
      </c>
      <c r="E761" s="9" t="s">
        <v>47</v>
      </c>
      <c r="F761" s="9" t="s">
        <v>99</v>
      </c>
      <c r="G761" s="22" t="s">
        <v>3163</v>
      </c>
      <c r="H761" s="9" t="s">
        <v>4298</v>
      </c>
      <c r="I761" s="7" t="s">
        <v>869</v>
      </c>
      <c r="J761" s="23" t="s">
        <v>3164</v>
      </c>
      <c r="K761" s="24" t="s">
        <v>3165</v>
      </c>
      <c r="L761" s="22" t="s">
        <v>3166</v>
      </c>
      <c r="M761" s="25"/>
      <c r="N761" s="25"/>
      <c r="O761" s="26"/>
      <c r="P761" s="27"/>
      <c r="Q761" s="28"/>
      <c r="R761" s="28"/>
      <c r="S761" s="26"/>
    </row>
    <row r="762" customFormat="false" ht="15" hidden="false" customHeight="false" outlineLevel="0" collapsed="false">
      <c r="A762" s="7" t="n">
        <v>758</v>
      </c>
      <c r="B762" s="9" t="s">
        <v>34</v>
      </c>
      <c r="C762" s="22" t="s">
        <v>3158</v>
      </c>
      <c r="D762" s="9" t="s">
        <v>3159</v>
      </c>
      <c r="E762" s="9" t="s">
        <v>47</v>
      </c>
      <c r="F762" s="9" t="s">
        <v>99</v>
      </c>
      <c r="G762" s="22" t="s">
        <v>6951</v>
      </c>
      <c r="H762" s="9" t="s">
        <v>4298</v>
      </c>
      <c r="I762" s="7"/>
      <c r="J762" s="23" t="s">
        <v>6952</v>
      </c>
      <c r="K762" s="24" t="s">
        <v>6953</v>
      </c>
      <c r="L762" s="22" t="s">
        <v>6954</v>
      </c>
      <c r="M762" s="25"/>
      <c r="N762" s="25"/>
      <c r="O762" s="26"/>
      <c r="P762" s="27"/>
      <c r="Q762" s="28"/>
      <c r="R762" s="28"/>
      <c r="S762" s="26"/>
    </row>
    <row r="763" customFormat="false" ht="15" hidden="false" customHeight="false" outlineLevel="0" collapsed="false">
      <c r="A763" s="7" t="n">
        <v>759</v>
      </c>
      <c r="B763" s="9" t="s">
        <v>34</v>
      </c>
      <c r="C763" s="22" t="s">
        <v>3158</v>
      </c>
      <c r="D763" s="9" t="s">
        <v>3159</v>
      </c>
      <c r="E763" s="9" t="s">
        <v>47</v>
      </c>
      <c r="F763" s="9" t="s">
        <v>99</v>
      </c>
      <c r="G763" s="22" t="s">
        <v>6955</v>
      </c>
      <c r="H763" s="9" t="s">
        <v>4298</v>
      </c>
      <c r="I763" s="7"/>
      <c r="J763" s="23" t="s">
        <v>6956</v>
      </c>
      <c r="K763" s="24" t="s">
        <v>6957</v>
      </c>
      <c r="L763" s="22" t="s">
        <v>6958</v>
      </c>
      <c r="M763" s="25"/>
      <c r="N763" s="25"/>
      <c r="O763" s="26"/>
      <c r="P763" s="27"/>
      <c r="Q763" s="28"/>
      <c r="R763" s="28"/>
      <c r="S763" s="26"/>
    </row>
    <row r="764" customFormat="false" ht="15" hidden="false" customHeight="false" outlineLevel="0" collapsed="false">
      <c r="A764" s="7" t="n">
        <v>760</v>
      </c>
      <c r="B764" s="9" t="s">
        <v>34</v>
      </c>
      <c r="C764" s="22" t="s">
        <v>3158</v>
      </c>
      <c r="D764" s="9" t="s">
        <v>3159</v>
      </c>
      <c r="E764" s="9" t="s">
        <v>48</v>
      </c>
      <c r="F764" s="9" t="s">
        <v>124</v>
      </c>
      <c r="G764" s="22" t="s">
        <v>6959</v>
      </c>
      <c r="H764" s="9" t="s">
        <v>4298</v>
      </c>
      <c r="I764" s="7"/>
      <c r="J764" s="23" t="s">
        <v>6960</v>
      </c>
      <c r="K764" s="24" t="s">
        <v>6961</v>
      </c>
      <c r="L764" s="22" t="s">
        <v>6864</v>
      </c>
      <c r="M764" s="25"/>
      <c r="N764" s="25"/>
      <c r="O764" s="26"/>
      <c r="P764" s="27"/>
      <c r="Q764" s="28"/>
      <c r="R764" s="28"/>
      <c r="S764" s="26"/>
    </row>
    <row r="765" customFormat="false" ht="15" hidden="false" customHeight="false" outlineLevel="0" collapsed="false">
      <c r="A765" s="7" t="n">
        <v>761</v>
      </c>
      <c r="B765" s="9" t="s">
        <v>34</v>
      </c>
      <c r="C765" s="22" t="s">
        <v>3158</v>
      </c>
      <c r="D765" s="9" t="s">
        <v>3159</v>
      </c>
      <c r="E765" s="9" t="s">
        <v>48</v>
      </c>
      <c r="F765" s="9" t="s">
        <v>124</v>
      </c>
      <c r="G765" s="22" t="s">
        <v>6962</v>
      </c>
      <c r="H765" s="9" t="s">
        <v>4298</v>
      </c>
      <c r="I765" s="7"/>
      <c r="J765" s="23" t="s">
        <v>6963</v>
      </c>
      <c r="K765" s="24" t="s">
        <v>6964</v>
      </c>
      <c r="L765" s="22" t="s">
        <v>6965</v>
      </c>
      <c r="M765" s="25"/>
      <c r="N765" s="25"/>
      <c r="O765" s="26"/>
      <c r="P765" s="27"/>
      <c r="Q765" s="28"/>
      <c r="R765" s="28"/>
      <c r="S765" s="26"/>
    </row>
    <row r="766" customFormat="false" ht="15" hidden="false" customHeight="false" outlineLevel="0" collapsed="false">
      <c r="A766" s="7" t="n">
        <v>762</v>
      </c>
      <c r="B766" s="9" t="s">
        <v>34</v>
      </c>
      <c r="C766" s="22" t="s">
        <v>3158</v>
      </c>
      <c r="D766" s="9" t="s">
        <v>3159</v>
      </c>
      <c r="E766" s="9" t="s">
        <v>48</v>
      </c>
      <c r="F766" s="9" t="s">
        <v>124</v>
      </c>
      <c r="G766" s="22" t="s">
        <v>6966</v>
      </c>
      <c r="H766" s="9" t="s">
        <v>4298</v>
      </c>
      <c r="I766" s="7"/>
      <c r="J766" s="23" t="s">
        <v>6967</v>
      </c>
      <c r="K766" s="24" t="s">
        <v>6968</v>
      </c>
      <c r="L766" s="22" t="s">
        <v>6969</v>
      </c>
      <c r="M766" s="25"/>
      <c r="N766" s="25"/>
      <c r="O766" s="26"/>
      <c r="P766" s="27"/>
      <c r="Q766" s="28"/>
      <c r="R766" s="28"/>
      <c r="S766" s="26"/>
    </row>
    <row r="767" customFormat="false" ht="15" hidden="false" customHeight="false" outlineLevel="0" collapsed="false">
      <c r="A767" s="7" t="n">
        <v>763</v>
      </c>
      <c r="B767" s="9" t="s">
        <v>34</v>
      </c>
      <c r="C767" s="22" t="s">
        <v>6970</v>
      </c>
      <c r="D767" s="9" t="s">
        <v>3067</v>
      </c>
      <c r="E767" s="9" t="s">
        <v>47</v>
      </c>
      <c r="F767" s="9" t="s">
        <v>99</v>
      </c>
      <c r="G767" s="22" t="s">
        <v>6971</v>
      </c>
      <c r="H767" s="9" t="s">
        <v>4298</v>
      </c>
      <c r="I767" s="7"/>
      <c r="J767" s="23" t="s">
        <v>6972</v>
      </c>
      <c r="K767" s="24" t="s">
        <v>6973</v>
      </c>
      <c r="L767" s="22" t="s">
        <v>6974</v>
      </c>
      <c r="M767" s="25"/>
      <c r="N767" s="25"/>
      <c r="O767" s="26"/>
      <c r="P767" s="27"/>
      <c r="Q767" s="28"/>
      <c r="R767" s="28"/>
      <c r="S767" s="26"/>
    </row>
    <row r="768" customFormat="false" ht="15" hidden="false" customHeight="false" outlineLevel="0" collapsed="false">
      <c r="A768" s="7" t="n">
        <v>764</v>
      </c>
      <c r="B768" s="9" t="s">
        <v>34</v>
      </c>
      <c r="C768" s="22" t="s">
        <v>6970</v>
      </c>
      <c r="D768" s="9" t="s">
        <v>3067</v>
      </c>
      <c r="E768" s="9" t="s">
        <v>47</v>
      </c>
      <c r="F768" s="9" t="s">
        <v>99</v>
      </c>
      <c r="G768" s="22" t="s">
        <v>6975</v>
      </c>
      <c r="H768" s="9" t="s">
        <v>4298</v>
      </c>
      <c r="I768" s="7"/>
      <c r="J768" s="23" t="s">
        <v>6976</v>
      </c>
      <c r="K768" s="24" t="s">
        <v>6977</v>
      </c>
      <c r="L768" s="22" t="s">
        <v>6978</v>
      </c>
      <c r="M768" s="25"/>
      <c r="N768" s="25"/>
      <c r="O768" s="26"/>
      <c r="P768" s="27"/>
      <c r="Q768" s="28"/>
      <c r="R768" s="28"/>
      <c r="S768" s="26"/>
    </row>
    <row r="769" customFormat="false" ht="15" hidden="false" customHeight="false" outlineLevel="0" collapsed="false">
      <c r="A769" s="7" t="n">
        <v>765</v>
      </c>
      <c r="B769" s="9" t="s">
        <v>34</v>
      </c>
      <c r="C769" s="22" t="s">
        <v>6970</v>
      </c>
      <c r="D769" s="9" t="s">
        <v>3067</v>
      </c>
      <c r="E769" s="9" t="s">
        <v>47</v>
      </c>
      <c r="F769" s="9" t="s">
        <v>99</v>
      </c>
      <c r="G769" s="22" t="s">
        <v>6979</v>
      </c>
      <c r="H769" s="9" t="s">
        <v>4298</v>
      </c>
      <c r="I769" s="7"/>
      <c r="J769" s="23" t="s">
        <v>6980</v>
      </c>
      <c r="K769" s="24" t="s">
        <v>6981</v>
      </c>
      <c r="L769" s="22" t="s">
        <v>6982</v>
      </c>
      <c r="M769" s="25"/>
      <c r="N769" s="25"/>
      <c r="O769" s="26"/>
      <c r="P769" s="27"/>
      <c r="Q769" s="28"/>
      <c r="R769" s="28"/>
      <c r="S769" s="26"/>
    </row>
    <row r="770" customFormat="false" ht="15" hidden="false" customHeight="false" outlineLevel="0" collapsed="false">
      <c r="A770" s="7" t="n">
        <v>766</v>
      </c>
      <c r="B770" s="9" t="s">
        <v>34</v>
      </c>
      <c r="C770" s="22" t="s">
        <v>6970</v>
      </c>
      <c r="D770" s="9" t="s">
        <v>3067</v>
      </c>
      <c r="E770" s="9" t="s">
        <v>47</v>
      </c>
      <c r="F770" s="9" t="s">
        <v>99</v>
      </c>
      <c r="G770" s="22" t="s">
        <v>6983</v>
      </c>
      <c r="H770" s="9" t="s">
        <v>4298</v>
      </c>
      <c r="I770" s="7"/>
      <c r="J770" s="23" t="s">
        <v>6984</v>
      </c>
      <c r="K770" s="24" t="s">
        <v>6985</v>
      </c>
      <c r="L770" s="22" t="s">
        <v>6986</v>
      </c>
      <c r="M770" s="25"/>
      <c r="N770" s="25"/>
      <c r="O770" s="26"/>
      <c r="P770" s="27"/>
      <c r="Q770" s="28"/>
      <c r="R770" s="28"/>
      <c r="S770" s="26"/>
    </row>
    <row r="771" customFormat="false" ht="15" hidden="false" customHeight="false" outlineLevel="0" collapsed="false">
      <c r="A771" s="7" t="n">
        <v>767</v>
      </c>
      <c r="B771" s="9" t="s">
        <v>34</v>
      </c>
      <c r="C771" s="22" t="s">
        <v>3177</v>
      </c>
      <c r="D771" s="9" t="s">
        <v>3178</v>
      </c>
      <c r="E771" s="9" t="s">
        <v>47</v>
      </c>
      <c r="F771" s="9" t="s">
        <v>99</v>
      </c>
      <c r="G771" s="22" t="s">
        <v>6987</v>
      </c>
      <c r="H771" s="9" t="s">
        <v>4298</v>
      </c>
      <c r="I771" s="7"/>
      <c r="J771" s="23" t="s">
        <v>6988</v>
      </c>
      <c r="K771" s="24" t="s">
        <v>6989</v>
      </c>
      <c r="L771" s="22" t="s">
        <v>6990</v>
      </c>
      <c r="M771" s="25"/>
      <c r="N771" s="25"/>
      <c r="O771" s="26"/>
      <c r="P771" s="27"/>
      <c r="Q771" s="28"/>
      <c r="R771" s="28"/>
      <c r="S771" s="26"/>
    </row>
    <row r="772" customFormat="false" ht="15" hidden="false" customHeight="false" outlineLevel="0" collapsed="false">
      <c r="A772" s="7" t="n">
        <v>768</v>
      </c>
      <c r="B772" s="9" t="s">
        <v>34</v>
      </c>
      <c r="C772" s="22" t="s">
        <v>3177</v>
      </c>
      <c r="D772" s="9" t="s">
        <v>3178</v>
      </c>
      <c r="E772" s="9" t="s">
        <v>47</v>
      </c>
      <c r="F772" s="9" t="s">
        <v>99</v>
      </c>
      <c r="G772" s="22" t="s">
        <v>6991</v>
      </c>
      <c r="H772" s="9" t="s">
        <v>4298</v>
      </c>
      <c r="I772" s="7"/>
      <c r="J772" s="23" t="s">
        <v>6992</v>
      </c>
      <c r="K772" s="24" t="s">
        <v>6993</v>
      </c>
      <c r="L772" s="22" t="s">
        <v>6994</v>
      </c>
      <c r="M772" s="25"/>
      <c r="N772" s="25"/>
      <c r="O772" s="26"/>
      <c r="P772" s="27"/>
      <c r="Q772" s="28"/>
      <c r="R772" s="28"/>
      <c r="S772" s="26"/>
    </row>
    <row r="773" customFormat="false" ht="15" hidden="false" customHeight="false" outlineLevel="0" collapsed="false">
      <c r="A773" s="7" t="n">
        <v>769</v>
      </c>
      <c r="B773" s="9" t="s">
        <v>34</v>
      </c>
      <c r="C773" s="22" t="s">
        <v>3177</v>
      </c>
      <c r="D773" s="9" t="s">
        <v>3178</v>
      </c>
      <c r="E773" s="9" t="s">
        <v>48</v>
      </c>
      <c r="F773" s="9" t="s">
        <v>124</v>
      </c>
      <c r="G773" s="22" t="s">
        <v>6995</v>
      </c>
      <c r="H773" s="9" t="s">
        <v>4298</v>
      </c>
      <c r="I773" s="7"/>
      <c r="J773" s="23" t="s">
        <v>6996</v>
      </c>
      <c r="K773" s="24" t="s">
        <v>6997</v>
      </c>
      <c r="L773" s="22" t="s">
        <v>6998</v>
      </c>
      <c r="M773" s="25"/>
      <c r="N773" s="25"/>
      <c r="O773" s="26"/>
      <c r="P773" s="27"/>
      <c r="Q773" s="28"/>
      <c r="R773" s="28"/>
      <c r="S773" s="26"/>
    </row>
    <row r="774" customFormat="false" ht="15" hidden="false" customHeight="false" outlineLevel="0" collapsed="false">
      <c r="A774" s="7" t="n">
        <v>770</v>
      </c>
      <c r="B774" s="9" t="s">
        <v>34</v>
      </c>
      <c r="C774" s="22" t="s">
        <v>3177</v>
      </c>
      <c r="D774" s="9" t="s">
        <v>3178</v>
      </c>
      <c r="E774" s="9" t="s">
        <v>48</v>
      </c>
      <c r="F774" s="9" t="s">
        <v>124</v>
      </c>
      <c r="G774" s="22" t="s">
        <v>6999</v>
      </c>
      <c r="H774" s="9" t="s">
        <v>4298</v>
      </c>
      <c r="I774" s="7"/>
      <c r="J774" s="23" t="s">
        <v>7000</v>
      </c>
      <c r="K774" s="24" t="s">
        <v>7001</v>
      </c>
      <c r="L774" s="22" t="s">
        <v>7002</v>
      </c>
      <c r="M774" s="25"/>
      <c r="N774" s="25"/>
      <c r="O774" s="26"/>
      <c r="P774" s="27"/>
      <c r="Q774" s="28"/>
      <c r="R774" s="28"/>
      <c r="S774" s="26"/>
    </row>
    <row r="775" customFormat="false" ht="15" hidden="false" customHeight="false" outlineLevel="0" collapsed="false">
      <c r="A775" s="7" t="n">
        <v>771</v>
      </c>
      <c r="B775" s="9" t="s">
        <v>34</v>
      </c>
      <c r="C775" s="22" t="s">
        <v>3183</v>
      </c>
      <c r="D775" s="9" t="s">
        <v>3184</v>
      </c>
      <c r="E775" s="9" t="s">
        <v>48</v>
      </c>
      <c r="F775" s="9" t="s">
        <v>124</v>
      </c>
      <c r="G775" s="22" t="s">
        <v>7003</v>
      </c>
      <c r="H775" s="9" t="s">
        <v>4298</v>
      </c>
      <c r="I775" s="7"/>
      <c r="J775" s="23" t="s">
        <v>7004</v>
      </c>
      <c r="K775" s="24" t="s">
        <v>7005</v>
      </c>
      <c r="L775" s="22" t="s">
        <v>7006</v>
      </c>
      <c r="M775" s="25"/>
      <c r="N775" s="25"/>
      <c r="O775" s="26"/>
      <c r="P775" s="27"/>
      <c r="Q775" s="28"/>
      <c r="R775" s="28"/>
      <c r="S775" s="26"/>
    </row>
    <row r="776" customFormat="false" ht="15" hidden="false" customHeight="false" outlineLevel="0" collapsed="false">
      <c r="A776" s="7" t="n">
        <v>772</v>
      </c>
      <c r="B776" s="9" t="s">
        <v>34</v>
      </c>
      <c r="C776" s="22" t="s">
        <v>3193</v>
      </c>
      <c r="D776" s="9" t="s">
        <v>3077</v>
      </c>
      <c r="E776" s="9" t="s">
        <v>47</v>
      </c>
      <c r="F776" s="9" t="s">
        <v>99</v>
      </c>
      <c r="G776" s="22" t="s">
        <v>3209</v>
      </c>
      <c r="H776" s="9" t="s">
        <v>4298</v>
      </c>
      <c r="I776" s="7" t="s">
        <v>869</v>
      </c>
      <c r="J776" s="23" t="s">
        <v>3210</v>
      </c>
      <c r="K776" s="24" t="s">
        <v>3211</v>
      </c>
      <c r="L776" s="22" t="s">
        <v>3212</v>
      </c>
      <c r="M776" s="25"/>
      <c r="N776" s="25"/>
      <c r="O776" s="26"/>
      <c r="P776" s="27"/>
      <c r="Q776" s="28"/>
      <c r="R776" s="28"/>
      <c r="S776" s="26"/>
    </row>
    <row r="777" customFormat="false" ht="15" hidden="false" customHeight="false" outlineLevel="0" collapsed="false">
      <c r="A777" s="7" t="n">
        <v>773</v>
      </c>
      <c r="B777" s="9" t="s">
        <v>34</v>
      </c>
      <c r="C777" s="22" t="s">
        <v>3193</v>
      </c>
      <c r="D777" s="9" t="s">
        <v>3077</v>
      </c>
      <c r="E777" s="9" t="s">
        <v>47</v>
      </c>
      <c r="F777" s="9" t="s">
        <v>99</v>
      </c>
      <c r="G777" s="22" t="s">
        <v>7007</v>
      </c>
      <c r="H777" s="9" t="s">
        <v>4298</v>
      </c>
      <c r="I777" s="7"/>
      <c r="J777" s="23" t="s">
        <v>7008</v>
      </c>
      <c r="K777" s="24" t="s">
        <v>7009</v>
      </c>
      <c r="L777" s="22" t="s">
        <v>7010</v>
      </c>
      <c r="M777" s="25"/>
      <c r="N777" s="25"/>
      <c r="O777" s="26"/>
      <c r="P777" s="27"/>
      <c r="Q777" s="28"/>
      <c r="R777" s="28"/>
      <c r="S777" s="26"/>
    </row>
    <row r="778" customFormat="false" ht="15" hidden="false" customHeight="false" outlineLevel="0" collapsed="false">
      <c r="A778" s="7" t="n">
        <v>774</v>
      </c>
      <c r="B778" s="9" t="s">
        <v>34</v>
      </c>
      <c r="C778" s="22" t="s">
        <v>3193</v>
      </c>
      <c r="D778" s="9" t="s">
        <v>3077</v>
      </c>
      <c r="E778" s="9" t="s">
        <v>47</v>
      </c>
      <c r="F778" s="9" t="s">
        <v>99</v>
      </c>
      <c r="G778" s="22" t="s">
        <v>7011</v>
      </c>
      <c r="H778" s="9" t="s">
        <v>4298</v>
      </c>
      <c r="I778" s="7"/>
      <c r="J778" s="23" t="s">
        <v>7012</v>
      </c>
      <c r="K778" s="24" t="s">
        <v>7013</v>
      </c>
      <c r="L778" s="22" t="s">
        <v>7014</v>
      </c>
      <c r="M778" s="25"/>
      <c r="N778" s="25"/>
      <c r="O778" s="26"/>
      <c r="P778" s="27"/>
      <c r="Q778" s="28"/>
      <c r="R778" s="28"/>
      <c r="S778" s="26"/>
    </row>
    <row r="779" customFormat="false" ht="15" hidden="false" customHeight="false" outlineLevel="0" collapsed="false">
      <c r="A779" s="7" t="n">
        <v>775</v>
      </c>
      <c r="B779" s="9" t="s">
        <v>34</v>
      </c>
      <c r="C779" s="22" t="s">
        <v>3193</v>
      </c>
      <c r="D779" s="9" t="s">
        <v>3077</v>
      </c>
      <c r="E779" s="9" t="s">
        <v>48</v>
      </c>
      <c r="F779" s="9" t="s">
        <v>99</v>
      </c>
      <c r="G779" s="22" t="s">
        <v>7015</v>
      </c>
      <c r="H779" s="9" t="s">
        <v>4298</v>
      </c>
      <c r="I779" s="7"/>
      <c r="J779" s="23" t="s">
        <v>7016</v>
      </c>
      <c r="K779" s="24" t="s">
        <v>7017</v>
      </c>
      <c r="L779" s="22" t="s">
        <v>7018</v>
      </c>
      <c r="M779" s="25"/>
      <c r="N779" s="25"/>
      <c r="O779" s="26"/>
      <c r="P779" s="27"/>
      <c r="Q779" s="28"/>
      <c r="R779" s="28"/>
      <c r="S779" s="26"/>
    </row>
    <row r="780" customFormat="false" ht="15" hidden="false" customHeight="false" outlineLevel="0" collapsed="false">
      <c r="A780" s="7" t="n">
        <v>776</v>
      </c>
      <c r="B780" s="9" t="s">
        <v>34</v>
      </c>
      <c r="C780" s="22" t="s">
        <v>3193</v>
      </c>
      <c r="D780" s="9" t="s">
        <v>3077</v>
      </c>
      <c r="E780" s="9" t="s">
        <v>48</v>
      </c>
      <c r="F780" s="9" t="s">
        <v>124</v>
      </c>
      <c r="G780" s="22" t="s">
        <v>7019</v>
      </c>
      <c r="H780" s="9" t="s">
        <v>4298</v>
      </c>
      <c r="I780" s="7"/>
      <c r="J780" s="23" t="s">
        <v>7020</v>
      </c>
      <c r="K780" s="24" t="s">
        <v>7021</v>
      </c>
      <c r="L780" s="22" t="s">
        <v>7022</v>
      </c>
      <c r="M780" s="25"/>
      <c r="N780" s="25"/>
      <c r="O780" s="26"/>
      <c r="P780" s="27"/>
      <c r="Q780" s="28"/>
      <c r="R780" s="28"/>
      <c r="S780" s="26"/>
    </row>
    <row r="781" customFormat="false" ht="15" hidden="false" customHeight="false" outlineLevel="0" collapsed="false">
      <c r="A781" s="7" t="n">
        <v>777</v>
      </c>
      <c r="B781" s="9" t="s">
        <v>34</v>
      </c>
      <c r="C781" s="22" t="s">
        <v>3193</v>
      </c>
      <c r="D781" s="9" t="s">
        <v>3077</v>
      </c>
      <c r="E781" s="9" t="s">
        <v>48</v>
      </c>
      <c r="F781" s="9" t="s">
        <v>99</v>
      </c>
      <c r="G781" s="22" t="s">
        <v>7023</v>
      </c>
      <c r="H781" s="9" t="s">
        <v>4298</v>
      </c>
      <c r="I781" s="7"/>
      <c r="J781" s="23" t="s">
        <v>7024</v>
      </c>
      <c r="K781" s="24" t="s">
        <v>7025</v>
      </c>
      <c r="L781" s="22" t="s">
        <v>7026</v>
      </c>
      <c r="M781" s="25"/>
      <c r="N781" s="25"/>
      <c r="O781" s="26"/>
      <c r="P781" s="27"/>
      <c r="Q781" s="28"/>
      <c r="R781" s="28"/>
      <c r="S781" s="26"/>
    </row>
    <row r="782" customFormat="false" ht="15" hidden="false" customHeight="false" outlineLevel="0" collapsed="false">
      <c r="A782" s="7" t="n">
        <v>778</v>
      </c>
      <c r="B782" s="9" t="s">
        <v>34</v>
      </c>
      <c r="C782" s="22" t="s">
        <v>3225</v>
      </c>
      <c r="D782" s="9" t="s">
        <v>3082</v>
      </c>
      <c r="E782" s="9" t="s">
        <v>47</v>
      </c>
      <c r="F782" s="9" t="s">
        <v>99</v>
      </c>
      <c r="G782" s="22" t="s">
        <v>3226</v>
      </c>
      <c r="H782" s="9" t="s">
        <v>4298</v>
      </c>
      <c r="I782" s="7" t="s">
        <v>869</v>
      </c>
      <c r="J782" s="23" t="s">
        <v>3227</v>
      </c>
      <c r="K782" s="24" t="s">
        <v>3228</v>
      </c>
      <c r="L782" s="22" t="s">
        <v>3229</v>
      </c>
      <c r="M782" s="25"/>
      <c r="N782" s="25"/>
      <c r="O782" s="26"/>
      <c r="P782" s="27"/>
      <c r="Q782" s="28"/>
      <c r="R782" s="28"/>
      <c r="S782" s="26"/>
    </row>
    <row r="783" customFormat="false" ht="15" hidden="false" customHeight="false" outlineLevel="0" collapsed="false">
      <c r="A783" s="7" t="n">
        <v>779</v>
      </c>
      <c r="B783" s="9" t="s">
        <v>34</v>
      </c>
      <c r="C783" s="22" t="s">
        <v>3225</v>
      </c>
      <c r="D783" s="9" t="s">
        <v>3082</v>
      </c>
      <c r="E783" s="9" t="s">
        <v>47</v>
      </c>
      <c r="F783" s="9" t="s">
        <v>99</v>
      </c>
      <c r="G783" s="22" t="s">
        <v>7027</v>
      </c>
      <c r="H783" s="9" t="s">
        <v>4298</v>
      </c>
      <c r="I783" s="7"/>
      <c r="J783" s="23" t="s">
        <v>7028</v>
      </c>
      <c r="K783" s="24" t="s">
        <v>7029</v>
      </c>
      <c r="L783" s="22" t="s">
        <v>7030</v>
      </c>
      <c r="M783" s="25"/>
      <c r="N783" s="25"/>
      <c r="O783" s="26"/>
      <c r="P783" s="27"/>
      <c r="Q783" s="28"/>
      <c r="R783" s="28"/>
      <c r="S783" s="26"/>
    </row>
    <row r="784" customFormat="false" ht="15" hidden="false" customHeight="false" outlineLevel="0" collapsed="false">
      <c r="A784" s="7" t="n">
        <v>780</v>
      </c>
      <c r="B784" s="9" t="s">
        <v>34</v>
      </c>
      <c r="C784" s="22" t="s">
        <v>3225</v>
      </c>
      <c r="D784" s="9" t="s">
        <v>3082</v>
      </c>
      <c r="E784" s="9" t="s">
        <v>47</v>
      </c>
      <c r="F784" s="9" t="s">
        <v>99</v>
      </c>
      <c r="G784" s="22" t="s">
        <v>7031</v>
      </c>
      <c r="H784" s="9" t="s">
        <v>4298</v>
      </c>
      <c r="I784" s="7"/>
      <c r="J784" s="23" t="s">
        <v>7032</v>
      </c>
      <c r="K784" s="24" t="s">
        <v>7033</v>
      </c>
      <c r="L784" s="22" t="s">
        <v>7034</v>
      </c>
      <c r="M784" s="25"/>
      <c r="N784" s="25"/>
      <c r="O784" s="26"/>
      <c r="P784" s="27"/>
      <c r="Q784" s="28"/>
      <c r="R784" s="28"/>
      <c r="S784" s="26"/>
    </row>
    <row r="785" customFormat="false" ht="15" hidden="false" customHeight="false" outlineLevel="0" collapsed="false">
      <c r="A785" s="7" t="n">
        <v>781</v>
      </c>
      <c r="B785" s="9" t="s">
        <v>34</v>
      </c>
      <c r="C785" s="22" t="s">
        <v>3225</v>
      </c>
      <c r="D785" s="9" t="s">
        <v>3082</v>
      </c>
      <c r="E785" s="9" t="s">
        <v>47</v>
      </c>
      <c r="F785" s="9" t="s">
        <v>99</v>
      </c>
      <c r="G785" s="22" t="s">
        <v>3238</v>
      </c>
      <c r="H785" s="9" t="s">
        <v>4298</v>
      </c>
      <c r="I785" s="7" t="s">
        <v>869</v>
      </c>
      <c r="J785" s="23" t="s">
        <v>3239</v>
      </c>
      <c r="K785" s="24" t="s">
        <v>3240</v>
      </c>
      <c r="L785" s="22" t="s">
        <v>3241</v>
      </c>
      <c r="M785" s="25"/>
      <c r="N785" s="25"/>
      <c r="O785" s="26"/>
      <c r="P785" s="27"/>
      <c r="Q785" s="28"/>
      <c r="R785" s="28"/>
      <c r="S785" s="26"/>
    </row>
    <row r="786" customFormat="false" ht="15" hidden="false" customHeight="false" outlineLevel="0" collapsed="false">
      <c r="A786" s="7" t="n">
        <v>782</v>
      </c>
      <c r="B786" s="9" t="s">
        <v>34</v>
      </c>
      <c r="C786" s="22" t="s">
        <v>3225</v>
      </c>
      <c r="D786" s="9" t="s">
        <v>3082</v>
      </c>
      <c r="E786" s="9" t="s">
        <v>47</v>
      </c>
      <c r="F786" s="9" t="s">
        <v>99</v>
      </c>
      <c r="G786" s="22" t="s">
        <v>7035</v>
      </c>
      <c r="H786" s="9" t="s">
        <v>4298</v>
      </c>
      <c r="I786" s="7"/>
      <c r="J786" s="23" t="s">
        <v>7036</v>
      </c>
      <c r="K786" s="24" t="s">
        <v>7037</v>
      </c>
      <c r="L786" s="22" t="s">
        <v>7038</v>
      </c>
      <c r="M786" s="25"/>
      <c r="N786" s="25"/>
      <c r="O786" s="26"/>
      <c r="P786" s="27"/>
      <c r="Q786" s="28"/>
      <c r="R786" s="28"/>
      <c r="S786" s="26"/>
    </row>
    <row r="787" customFormat="false" ht="15" hidden="false" customHeight="false" outlineLevel="0" collapsed="false">
      <c r="A787" s="7" t="n">
        <v>783</v>
      </c>
      <c r="B787" s="9" t="s">
        <v>34</v>
      </c>
      <c r="C787" s="22" t="s">
        <v>3225</v>
      </c>
      <c r="D787" s="9" t="s">
        <v>3082</v>
      </c>
      <c r="E787" s="9" t="s">
        <v>47</v>
      </c>
      <c r="F787" s="9" t="s">
        <v>99</v>
      </c>
      <c r="G787" s="22" t="s">
        <v>3242</v>
      </c>
      <c r="H787" s="9" t="s">
        <v>4298</v>
      </c>
      <c r="I787" s="7" t="s">
        <v>869</v>
      </c>
      <c r="J787" s="23" t="s">
        <v>3243</v>
      </c>
      <c r="K787" s="24" t="s">
        <v>3244</v>
      </c>
      <c r="L787" s="22" t="s">
        <v>3245</v>
      </c>
      <c r="M787" s="25"/>
      <c r="N787" s="25"/>
      <c r="O787" s="26"/>
      <c r="P787" s="27"/>
      <c r="Q787" s="28"/>
      <c r="R787" s="28"/>
      <c r="S787" s="26"/>
    </row>
    <row r="788" customFormat="false" ht="15" hidden="false" customHeight="false" outlineLevel="0" collapsed="false">
      <c r="A788" s="7" t="n">
        <v>784</v>
      </c>
      <c r="B788" s="9" t="s">
        <v>34</v>
      </c>
      <c r="C788" s="22" t="s">
        <v>3225</v>
      </c>
      <c r="D788" s="9" t="s">
        <v>3082</v>
      </c>
      <c r="E788" s="9" t="s">
        <v>47</v>
      </c>
      <c r="F788" s="9" t="s">
        <v>99</v>
      </c>
      <c r="G788" s="22" t="s">
        <v>3246</v>
      </c>
      <c r="H788" s="9" t="s">
        <v>4298</v>
      </c>
      <c r="I788" s="7" t="s">
        <v>869</v>
      </c>
      <c r="J788" s="23" t="s">
        <v>3247</v>
      </c>
      <c r="K788" s="24" t="s">
        <v>3248</v>
      </c>
      <c r="L788" s="22" t="s">
        <v>3249</v>
      </c>
      <c r="M788" s="25"/>
      <c r="N788" s="25"/>
      <c r="O788" s="26"/>
      <c r="P788" s="27"/>
      <c r="Q788" s="28"/>
      <c r="R788" s="28"/>
      <c r="S788" s="26"/>
    </row>
    <row r="789" customFormat="false" ht="15" hidden="false" customHeight="false" outlineLevel="0" collapsed="false">
      <c r="A789" s="7" t="n">
        <v>785</v>
      </c>
      <c r="B789" s="9" t="s">
        <v>34</v>
      </c>
      <c r="C789" s="22" t="s">
        <v>3225</v>
      </c>
      <c r="D789" s="9" t="s">
        <v>3082</v>
      </c>
      <c r="E789" s="9" t="s">
        <v>48</v>
      </c>
      <c r="F789" s="9" t="s">
        <v>124</v>
      </c>
      <c r="G789" s="22" t="s">
        <v>3254</v>
      </c>
      <c r="H789" s="9" t="s">
        <v>4298</v>
      </c>
      <c r="I789" s="7" t="s">
        <v>869</v>
      </c>
      <c r="J789" s="23" t="s">
        <v>3255</v>
      </c>
      <c r="K789" s="24" t="s">
        <v>3256</v>
      </c>
      <c r="L789" s="22" t="s">
        <v>3257</v>
      </c>
      <c r="M789" s="25"/>
      <c r="N789" s="25"/>
      <c r="O789" s="26"/>
      <c r="P789" s="27"/>
      <c r="Q789" s="28"/>
      <c r="R789" s="28"/>
      <c r="S789" s="26"/>
    </row>
    <row r="790" customFormat="false" ht="15" hidden="false" customHeight="false" outlineLevel="0" collapsed="false">
      <c r="A790" s="7" t="n">
        <v>786</v>
      </c>
      <c r="B790" s="9" t="s">
        <v>34</v>
      </c>
      <c r="C790" s="22" t="s">
        <v>3225</v>
      </c>
      <c r="D790" s="9" t="s">
        <v>3082</v>
      </c>
      <c r="E790" s="9" t="s">
        <v>48</v>
      </c>
      <c r="F790" s="9" t="s">
        <v>99</v>
      </c>
      <c r="G790" s="22" t="s">
        <v>7039</v>
      </c>
      <c r="H790" s="9" t="s">
        <v>4298</v>
      </c>
      <c r="I790" s="7"/>
      <c r="J790" s="23" t="s">
        <v>7040</v>
      </c>
      <c r="K790" s="24" t="s">
        <v>7041</v>
      </c>
      <c r="L790" s="22" t="s">
        <v>7042</v>
      </c>
      <c r="M790" s="25"/>
      <c r="N790" s="25"/>
      <c r="O790" s="26"/>
      <c r="P790" s="27"/>
      <c r="Q790" s="28"/>
      <c r="R790" s="28"/>
      <c r="S790" s="26"/>
    </row>
    <row r="791" customFormat="false" ht="15" hidden="false" customHeight="false" outlineLevel="0" collapsed="false">
      <c r="A791" s="7" t="n">
        <v>787</v>
      </c>
      <c r="B791" s="9" t="s">
        <v>34</v>
      </c>
      <c r="C791" s="22" t="s">
        <v>3225</v>
      </c>
      <c r="D791" s="9" t="s">
        <v>3082</v>
      </c>
      <c r="E791" s="9" t="s">
        <v>48</v>
      </c>
      <c r="F791" s="9" t="s">
        <v>99</v>
      </c>
      <c r="G791" s="22" t="s">
        <v>7043</v>
      </c>
      <c r="H791" s="9" t="s">
        <v>4298</v>
      </c>
      <c r="I791" s="7"/>
      <c r="J791" s="23" t="s">
        <v>7044</v>
      </c>
      <c r="K791" s="24" t="s">
        <v>7045</v>
      </c>
      <c r="L791" s="22" t="s">
        <v>7046</v>
      </c>
      <c r="M791" s="25"/>
      <c r="N791" s="25"/>
      <c r="O791" s="26"/>
      <c r="P791" s="27"/>
      <c r="Q791" s="28"/>
      <c r="R791" s="28"/>
      <c r="S791" s="26"/>
    </row>
    <row r="792" customFormat="false" ht="15" hidden="false" customHeight="false" outlineLevel="0" collapsed="false">
      <c r="A792" s="7" t="n">
        <v>788</v>
      </c>
      <c r="B792" s="9" t="s">
        <v>34</v>
      </c>
      <c r="C792" s="22" t="s">
        <v>3225</v>
      </c>
      <c r="D792" s="9" t="s">
        <v>3082</v>
      </c>
      <c r="E792" s="9" t="s">
        <v>48</v>
      </c>
      <c r="F792" s="9" t="s">
        <v>124</v>
      </c>
      <c r="G792" s="22" t="s">
        <v>3258</v>
      </c>
      <c r="H792" s="9" t="s">
        <v>4298</v>
      </c>
      <c r="I792" s="7" t="s">
        <v>869</v>
      </c>
      <c r="J792" s="23" t="s">
        <v>3259</v>
      </c>
      <c r="K792" s="24" t="s">
        <v>3260</v>
      </c>
      <c r="L792" s="22" t="s">
        <v>3261</v>
      </c>
      <c r="M792" s="25"/>
      <c r="N792" s="25"/>
      <c r="O792" s="26"/>
      <c r="P792" s="27"/>
      <c r="Q792" s="28"/>
      <c r="R792" s="28"/>
      <c r="S792" s="26"/>
    </row>
    <row r="793" customFormat="false" ht="15" hidden="false" customHeight="false" outlineLevel="0" collapsed="false">
      <c r="A793" s="7" t="n">
        <v>789</v>
      </c>
      <c r="B793" s="9" t="s">
        <v>34</v>
      </c>
      <c r="C793" s="22" t="s">
        <v>3225</v>
      </c>
      <c r="D793" s="9" t="s">
        <v>3082</v>
      </c>
      <c r="E793" s="9" t="s">
        <v>48</v>
      </c>
      <c r="F793" s="9" t="s">
        <v>99</v>
      </c>
      <c r="G793" s="22" t="s">
        <v>7047</v>
      </c>
      <c r="H793" s="9" t="s">
        <v>4298</v>
      </c>
      <c r="I793" s="7"/>
      <c r="J793" s="23" t="s">
        <v>7048</v>
      </c>
      <c r="K793" s="24" t="s">
        <v>7049</v>
      </c>
      <c r="L793" s="22" t="s">
        <v>7050</v>
      </c>
      <c r="M793" s="25"/>
      <c r="N793" s="25"/>
      <c r="O793" s="26"/>
      <c r="P793" s="27"/>
      <c r="Q793" s="28"/>
      <c r="R793" s="28"/>
      <c r="S793" s="26"/>
    </row>
    <row r="794" customFormat="false" ht="15" hidden="false" customHeight="false" outlineLevel="0" collapsed="false">
      <c r="A794" s="7" t="n">
        <v>790</v>
      </c>
      <c r="B794" s="9" t="s">
        <v>34</v>
      </c>
      <c r="C794" s="22" t="s">
        <v>3262</v>
      </c>
      <c r="D794" s="9" t="s">
        <v>3263</v>
      </c>
      <c r="E794" s="9" t="s">
        <v>47</v>
      </c>
      <c r="F794" s="9" t="s">
        <v>99</v>
      </c>
      <c r="G794" s="22" t="s">
        <v>7051</v>
      </c>
      <c r="H794" s="9" t="s">
        <v>4298</v>
      </c>
      <c r="I794" s="7"/>
      <c r="J794" s="23" t="s">
        <v>7052</v>
      </c>
      <c r="K794" s="24" t="s">
        <v>7053</v>
      </c>
      <c r="L794" s="22" t="s">
        <v>7054</v>
      </c>
      <c r="M794" s="25"/>
      <c r="N794" s="25"/>
      <c r="O794" s="26"/>
      <c r="P794" s="27"/>
      <c r="Q794" s="28"/>
      <c r="R794" s="28"/>
      <c r="S794" s="26"/>
    </row>
    <row r="795" customFormat="false" ht="15" hidden="false" customHeight="false" outlineLevel="0" collapsed="false">
      <c r="A795" s="7" t="n">
        <v>791</v>
      </c>
      <c r="B795" s="9" t="s">
        <v>34</v>
      </c>
      <c r="C795" s="22" t="s">
        <v>3262</v>
      </c>
      <c r="D795" s="9" t="s">
        <v>3263</v>
      </c>
      <c r="E795" s="9" t="s">
        <v>47</v>
      </c>
      <c r="F795" s="9" t="s">
        <v>99</v>
      </c>
      <c r="G795" s="22" t="s">
        <v>7055</v>
      </c>
      <c r="H795" s="9" t="s">
        <v>4298</v>
      </c>
      <c r="I795" s="7"/>
      <c r="J795" s="23" t="s">
        <v>7056</v>
      </c>
      <c r="K795" s="24" t="s">
        <v>7057</v>
      </c>
      <c r="L795" s="22" t="s">
        <v>7058</v>
      </c>
      <c r="M795" s="25"/>
      <c r="N795" s="25"/>
      <c r="O795" s="26"/>
      <c r="P795" s="27"/>
      <c r="Q795" s="28"/>
      <c r="R795" s="28"/>
      <c r="S795" s="26"/>
    </row>
    <row r="796" customFormat="false" ht="15" hidden="false" customHeight="false" outlineLevel="0" collapsed="false">
      <c r="A796" s="7" t="n">
        <v>792</v>
      </c>
      <c r="B796" s="9" t="s">
        <v>34</v>
      </c>
      <c r="C796" s="22" t="s">
        <v>3268</v>
      </c>
      <c r="D796" s="9" t="s">
        <v>3269</v>
      </c>
      <c r="E796" s="9" t="s">
        <v>47</v>
      </c>
      <c r="F796" s="9" t="s">
        <v>99</v>
      </c>
      <c r="G796" s="22" t="s">
        <v>3270</v>
      </c>
      <c r="H796" s="9" t="s">
        <v>4298</v>
      </c>
      <c r="I796" s="7" t="s">
        <v>869</v>
      </c>
      <c r="J796" s="23" t="s">
        <v>3271</v>
      </c>
      <c r="K796" s="24" t="s">
        <v>3272</v>
      </c>
      <c r="L796" s="22" t="s">
        <v>3273</v>
      </c>
      <c r="M796" s="25"/>
      <c r="N796" s="25"/>
      <c r="O796" s="26"/>
      <c r="P796" s="27"/>
      <c r="Q796" s="28"/>
      <c r="R796" s="28"/>
      <c r="S796" s="26"/>
    </row>
    <row r="797" customFormat="false" ht="15" hidden="false" customHeight="false" outlineLevel="0" collapsed="false">
      <c r="A797" s="7" t="n">
        <v>793</v>
      </c>
      <c r="B797" s="9" t="s">
        <v>34</v>
      </c>
      <c r="C797" s="22" t="s">
        <v>3274</v>
      </c>
      <c r="D797" s="9" t="s">
        <v>3091</v>
      </c>
      <c r="E797" s="9" t="s">
        <v>47</v>
      </c>
      <c r="F797" s="9" t="s">
        <v>99</v>
      </c>
      <c r="G797" s="22" t="s">
        <v>7059</v>
      </c>
      <c r="H797" s="9" t="s">
        <v>4298</v>
      </c>
      <c r="I797" s="7"/>
      <c r="J797" s="23" t="s">
        <v>7060</v>
      </c>
      <c r="K797" s="24" t="s">
        <v>7061</v>
      </c>
      <c r="L797" s="22" t="s">
        <v>7062</v>
      </c>
      <c r="M797" s="25"/>
      <c r="N797" s="25"/>
      <c r="O797" s="26"/>
      <c r="P797" s="27"/>
      <c r="Q797" s="28"/>
      <c r="R797" s="28"/>
      <c r="S797" s="26"/>
    </row>
    <row r="798" customFormat="false" ht="15" hidden="false" customHeight="false" outlineLevel="0" collapsed="false">
      <c r="A798" s="7" t="n">
        <v>794</v>
      </c>
      <c r="B798" s="9" t="s">
        <v>34</v>
      </c>
      <c r="C798" s="22" t="s">
        <v>3274</v>
      </c>
      <c r="D798" s="9" t="s">
        <v>3091</v>
      </c>
      <c r="E798" s="9" t="s">
        <v>47</v>
      </c>
      <c r="F798" s="9" t="s">
        <v>99</v>
      </c>
      <c r="G798" s="22" t="s">
        <v>7063</v>
      </c>
      <c r="H798" s="9" t="s">
        <v>4298</v>
      </c>
      <c r="I798" s="7"/>
      <c r="J798" s="23" t="s">
        <v>7064</v>
      </c>
      <c r="K798" s="24" t="s">
        <v>7065</v>
      </c>
      <c r="L798" s="22" t="s">
        <v>7066</v>
      </c>
      <c r="M798" s="25"/>
      <c r="N798" s="25"/>
      <c r="O798" s="26"/>
      <c r="P798" s="27"/>
      <c r="Q798" s="28"/>
      <c r="R798" s="28"/>
      <c r="S798" s="26"/>
    </row>
    <row r="799" customFormat="false" ht="15" hidden="false" customHeight="false" outlineLevel="0" collapsed="false">
      <c r="A799" s="7" t="n">
        <v>795</v>
      </c>
      <c r="B799" s="9" t="s">
        <v>34</v>
      </c>
      <c r="C799" s="22" t="s">
        <v>3274</v>
      </c>
      <c r="D799" s="9" t="s">
        <v>3091</v>
      </c>
      <c r="E799" s="9" t="s">
        <v>47</v>
      </c>
      <c r="F799" s="9" t="s">
        <v>99</v>
      </c>
      <c r="G799" s="22" t="s">
        <v>7067</v>
      </c>
      <c r="H799" s="9" t="s">
        <v>4298</v>
      </c>
      <c r="I799" s="7"/>
      <c r="J799" s="23" t="s">
        <v>7068</v>
      </c>
      <c r="K799" s="24" t="s">
        <v>7069</v>
      </c>
      <c r="L799" s="22" t="s">
        <v>7070</v>
      </c>
      <c r="M799" s="25"/>
      <c r="N799" s="25"/>
      <c r="O799" s="26"/>
      <c r="P799" s="27"/>
      <c r="Q799" s="28"/>
      <c r="R799" s="28"/>
      <c r="S799" s="26"/>
    </row>
    <row r="800" customFormat="false" ht="15" hidden="false" customHeight="false" outlineLevel="0" collapsed="false">
      <c r="A800" s="7" t="n">
        <v>796</v>
      </c>
      <c r="B800" s="9" t="s">
        <v>34</v>
      </c>
      <c r="C800" s="22" t="s">
        <v>3274</v>
      </c>
      <c r="D800" s="9" t="s">
        <v>3091</v>
      </c>
      <c r="E800" s="9" t="s">
        <v>47</v>
      </c>
      <c r="F800" s="9" t="s">
        <v>99</v>
      </c>
      <c r="G800" s="22" t="s">
        <v>7071</v>
      </c>
      <c r="H800" s="9" t="s">
        <v>4298</v>
      </c>
      <c r="I800" s="7"/>
      <c r="J800" s="23" t="s">
        <v>7072</v>
      </c>
      <c r="K800" s="24" t="s">
        <v>7073</v>
      </c>
      <c r="L800" s="22" t="s">
        <v>7074</v>
      </c>
      <c r="M800" s="25"/>
      <c r="N800" s="25"/>
      <c r="O800" s="26"/>
      <c r="P800" s="27"/>
      <c r="Q800" s="28"/>
      <c r="R800" s="28"/>
      <c r="S800" s="26"/>
    </row>
    <row r="801" customFormat="false" ht="15" hidden="false" customHeight="false" outlineLevel="0" collapsed="false">
      <c r="A801" s="7" t="n">
        <v>797</v>
      </c>
      <c r="B801" s="9" t="s">
        <v>34</v>
      </c>
      <c r="C801" s="22" t="s">
        <v>3274</v>
      </c>
      <c r="D801" s="9" t="s">
        <v>3091</v>
      </c>
      <c r="E801" s="9" t="s">
        <v>47</v>
      </c>
      <c r="F801" s="9" t="s">
        <v>99</v>
      </c>
      <c r="G801" s="22" t="s">
        <v>7075</v>
      </c>
      <c r="H801" s="9" t="s">
        <v>4298</v>
      </c>
      <c r="I801" s="7"/>
      <c r="J801" s="23" t="s">
        <v>7076</v>
      </c>
      <c r="K801" s="24" t="s">
        <v>7077</v>
      </c>
      <c r="L801" s="22" t="s">
        <v>7078</v>
      </c>
      <c r="M801" s="25"/>
      <c r="N801" s="25"/>
      <c r="O801" s="26"/>
      <c r="P801" s="27"/>
      <c r="Q801" s="28"/>
      <c r="R801" s="28"/>
      <c r="S801" s="26"/>
    </row>
    <row r="802" customFormat="false" ht="15" hidden="false" customHeight="false" outlineLevel="0" collapsed="false">
      <c r="A802" s="7" t="n">
        <v>798</v>
      </c>
      <c r="B802" s="9" t="s">
        <v>34</v>
      </c>
      <c r="C802" s="22" t="s">
        <v>3274</v>
      </c>
      <c r="D802" s="9" t="s">
        <v>3091</v>
      </c>
      <c r="E802" s="9" t="s">
        <v>47</v>
      </c>
      <c r="F802" s="9" t="s">
        <v>99</v>
      </c>
      <c r="G802" s="22" t="s">
        <v>3295</v>
      </c>
      <c r="H802" s="9" t="s">
        <v>4298</v>
      </c>
      <c r="I802" s="7" t="s">
        <v>869</v>
      </c>
      <c r="J802" s="23" t="s">
        <v>3296</v>
      </c>
      <c r="K802" s="24" t="s">
        <v>3297</v>
      </c>
      <c r="L802" s="22" t="s">
        <v>3298</v>
      </c>
      <c r="M802" s="25"/>
      <c r="N802" s="25"/>
      <c r="O802" s="26"/>
      <c r="P802" s="27"/>
      <c r="Q802" s="28"/>
      <c r="R802" s="28"/>
      <c r="S802" s="26"/>
    </row>
    <row r="803" customFormat="false" ht="15" hidden="false" customHeight="false" outlineLevel="0" collapsed="false">
      <c r="A803" s="7" t="n">
        <v>799</v>
      </c>
      <c r="B803" s="9" t="s">
        <v>34</v>
      </c>
      <c r="C803" s="22" t="s">
        <v>3274</v>
      </c>
      <c r="D803" s="9" t="s">
        <v>3091</v>
      </c>
      <c r="E803" s="9" t="s">
        <v>47</v>
      </c>
      <c r="F803" s="9" t="s">
        <v>99</v>
      </c>
      <c r="G803" s="22" t="s">
        <v>7079</v>
      </c>
      <c r="H803" s="9" t="s">
        <v>4298</v>
      </c>
      <c r="I803" s="7"/>
      <c r="J803" s="23" t="s">
        <v>7080</v>
      </c>
      <c r="K803" s="24" t="s">
        <v>7081</v>
      </c>
      <c r="L803" s="22" t="s">
        <v>7082</v>
      </c>
      <c r="M803" s="25"/>
      <c r="N803" s="25"/>
      <c r="O803" s="26"/>
      <c r="P803" s="27"/>
      <c r="Q803" s="28"/>
      <c r="R803" s="28"/>
      <c r="S803" s="26"/>
    </row>
    <row r="804" customFormat="false" ht="15" hidden="false" customHeight="false" outlineLevel="0" collapsed="false">
      <c r="A804" s="7" t="n">
        <v>800</v>
      </c>
      <c r="B804" s="9" t="s">
        <v>34</v>
      </c>
      <c r="C804" s="22" t="s">
        <v>3274</v>
      </c>
      <c r="D804" s="9" t="s">
        <v>3091</v>
      </c>
      <c r="E804" s="9" t="s">
        <v>47</v>
      </c>
      <c r="F804" s="9" t="s">
        <v>99</v>
      </c>
      <c r="G804" s="22" t="s">
        <v>7083</v>
      </c>
      <c r="H804" s="9" t="s">
        <v>4298</v>
      </c>
      <c r="I804" s="7"/>
      <c r="J804" s="23" t="s">
        <v>7084</v>
      </c>
      <c r="K804" s="24" t="s">
        <v>7085</v>
      </c>
      <c r="L804" s="22" t="s">
        <v>7086</v>
      </c>
      <c r="M804" s="25"/>
      <c r="N804" s="25"/>
      <c r="O804" s="26"/>
      <c r="P804" s="27"/>
      <c r="Q804" s="28"/>
      <c r="R804" s="28"/>
      <c r="S804" s="26"/>
    </row>
    <row r="805" customFormat="false" ht="15" hidden="false" customHeight="false" outlineLevel="0" collapsed="false">
      <c r="A805" s="7" t="n">
        <v>801</v>
      </c>
      <c r="B805" s="9" t="s">
        <v>34</v>
      </c>
      <c r="C805" s="22" t="s">
        <v>3274</v>
      </c>
      <c r="D805" s="9" t="s">
        <v>3091</v>
      </c>
      <c r="E805" s="9" t="s">
        <v>47</v>
      </c>
      <c r="F805" s="9" t="s">
        <v>99</v>
      </c>
      <c r="G805" s="22" t="s">
        <v>7087</v>
      </c>
      <c r="H805" s="9" t="s">
        <v>4298</v>
      </c>
      <c r="I805" s="7"/>
      <c r="J805" s="23" t="s">
        <v>7088</v>
      </c>
      <c r="K805" s="24" t="s">
        <v>7089</v>
      </c>
      <c r="L805" s="22" t="s">
        <v>7090</v>
      </c>
      <c r="M805" s="25"/>
      <c r="N805" s="25"/>
      <c r="O805" s="26"/>
      <c r="P805" s="27"/>
      <c r="Q805" s="28"/>
      <c r="R805" s="28"/>
      <c r="S805" s="26"/>
    </row>
    <row r="806" customFormat="false" ht="15" hidden="false" customHeight="false" outlineLevel="0" collapsed="false">
      <c r="A806" s="7" t="n">
        <v>802</v>
      </c>
      <c r="B806" s="9" t="s">
        <v>34</v>
      </c>
      <c r="C806" s="22" t="s">
        <v>3274</v>
      </c>
      <c r="D806" s="9" t="s">
        <v>3091</v>
      </c>
      <c r="E806" s="9" t="s">
        <v>47</v>
      </c>
      <c r="F806" s="9" t="s">
        <v>99</v>
      </c>
      <c r="G806" s="22" t="s">
        <v>7091</v>
      </c>
      <c r="H806" s="9" t="s">
        <v>4298</v>
      </c>
      <c r="I806" s="7"/>
      <c r="J806" s="23" t="s">
        <v>7092</v>
      </c>
      <c r="K806" s="24" t="s">
        <v>7093</v>
      </c>
      <c r="L806" s="22" t="s">
        <v>7094</v>
      </c>
      <c r="M806" s="25"/>
      <c r="N806" s="25"/>
      <c r="O806" s="26"/>
      <c r="P806" s="27"/>
      <c r="Q806" s="28"/>
      <c r="R806" s="28"/>
      <c r="S806" s="26"/>
    </row>
    <row r="807" customFormat="false" ht="15" hidden="false" customHeight="false" outlineLevel="0" collapsed="false">
      <c r="A807" s="7" t="n">
        <v>803</v>
      </c>
      <c r="B807" s="9" t="s">
        <v>34</v>
      </c>
      <c r="C807" s="22" t="s">
        <v>3274</v>
      </c>
      <c r="D807" s="9" t="s">
        <v>3091</v>
      </c>
      <c r="E807" s="9" t="s">
        <v>47</v>
      </c>
      <c r="F807" s="9" t="s">
        <v>99</v>
      </c>
      <c r="G807" s="22" t="s">
        <v>3331</v>
      </c>
      <c r="H807" s="9" t="s">
        <v>4298</v>
      </c>
      <c r="I807" s="7" t="s">
        <v>869</v>
      </c>
      <c r="J807" s="23" t="s">
        <v>3332</v>
      </c>
      <c r="K807" s="24" t="s">
        <v>3333</v>
      </c>
      <c r="L807" s="22" t="s">
        <v>3334</v>
      </c>
      <c r="M807" s="25"/>
      <c r="N807" s="25"/>
      <c r="O807" s="26"/>
      <c r="P807" s="27"/>
      <c r="Q807" s="28"/>
      <c r="R807" s="28"/>
      <c r="S807" s="26"/>
    </row>
    <row r="808" customFormat="false" ht="15" hidden="false" customHeight="false" outlineLevel="0" collapsed="false">
      <c r="A808" s="7" t="n">
        <v>804</v>
      </c>
      <c r="B808" s="9" t="s">
        <v>34</v>
      </c>
      <c r="C808" s="22" t="s">
        <v>3274</v>
      </c>
      <c r="D808" s="9" t="s">
        <v>3091</v>
      </c>
      <c r="E808" s="9" t="s">
        <v>47</v>
      </c>
      <c r="F808" s="9" t="s">
        <v>99</v>
      </c>
      <c r="G808" s="22" t="s">
        <v>3335</v>
      </c>
      <c r="H808" s="9" t="s">
        <v>4298</v>
      </c>
      <c r="I808" s="7" t="s">
        <v>869</v>
      </c>
      <c r="J808" s="23" t="s">
        <v>3336</v>
      </c>
      <c r="K808" s="24" t="s">
        <v>3337</v>
      </c>
      <c r="L808" s="22" t="s">
        <v>3338</v>
      </c>
      <c r="M808" s="25"/>
      <c r="N808" s="25"/>
      <c r="O808" s="26"/>
      <c r="P808" s="27"/>
      <c r="Q808" s="28"/>
      <c r="R808" s="28"/>
      <c r="S808" s="26"/>
    </row>
    <row r="809" customFormat="false" ht="15" hidden="false" customHeight="false" outlineLevel="0" collapsed="false">
      <c r="A809" s="7" t="n">
        <v>805</v>
      </c>
      <c r="B809" s="9" t="s">
        <v>34</v>
      </c>
      <c r="C809" s="22" t="s">
        <v>3274</v>
      </c>
      <c r="D809" s="9" t="s">
        <v>3091</v>
      </c>
      <c r="E809" s="9" t="s">
        <v>47</v>
      </c>
      <c r="F809" s="9" t="s">
        <v>99</v>
      </c>
      <c r="G809" s="22" t="s">
        <v>7095</v>
      </c>
      <c r="H809" s="9" t="s">
        <v>4298</v>
      </c>
      <c r="I809" s="7"/>
      <c r="J809" s="23" t="s">
        <v>7096</v>
      </c>
      <c r="K809" s="24" t="s">
        <v>7097</v>
      </c>
      <c r="L809" s="22" t="s">
        <v>7098</v>
      </c>
      <c r="M809" s="25"/>
      <c r="N809" s="25"/>
      <c r="O809" s="26"/>
      <c r="P809" s="27"/>
      <c r="Q809" s="28"/>
      <c r="R809" s="28"/>
      <c r="S809" s="26"/>
    </row>
    <row r="810" customFormat="false" ht="15" hidden="false" customHeight="false" outlineLevel="0" collapsed="false">
      <c r="A810" s="7" t="n">
        <v>806</v>
      </c>
      <c r="B810" s="9" t="s">
        <v>34</v>
      </c>
      <c r="C810" s="22" t="s">
        <v>3274</v>
      </c>
      <c r="D810" s="9" t="s">
        <v>3091</v>
      </c>
      <c r="E810" s="9" t="s">
        <v>48</v>
      </c>
      <c r="F810" s="9" t="s">
        <v>124</v>
      </c>
      <c r="G810" s="22" t="s">
        <v>7099</v>
      </c>
      <c r="H810" s="9" t="s">
        <v>4298</v>
      </c>
      <c r="I810" s="7"/>
      <c r="J810" s="23" t="s">
        <v>7100</v>
      </c>
      <c r="K810" s="24" t="s">
        <v>7101</v>
      </c>
      <c r="L810" s="22" t="s">
        <v>7102</v>
      </c>
      <c r="M810" s="25"/>
      <c r="N810" s="25"/>
      <c r="O810" s="26"/>
      <c r="P810" s="27"/>
      <c r="Q810" s="28"/>
      <c r="R810" s="28"/>
      <c r="S810" s="26"/>
    </row>
    <row r="811" customFormat="false" ht="15" hidden="false" customHeight="false" outlineLevel="0" collapsed="false">
      <c r="A811" s="7" t="n">
        <v>807</v>
      </c>
      <c r="B811" s="9" t="s">
        <v>34</v>
      </c>
      <c r="C811" s="22" t="s">
        <v>3274</v>
      </c>
      <c r="D811" s="9" t="s">
        <v>3091</v>
      </c>
      <c r="E811" s="9" t="s">
        <v>48</v>
      </c>
      <c r="F811" s="9" t="s">
        <v>99</v>
      </c>
      <c r="G811" s="22" t="s">
        <v>7103</v>
      </c>
      <c r="H811" s="9" t="s">
        <v>4298</v>
      </c>
      <c r="I811" s="7"/>
      <c r="J811" s="23" t="s">
        <v>7104</v>
      </c>
      <c r="K811" s="24" t="s">
        <v>7105</v>
      </c>
      <c r="L811" s="22" t="s">
        <v>7106</v>
      </c>
      <c r="M811" s="25"/>
      <c r="N811" s="25"/>
      <c r="O811" s="26"/>
      <c r="P811" s="27"/>
      <c r="Q811" s="28"/>
      <c r="R811" s="28"/>
      <c r="S811" s="26"/>
    </row>
    <row r="812" customFormat="false" ht="15" hidden="false" customHeight="false" outlineLevel="0" collapsed="false">
      <c r="A812" s="7" t="n">
        <v>808</v>
      </c>
      <c r="B812" s="9" t="s">
        <v>34</v>
      </c>
      <c r="C812" s="22" t="s">
        <v>3274</v>
      </c>
      <c r="D812" s="9" t="s">
        <v>3091</v>
      </c>
      <c r="E812" s="9" t="s">
        <v>48</v>
      </c>
      <c r="F812" s="9" t="s">
        <v>99</v>
      </c>
      <c r="G812" s="22" t="s">
        <v>7107</v>
      </c>
      <c r="H812" s="9" t="s">
        <v>4298</v>
      </c>
      <c r="I812" s="7"/>
      <c r="J812" s="23" t="s">
        <v>7108</v>
      </c>
      <c r="K812" s="24" t="s">
        <v>7109</v>
      </c>
      <c r="L812" s="22" t="s">
        <v>7110</v>
      </c>
      <c r="M812" s="25"/>
      <c r="N812" s="25"/>
      <c r="O812" s="26"/>
      <c r="P812" s="27"/>
      <c r="Q812" s="28"/>
      <c r="R812" s="28"/>
      <c r="S812" s="26"/>
    </row>
    <row r="813" customFormat="false" ht="15" hidden="false" customHeight="false" outlineLevel="0" collapsed="false">
      <c r="A813" s="7" t="n">
        <v>809</v>
      </c>
      <c r="B813" s="9" t="s">
        <v>34</v>
      </c>
      <c r="C813" s="22" t="s">
        <v>3274</v>
      </c>
      <c r="D813" s="9" t="s">
        <v>3091</v>
      </c>
      <c r="E813" s="9" t="s">
        <v>48</v>
      </c>
      <c r="F813" s="9" t="s">
        <v>99</v>
      </c>
      <c r="G813" s="22" t="s">
        <v>7111</v>
      </c>
      <c r="H813" s="9" t="s">
        <v>4298</v>
      </c>
      <c r="I813" s="7"/>
      <c r="J813" s="23" t="s">
        <v>7112</v>
      </c>
      <c r="K813" s="24" t="s">
        <v>7113</v>
      </c>
      <c r="L813" s="22" t="s">
        <v>7114</v>
      </c>
      <c r="M813" s="25"/>
      <c r="N813" s="25"/>
      <c r="O813" s="26"/>
      <c r="P813" s="27"/>
      <c r="Q813" s="28"/>
      <c r="R813" s="28"/>
      <c r="S813" s="26"/>
    </row>
    <row r="814" customFormat="false" ht="15" hidden="false" customHeight="false" outlineLevel="0" collapsed="false">
      <c r="A814" s="7" t="n">
        <v>810</v>
      </c>
      <c r="B814" s="9" t="s">
        <v>34</v>
      </c>
      <c r="C814" s="22" t="s">
        <v>3274</v>
      </c>
      <c r="D814" s="9" t="s">
        <v>3091</v>
      </c>
      <c r="E814" s="9" t="s">
        <v>48</v>
      </c>
      <c r="F814" s="9" t="s">
        <v>124</v>
      </c>
      <c r="G814" s="22" t="s">
        <v>3362</v>
      </c>
      <c r="H814" s="9" t="s">
        <v>4298</v>
      </c>
      <c r="I814" s="7" t="s">
        <v>869</v>
      </c>
      <c r="J814" s="23" t="s">
        <v>3363</v>
      </c>
      <c r="K814" s="24" t="s">
        <v>3364</v>
      </c>
      <c r="L814" s="22" t="s">
        <v>3365</v>
      </c>
      <c r="M814" s="25"/>
      <c r="N814" s="25"/>
      <c r="O814" s="26"/>
      <c r="P814" s="27"/>
      <c r="Q814" s="28"/>
      <c r="R814" s="28"/>
      <c r="S814" s="26"/>
    </row>
    <row r="815" customFormat="false" ht="15" hidden="false" customHeight="false" outlineLevel="0" collapsed="false">
      <c r="A815" s="7" t="n">
        <v>811</v>
      </c>
      <c r="B815" s="9" t="s">
        <v>34</v>
      </c>
      <c r="C815" s="22" t="s">
        <v>3366</v>
      </c>
      <c r="D815" s="9" t="s">
        <v>3116</v>
      </c>
      <c r="E815" s="9" t="s">
        <v>47</v>
      </c>
      <c r="F815" s="9" t="s">
        <v>99</v>
      </c>
      <c r="G815" s="22" t="s">
        <v>7115</v>
      </c>
      <c r="H815" s="9" t="s">
        <v>4298</v>
      </c>
      <c r="I815" s="7"/>
      <c r="J815" s="23" t="s">
        <v>7116</v>
      </c>
      <c r="K815" s="24" t="s">
        <v>7117</v>
      </c>
      <c r="L815" s="22" t="s">
        <v>7118</v>
      </c>
      <c r="M815" s="25"/>
      <c r="N815" s="25"/>
      <c r="O815" s="26"/>
      <c r="P815" s="27"/>
      <c r="Q815" s="28"/>
      <c r="R815" s="28"/>
      <c r="S815" s="26"/>
    </row>
    <row r="816" customFormat="false" ht="15" hidden="false" customHeight="false" outlineLevel="0" collapsed="false">
      <c r="A816" s="7" t="n">
        <v>812</v>
      </c>
      <c r="B816" s="9" t="s">
        <v>34</v>
      </c>
      <c r="C816" s="22" t="s">
        <v>3366</v>
      </c>
      <c r="D816" s="9" t="s">
        <v>3116</v>
      </c>
      <c r="E816" s="9" t="s">
        <v>47</v>
      </c>
      <c r="F816" s="9" t="s">
        <v>99</v>
      </c>
      <c r="G816" s="22" t="s">
        <v>7119</v>
      </c>
      <c r="H816" s="9" t="s">
        <v>4298</v>
      </c>
      <c r="I816" s="7"/>
      <c r="J816" s="23" t="s">
        <v>7120</v>
      </c>
      <c r="K816" s="24" t="s">
        <v>7121</v>
      </c>
      <c r="L816" s="22" t="s">
        <v>7122</v>
      </c>
      <c r="M816" s="25"/>
      <c r="N816" s="25"/>
      <c r="O816" s="26"/>
      <c r="P816" s="27"/>
      <c r="Q816" s="28"/>
      <c r="R816" s="28"/>
      <c r="S816" s="26"/>
    </row>
    <row r="817" customFormat="false" ht="15" hidden="false" customHeight="false" outlineLevel="0" collapsed="false">
      <c r="A817" s="7" t="n">
        <v>813</v>
      </c>
      <c r="B817" s="9" t="s">
        <v>34</v>
      </c>
      <c r="C817" s="22" t="s">
        <v>3366</v>
      </c>
      <c r="D817" s="9" t="s">
        <v>3116</v>
      </c>
      <c r="E817" s="9" t="s">
        <v>47</v>
      </c>
      <c r="F817" s="9" t="s">
        <v>99</v>
      </c>
      <c r="G817" s="22" t="s">
        <v>3536</v>
      </c>
      <c r="H817" s="9" t="s">
        <v>4298</v>
      </c>
      <c r="I817" s="7"/>
      <c r="J817" s="23" t="s">
        <v>7123</v>
      </c>
      <c r="K817" s="24" t="s">
        <v>7124</v>
      </c>
      <c r="L817" s="22" t="s">
        <v>7125</v>
      </c>
      <c r="M817" s="25"/>
      <c r="N817" s="25"/>
      <c r="O817" s="26"/>
      <c r="P817" s="27"/>
      <c r="Q817" s="28"/>
      <c r="R817" s="28"/>
      <c r="S817" s="26"/>
    </row>
    <row r="818" customFormat="false" ht="15" hidden="false" customHeight="false" outlineLevel="0" collapsed="false">
      <c r="A818" s="7" t="n">
        <v>814</v>
      </c>
      <c r="B818" s="9" t="s">
        <v>34</v>
      </c>
      <c r="C818" s="22" t="s">
        <v>3366</v>
      </c>
      <c r="D818" s="9" t="s">
        <v>3116</v>
      </c>
      <c r="E818" s="9" t="s">
        <v>47</v>
      </c>
      <c r="F818" s="9" t="s">
        <v>99</v>
      </c>
      <c r="G818" s="22" t="s">
        <v>7126</v>
      </c>
      <c r="H818" s="9" t="s">
        <v>4298</v>
      </c>
      <c r="I818" s="7"/>
      <c r="J818" s="23" t="s">
        <v>7127</v>
      </c>
      <c r="K818" s="24" t="s">
        <v>7128</v>
      </c>
      <c r="L818" s="22" t="s">
        <v>7129</v>
      </c>
      <c r="M818" s="25"/>
      <c r="N818" s="25"/>
      <c r="O818" s="26"/>
      <c r="P818" s="27"/>
      <c r="Q818" s="28"/>
      <c r="R818" s="28"/>
      <c r="S818" s="26"/>
    </row>
    <row r="819" customFormat="false" ht="15" hidden="false" customHeight="false" outlineLevel="0" collapsed="false">
      <c r="A819" s="7" t="n">
        <v>815</v>
      </c>
      <c r="B819" s="9" t="s">
        <v>34</v>
      </c>
      <c r="C819" s="22" t="s">
        <v>3366</v>
      </c>
      <c r="D819" s="9" t="s">
        <v>3116</v>
      </c>
      <c r="E819" s="9" t="s">
        <v>47</v>
      </c>
      <c r="F819" s="9" t="s">
        <v>99</v>
      </c>
      <c r="G819" s="22" t="s">
        <v>7130</v>
      </c>
      <c r="H819" s="9" t="s">
        <v>4298</v>
      </c>
      <c r="I819" s="7"/>
      <c r="J819" s="23" t="s">
        <v>7131</v>
      </c>
      <c r="K819" s="24" t="s">
        <v>7132</v>
      </c>
      <c r="L819" s="22" t="s">
        <v>7133</v>
      </c>
      <c r="M819" s="25"/>
      <c r="N819" s="25"/>
      <c r="O819" s="26"/>
      <c r="P819" s="27"/>
      <c r="Q819" s="28"/>
      <c r="R819" s="28"/>
      <c r="S819" s="26"/>
    </row>
    <row r="820" customFormat="false" ht="15" hidden="false" customHeight="false" outlineLevel="0" collapsed="false">
      <c r="A820" s="7" t="n">
        <v>816</v>
      </c>
      <c r="B820" s="9" t="s">
        <v>34</v>
      </c>
      <c r="C820" s="22" t="s">
        <v>3366</v>
      </c>
      <c r="D820" s="9" t="s">
        <v>3116</v>
      </c>
      <c r="E820" s="9" t="s">
        <v>47</v>
      </c>
      <c r="F820" s="9" t="s">
        <v>99</v>
      </c>
      <c r="G820" s="22" t="s">
        <v>7134</v>
      </c>
      <c r="H820" s="9" t="s">
        <v>4298</v>
      </c>
      <c r="I820" s="7"/>
      <c r="J820" s="23" t="s">
        <v>7135</v>
      </c>
      <c r="K820" s="24" t="s">
        <v>7136</v>
      </c>
      <c r="L820" s="22" t="s">
        <v>7137</v>
      </c>
      <c r="M820" s="25"/>
      <c r="N820" s="25"/>
      <c r="O820" s="26"/>
      <c r="P820" s="27"/>
      <c r="Q820" s="28"/>
      <c r="R820" s="28"/>
      <c r="S820" s="26"/>
    </row>
    <row r="821" customFormat="false" ht="15" hidden="false" customHeight="false" outlineLevel="0" collapsed="false">
      <c r="A821" s="7" t="n">
        <v>817</v>
      </c>
      <c r="B821" s="9" t="s">
        <v>34</v>
      </c>
      <c r="C821" s="22" t="s">
        <v>3366</v>
      </c>
      <c r="D821" s="9" t="s">
        <v>3116</v>
      </c>
      <c r="E821" s="9" t="s">
        <v>47</v>
      </c>
      <c r="F821" s="9" t="s">
        <v>99</v>
      </c>
      <c r="G821" s="22" t="s">
        <v>7138</v>
      </c>
      <c r="H821" s="9" t="s">
        <v>4298</v>
      </c>
      <c r="I821" s="7"/>
      <c r="J821" s="23" t="s">
        <v>7139</v>
      </c>
      <c r="K821" s="24" t="s">
        <v>7140</v>
      </c>
      <c r="L821" s="22" t="s">
        <v>7141</v>
      </c>
      <c r="M821" s="25"/>
      <c r="N821" s="25"/>
      <c r="O821" s="26"/>
      <c r="P821" s="27"/>
      <c r="Q821" s="28"/>
      <c r="R821" s="28"/>
      <c r="S821" s="26"/>
    </row>
    <row r="822" customFormat="false" ht="15" hidden="false" customHeight="false" outlineLevel="0" collapsed="false">
      <c r="A822" s="7" t="n">
        <v>818</v>
      </c>
      <c r="B822" s="9" t="s">
        <v>34</v>
      </c>
      <c r="C822" s="22" t="s">
        <v>3366</v>
      </c>
      <c r="D822" s="9" t="s">
        <v>3116</v>
      </c>
      <c r="E822" s="9" t="s">
        <v>48</v>
      </c>
      <c r="F822" s="9" t="s">
        <v>124</v>
      </c>
      <c r="G822" s="22" t="s">
        <v>3375</v>
      </c>
      <c r="H822" s="9" t="s">
        <v>4298</v>
      </c>
      <c r="I822" s="7" t="s">
        <v>869</v>
      </c>
      <c r="J822" s="23" t="s">
        <v>3376</v>
      </c>
      <c r="K822" s="24" t="s">
        <v>3377</v>
      </c>
      <c r="L822" s="22" t="s">
        <v>3378</v>
      </c>
      <c r="M822" s="25"/>
      <c r="N822" s="25"/>
      <c r="O822" s="26"/>
      <c r="P822" s="27"/>
      <c r="Q822" s="28"/>
      <c r="R822" s="28"/>
      <c r="S822" s="26"/>
    </row>
    <row r="823" customFormat="false" ht="15" hidden="false" customHeight="false" outlineLevel="0" collapsed="false">
      <c r="A823" s="7" t="n">
        <v>819</v>
      </c>
      <c r="B823" s="9" t="s">
        <v>34</v>
      </c>
      <c r="C823" s="22" t="s">
        <v>3379</v>
      </c>
      <c r="D823" s="9" t="s">
        <v>3380</v>
      </c>
      <c r="E823" s="9" t="s">
        <v>47</v>
      </c>
      <c r="F823" s="9" t="s">
        <v>99</v>
      </c>
      <c r="G823" s="22" t="s">
        <v>7142</v>
      </c>
      <c r="H823" s="9" t="s">
        <v>4298</v>
      </c>
      <c r="I823" s="7"/>
      <c r="J823" s="23" t="s">
        <v>7143</v>
      </c>
      <c r="K823" s="24" t="s">
        <v>7144</v>
      </c>
      <c r="L823" s="22" t="s">
        <v>7145</v>
      </c>
      <c r="M823" s="25"/>
      <c r="N823" s="25"/>
      <c r="O823" s="26"/>
      <c r="P823" s="27"/>
      <c r="Q823" s="28"/>
      <c r="R823" s="28"/>
      <c r="S823" s="26"/>
    </row>
    <row r="824" customFormat="false" ht="15" hidden="false" customHeight="false" outlineLevel="0" collapsed="false">
      <c r="A824" s="7" t="n">
        <v>820</v>
      </c>
      <c r="B824" s="9" t="s">
        <v>35</v>
      </c>
      <c r="C824" s="22" t="s">
        <v>7146</v>
      </c>
      <c r="D824" s="9" t="s">
        <v>7147</v>
      </c>
      <c r="E824" s="9" t="s">
        <v>47</v>
      </c>
      <c r="F824" s="9" t="s">
        <v>99</v>
      </c>
      <c r="G824" s="22" t="s">
        <v>7148</v>
      </c>
      <c r="H824" s="9" t="s">
        <v>4298</v>
      </c>
      <c r="I824" s="7"/>
      <c r="J824" s="23" t="s">
        <v>7149</v>
      </c>
      <c r="K824" s="24" t="s">
        <v>7150</v>
      </c>
      <c r="L824" s="22" t="s">
        <v>7151</v>
      </c>
      <c r="M824" s="25"/>
      <c r="N824" s="25"/>
      <c r="O824" s="26"/>
      <c r="P824" s="27"/>
      <c r="Q824" s="28"/>
      <c r="R824" s="28"/>
      <c r="S824" s="26"/>
    </row>
    <row r="825" customFormat="false" ht="15" hidden="false" customHeight="false" outlineLevel="0" collapsed="false">
      <c r="A825" s="7" t="n">
        <v>821</v>
      </c>
      <c r="B825" s="9" t="s">
        <v>35</v>
      </c>
      <c r="C825" s="22" t="s">
        <v>7146</v>
      </c>
      <c r="D825" s="9" t="s">
        <v>7147</v>
      </c>
      <c r="E825" s="9" t="s">
        <v>48</v>
      </c>
      <c r="F825" s="9" t="s">
        <v>124</v>
      </c>
      <c r="G825" s="22" t="s">
        <v>7152</v>
      </c>
      <c r="H825" s="9" t="s">
        <v>4298</v>
      </c>
      <c r="I825" s="7"/>
      <c r="J825" s="23" t="s">
        <v>7153</v>
      </c>
      <c r="K825" s="24" t="s">
        <v>7154</v>
      </c>
      <c r="L825" s="22" t="s">
        <v>7155</v>
      </c>
      <c r="M825" s="25"/>
      <c r="N825" s="25"/>
      <c r="O825" s="26"/>
      <c r="P825" s="27"/>
      <c r="Q825" s="28"/>
      <c r="R825" s="28"/>
      <c r="S825" s="26"/>
    </row>
    <row r="826" customFormat="false" ht="15" hidden="false" customHeight="false" outlineLevel="0" collapsed="false">
      <c r="A826" s="7" t="n">
        <v>822</v>
      </c>
      <c r="B826" s="9" t="s">
        <v>35</v>
      </c>
      <c r="C826" s="22" t="s">
        <v>7156</v>
      </c>
      <c r="D826" s="9" t="s">
        <v>7157</v>
      </c>
      <c r="E826" s="9" t="s">
        <v>47</v>
      </c>
      <c r="F826" s="9" t="s">
        <v>99</v>
      </c>
      <c r="G826" s="22" t="s">
        <v>7158</v>
      </c>
      <c r="H826" s="9" t="s">
        <v>4298</v>
      </c>
      <c r="I826" s="7"/>
      <c r="J826" s="23" t="s">
        <v>7159</v>
      </c>
      <c r="K826" s="24" t="s">
        <v>7160</v>
      </c>
      <c r="L826" s="22" t="s">
        <v>7161</v>
      </c>
      <c r="M826" s="25"/>
      <c r="N826" s="25"/>
      <c r="O826" s="26"/>
      <c r="P826" s="27"/>
      <c r="Q826" s="28"/>
      <c r="R826" s="28"/>
      <c r="S826" s="26"/>
    </row>
    <row r="827" customFormat="false" ht="15" hidden="false" customHeight="false" outlineLevel="0" collapsed="false">
      <c r="A827" s="7" t="n">
        <v>823</v>
      </c>
      <c r="B827" s="9" t="s">
        <v>35</v>
      </c>
      <c r="C827" s="22" t="s">
        <v>3385</v>
      </c>
      <c r="D827" s="9" t="s">
        <v>3386</v>
      </c>
      <c r="E827" s="9" t="s">
        <v>47</v>
      </c>
      <c r="F827" s="9" t="s">
        <v>99</v>
      </c>
      <c r="G827" s="22" t="s">
        <v>7162</v>
      </c>
      <c r="H827" s="9" t="s">
        <v>4298</v>
      </c>
      <c r="I827" s="7"/>
      <c r="J827" s="23" t="s">
        <v>7163</v>
      </c>
      <c r="K827" s="24" t="s">
        <v>7164</v>
      </c>
      <c r="L827" s="22" t="s">
        <v>7165</v>
      </c>
      <c r="M827" s="25"/>
      <c r="N827" s="25"/>
      <c r="O827" s="26"/>
      <c r="P827" s="27"/>
      <c r="Q827" s="28"/>
      <c r="R827" s="28"/>
      <c r="S827" s="26"/>
    </row>
    <row r="828" customFormat="false" ht="15" hidden="false" customHeight="false" outlineLevel="0" collapsed="false">
      <c r="A828" s="7" t="n">
        <v>824</v>
      </c>
      <c r="B828" s="9" t="s">
        <v>35</v>
      </c>
      <c r="C828" s="22" t="s">
        <v>3385</v>
      </c>
      <c r="D828" s="9" t="s">
        <v>3386</v>
      </c>
      <c r="E828" s="9" t="s">
        <v>47</v>
      </c>
      <c r="F828" s="9" t="s">
        <v>124</v>
      </c>
      <c r="G828" s="22" t="s">
        <v>7166</v>
      </c>
      <c r="H828" s="9" t="s">
        <v>4298</v>
      </c>
      <c r="I828" s="7"/>
      <c r="J828" s="23" t="s">
        <v>7167</v>
      </c>
      <c r="K828" s="24" t="s">
        <v>7168</v>
      </c>
      <c r="L828" s="22" t="s">
        <v>7169</v>
      </c>
      <c r="M828" s="25"/>
      <c r="N828" s="25"/>
      <c r="O828" s="26"/>
      <c r="P828" s="27"/>
      <c r="Q828" s="28"/>
      <c r="R828" s="28"/>
      <c r="S828" s="26"/>
    </row>
    <row r="829" customFormat="false" ht="15" hidden="false" customHeight="false" outlineLevel="0" collapsed="false">
      <c r="A829" s="7" t="n">
        <v>825</v>
      </c>
      <c r="B829" s="9" t="s">
        <v>35</v>
      </c>
      <c r="C829" s="22" t="s">
        <v>3385</v>
      </c>
      <c r="D829" s="9" t="s">
        <v>3386</v>
      </c>
      <c r="E829" s="9" t="s">
        <v>47</v>
      </c>
      <c r="F829" s="9" t="s">
        <v>124</v>
      </c>
      <c r="G829" s="22" t="s">
        <v>7170</v>
      </c>
      <c r="H829" s="9" t="s">
        <v>4298</v>
      </c>
      <c r="I829" s="7"/>
      <c r="J829" s="23" t="s">
        <v>7171</v>
      </c>
      <c r="K829" s="24" t="s">
        <v>7172</v>
      </c>
      <c r="L829" s="22" t="s">
        <v>7173</v>
      </c>
      <c r="M829" s="25"/>
      <c r="N829" s="25"/>
      <c r="O829" s="26"/>
      <c r="P829" s="27"/>
      <c r="Q829" s="28"/>
      <c r="R829" s="28"/>
      <c r="S829" s="26"/>
    </row>
    <row r="830" customFormat="false" ht="15" hidden="false" customHeight="false" outlineLevel="0" collapsed="false">
      <c r="A830" s="7" t="n">
        <v>826</v>
      </c>
      <c r="B830" s="9" t="s">
        <v>35</v>
      </c>
      <c r="C830" s="22" t="s">
        <v>3385</v>
      </c>
      <c r="D830" s="9" t="s">
        <v>3386</v>
      </c>
      <c r="E830" s="9" t="s">
        <v>47</v>
      </c>
      <c r="F830" s="9" t="s">
        <v>99</v>
      </c>
      <c r="G830" s="22" t="s">
        <v>7174</v>
      </c>
      <c r="H830" s="9" t="s">
        <v>4298</v>
      </c>
      <c r="I830" s="7"/>
      <c r="J830" s="23" t="s">
        <v>7175</v>
      </c>
      <c r="K830" s="24" t="s">
        <v>7176</v>
      </c>
      <c r="L830" s="22" t="s">
        <v>7177</v>
      </c>
      <c r="M830" s="25"/>
      <c r="N830" s="25"/>
      <c r="O830" s="26"/>
      <c r="P830" s="27"/>
      <c r="Q830" s="28"/>
      <c r="R830" s="28"/>
      <c r="S830" s="26"/>
    </row>
    <row r="831" customFormat="false" ht="15" hidden="false" customHeight="false" outlineLevel="0" collapsed="false">
      <c r="A831" s="7" t="n">
        <v>827</v>
      </c>
      <c r="B831" s="9" t="s">
        <v>35</v>
      </c>
      <c r="C831" s="22" t="s">
        <v>3385</v>
      </c>
      <c r="D831" s="9" t="s">
        <v>3386</v>
      </c>
      <c r="E831" s="9" t="s">
        <v>47</v>
      </c>
      <c r="F831" s="9" t="s">
        <v>99</v>
      </c>
      <c r="G831" s="22" t="s">
        <v>7178</v>
      </c>
      <c r="H831" s="9" t="s">
        <v>4298</v>
      </c>
      <c r="I831" s="7"/>
      <c r="J831" s="23" t="s">
        <v>7179</v>
      </c>
      <c r="K831" s="24" t="s">
        <v>7180</v>
      </c>
      <c r="L831" s="22" t="s">
        <v>7181</v>
      </c>
      <c r="M831" s="25"/>
      <c r="N831" s="25"/>
      <c r="O831" s="26"/>
      <c r="P831" s="27"/>
      <c r="Q831" s="28"/>
      <c r="R831" s="28"/>
      <c r="S831" s="26"/>
    </row>
    <row r="832" customFormat="false" ht="15" hidden="false" customHeight="false" outlineLevel="0" collapsed="false">
      <c r="A832" s="7" t="n">
        <v>828</v>
      </c>
      <c r="B832" s="9" t="s">
        <v>35</v>
      </c>
      <c r="C832" s="22" t="s">
        <v>3385</v>
      </c>
      <c r="D832" s="9" t="s">
        <v>3386</v>
      </c>
      <c r="E832" s="9" t="s">
        <v>47</v>
      </c>
      <c r="F832" s="9" t="s">
        <v>99</v>
      </c>
      <c r="G832" s="22" t="s">
        <v>7182</v>
      </c>
      <c r="H832" s="9" t="s">
        <v>4298</v>
      </c>
      <c r="I832" s="7"/>
      <c r="J832" s="23" t="s">
        <v>7183</v>
      </c>
      <c r="K832" s="24" t="s">
        <v>7184</v>
      </c>
      <c r="L832" s="22" t="s">
        <v>7185</v>
      </c>
      <c r="M832" s="25"/>
      <c r="N832" s="25"/>
      <c r="O832" s="26"/>
      <c r="P832" s="27"/>
      <c r="Q832" s="28"/>
      <c r="R832" s="28"/>
      <c r="S832" s="26"/>
    </row>
    <row r="833" customFormat="false" ht="15" hidden="false" customHeight="false" outlineLevel="0" collapsed="false">
      <c r="A833" s="7" t="n">
        <v>829</v>
      </c>
      <c r="B833" s="9" t="s">
        <v>35</v>
      </c>
      <c r="C833" s="22" t="s">
        <v>3385</v>
      </c>
      <c r="D833" s="9" t="s">
        <v>3386</v>
      </c>
      <c r="E833" s="9" t="s">
        <v>48</v>
      </c>
      <c r="F833" s="9" t="s">
        <v>99</v>
      </c>
      <c r="G833" s="22" t="s">
        <v>7186</v>
      </c>
      <c r="H833" s="9" t="s">
        <v>4298</v>
      </c>
      <c r="I833" s="7"/>
      <c r="J833" s="23" t="s">
        <v>7187</v>
      </c>
      <c r="K833" s="24" t="s">
        <v>7188</v>
      </c>
      <c r="L833" s="22" t="s">
        <v>7189</v>
      </c>
      <c r="M833" s="25"/>
      <c r="N833" s="25"/>
      <c r="O833" s="26"/>
      <c r="P833" s="27"/>
      <c r="Q833" s="28"/>
      <c r="R833" s="28"/>
      <c r="S833" s="26"/>
    </row>
    <row r="834" customFormat="false" ht="15" hidden="false" customHeight="false" outlineLevel="0" collapsed="false">
      <c r="A834" s="7" t="n">
        <v>830</v>
      </c>
      <c r="B834" s="9" t="s">
        <v>35</v>
      </c>
      <c r="C834" s="22" t="s">
        <v>300</v>
      </c>
      <c r="D834" s="9" t="s">
        <v>3386</v>
      </c>
      <c r="E834" s="9" t="s">
        <v>49</v>
      </c>
      <c r="F834" s="9" t="s">
        <v>99</v>
      </c>
      <c r="G834" s="22" t="s">
        <v>3391</v>
      </c>
      <c r="H834" s="9" t="s">
        <v>4298</v>
      </c>
      <c r="I834" s="7" t="s">
        <v>869</v>
      </c>
      <c r="J834" s="23" t="s">
        <v>3392</v>
      </c>
      <c r="K834" s="24" t="s">
        <v>3393</v>
      </c>
      <c r="L834" s="22" t="s">
        <v>3394</v>
      </c>
      <c r="M834" s="25"/>
      <c r="N834" s="25"/>
      <c r="O834" s="26"/>
      <c r="P834" s="27"/>
      <c r="Q834" s="28"/>
      <c r="R834" s="28"/>
      <c r="S834" s="26"/>
    </row>
    <row r="835" customFormat="false" ht="15" hidden="false" customHeight="false" outlineLevel="0" collapsed="false">
      <c r="A835" s="7" t="n">
        <v>831</v>
      </c>
      <c r="B835" s="9" t="s">
        <v>35</v>
      </c>
      <c r="C835" s="22" t="s">
        <v>300</v>
      </c>
      <c r="D835" s="9" t="s">
        <v>3400</v>
      </c>
      <c r="E835" s="9" t="s">
        <v>49</v>
      </c>
      <c r="F835" s="9" t="s">
        <v>99</v>
      </c>
      <c r="G835" s="22" t="s">
        <v>7190</v>
      </c>
      <c r="H835" s="9" t="s">
        <v>4298</v>
      </c>
      <c r="I835" s="7"/>
      <c r="J835" s="23" t="s">
        <v>7191</v>
      </c>
      <c r="K835" s="24" t="s">
        <v>7192</v>
      </c>
      <c r="L835" s="22" t="s">
        <v>7193</v>
      </c>
      <c r="M835" s="25"/>
      <c r="N835" s="25"/>
      <c r="O835" s="26"/>
      <c r="P835" s="27"/>
      <c r="Q835" s="28"/>
      <c r="R835" s="28"/>
      <c r="S835" s="26"/>
    </row>
    <row r="836" customFormat="false" ht="15" hidden="false" customHeight="false" outlineLevel="0" collapsed="false">
      <c r="A836" s="7" t="n">
        <v>832</v>
      </c>
      <c r="B836" s="9" t="s">
        <v>35</v>
      </c>
      <c r="C836" s="22" t="s">
        <v>300</v>
      </c>
      <c r="D836" s="9" t="s">
        <v>3400</v>
      </c>
      <c r="E836" s="9" t="s">
        <v>49</v>
      </c>
      <c r="F836" s="9" t="s">
        <v>99</v>
      </c>
      <c r="G836" s="22" t="s">
        <v>3401</v>
      </c>
      <c r="H836" s="9" t="s">
        <v>4298</v>
      </c>
      <c r="I836" s="7" t="s">
        <v>869</v>
      </c>
      <c r="J836" s="23" t="s">
        <v>3402</v>
      </c>
      <c r="K836" s="24" t="s">
        <v>3403</v>
      </c>
      <c r="L836" s="22" t="s">
        <v>3404</v>
      </c>
      <c r="M836" s="25"/>
      <c r="N836" s="25"/>
      <c r="O836" s="26"/>
      <c r="P836" s="27"/>
      <c r="Q836" s="28"/>
      <c r="R836" s="28"/>
      <c r="S836" s="26"/>
    </row>
    <row r="837" customFormat="false" ht="15" hidden="false" customHeight="false" outlineLevel="0" collapsed="false">
      <c r="A837" s="7" t="n">
        <v>833</v>
      </c>
      <c r="B837" s="9" t="s">
        <v>35</v>
      </c>
      <c r="C837" s="22" t="s">
        <v>300</v>
      </c>
      <c r="D837" s="9" t="s">
        <v>3405</v>
      </c>
      <c r="E837" s="9" t="s">
        <v>49</v>
      </c>
      <c r="F837" s="9" t="s">
        <v>124</v>
      </c>
      <c r="G837" s="22" t="s">
        <v>7194</v>
      </c>
      <c r="H837" s="9" t="s">
        <v>4298</v>
      </c>
      <c r="I837" s="7"/>
      <c r="J837" s="23" t="s">
        <v>7195</v>
      </c>
      <c r="K837" s="24" t="s">
        <v>7196</v>
      </c>
      <c r="L837" s="22" t="s">
        <v>3496</v>
      </c>
      <c r="M837" s="25"/>
      <c r="N837" s="25"/>
      <c r="O837" s="26"/>
      <c r="P837" s="27"/>
      <c r="Q837" s="28"/>
      <c r="R837" s="28"/>
      <c r="S837" s="26"/>
    </row>
    <row r="838" customFormat="false" ht="15" hidden="false" customHeight="false" outlineLevel="0" collapsed="false">
      <c r="A838" s="7" t="n">
        <v>834</v>
      </c>
      <c r="B838" s="9" t="s">
        <v>35</v>
      </c>
      <c r="C838" s="22" t="s">
        <v>300</v>
      </c>
      <c r="D838" s="9" t="s">
        <v>3405</v>
      </c>
      <c r="E838" s="9" t="s">
        <v>49</v>
      </c>
      <c r="F838" s="9" t="s">
        <v>124</v>
      </c>
      <c r="G838" s="22" t="s">
        <v>7197</v>
      </c>
      <c r="H838" s="9" t="s">
        <v>4298</v>
      </c>
      <c r="I838" s="7"/>
      <c r="J838" s="23" t="s">
        <v>7198</v>
      </c>
      <c r="K838" s="24" t="s">
        <v>7199</v>
      </c>
      <c r="L838" s="22" t="s">
        <v>7200</v>
      </c>
      <c r="M838" s="25"/>
      <c r="N838" s="25"/>
      <c r="O838" s="26"/>
      <c r="P838" s="27"/>
      <c r="Q838" s="28"/>
      <c r="R838" s="28"/>
      <c r="S838" s="26"/>
    </row>
    <row r="839" customFormat="false" ht="15" hidden="false" customHeight="false" outlineLevel="0" collapsed="false">
      <c r="A839" s="7" t="n">
        <v>835</v>
      </c>
      <c r="B839" s="9" t="s">
        <v>35</v>
      </c>
      <c r="C839" s="22" t="s">
        <v>300</v>
      </c>
      <c r="D839" s="9" t="s">
        <v>3405</v>
      </c>
      <c r="E839" s="9" t="s">
        <v>49</v>
      </c>
      <c r="F839" s="9" t="s">
        <v>124</v>
      </c>
      <c r="G839" s="22" t="s">
        <v>3417</v>
      </c>
      <c r="H839" s="9" t="s">
        <v>4298</v>
      </c>
      <c r="I839" s="7" t="s">
        <v>869</v>
      </c>
      <c r="J839" s="23" t="s">
        <v>3418</v>
      </c>
      <c r="K839" s="24" t="s">
        <v>3419</v>
      </c>
      <c r="L839" s="22" t="s">
        <v>3420</v>
      </c>
      <c r="M839" s="25"/>
      <c r="N839" s="25"/>
      <c r="O839" s="26"/>
      <c r="P839" s="27"/>
      <c r="Q839" s="28"/>
      <c r="R839" s="28"/>
      <c r="S839" s="26"/>
    </row>
    <row r="840" customFormat="false" ht="15" hidden="false" customHeight="false" outlineLevel="0" collapsed="false">
      <c r="A840" s="7" t="n">
        <v>836</v>
      </c>
      <c r="B840" s="9" t="s">
        <v>35</v>
      </c>
      <c r="C840" s="22" t="s">
        <v>300</v>
      </c>
      <c r="D840" s="9" t="s">
        <v>3426</v>
      </c>
      <c r="E840" s="9" t="s">
        <v>49</v>
      </c>
      <c r="F840" s="9" t="s">
        <v>124</v>
      </c>
      <c r="G840" s="22" t="s">
        <v>7201</v>
      </c>
      <c r="H840" s="9" t="s">
        <v>4298</v>
      </c>
      <c r="I840" s="7"/>
      <c r="J840" s="23" t="s">
        <v>7202</v>
      </c>
      <c r="K840" s="24" t="s">
        <v>7203</v>
      </c>
      <c r="L840" s="22" t="s">
        <v>7204</v>
      </c>
      <c r="M840" s="25"/>
      <c r="N840" s="25"/>
      <c r="O840" s="26"/>
      <c r="P840" s="27"/>
      <c r="Q840" s="28"/>
      <c r="R840" s="28"/>
      <c r="S840" s="26"/>
    </row>
    <row r="841" customFormat="false" ht="15" hidden="false" customHeight="false" outlineLevel="0" collapsed="false">
      <c r="A841" s="7" t="n">
        <v>837</v>
      </c>
      <c r="B841" s="9" t="s">
        <v>35</v>
      </c>
      <c r="C841" s="22" t="s">
        <v>300</v>
      </c>
      <c r="D841" s="9" t="s">
        <v>3426</v>
      </c>
      <c r="E841" s="9" t="s">
        <v>49</v>
      </c>
      <c r="F841" s="9" t="s">
        <v>124</v>
      </c>
      <c r="G841" s="22" t="s">
        <v>3427</v>
      </c>
      <c r="H841" s="9" t="s">
        <v>4298</v>
      </c>
      <c r="I841" s="7" t="s">
        <v>869</v>
      </c>
      <c r="J841" s="23" t="s">
        <v>3428</v>
      </c>
      <c r="K841" s="24" t="s">
        <v>3429</v>
      </c>
      <c r="L841" s="22" t="s">
        <v>3430</v>
      </c>
      <c r="M841" s="25"/>
      <c r="N841" s="25"/>
      <c r="O841" s="26"/>
      <c r="P841" s="27"/>
      <c r="Q841" s="28"/>
      <c r="R841" s="28"/>
      <c r="S841" s="26"/>
    </row>
    <row r="842" customFormat="false" ht="15" hidden="false" customHeight="false" outlineLevel="0" collapsed="false">
      <c r="A842" s="7" t="n">
        <v>838</v>
      </c>
      <c r="B842" s="9" t="s">
        <v>35</v>
      </c>
      <c r="C842" s="22" t="s">
        <v>300</v>
      </c>
      <c r="D842" s="9" t="s">
        <v>3431</v>
      </c>
      <c r="E842" s="9" t="s">
        <v>49</v>
      </c>
      <c r="F842" s="9" t="s">
        <v>124</v>
      </c>
      <c r="G842" s="22" t="s">
        <v>7205</v>
      </c>
      <c r="H842" s="9" t="s">
        <v>4298</v>
      </c>
      <c r="I842" s="7"/>
      <c r="J842" s="23" t="s">
        <v>7206</v>
      </c>
      <c r="K842" s="24" t="s">
        <v>7207</v>
      </c>
      <c r="L842" s="22" t="s">
        <v>7208</v>
      </c>
      <c r="M842" s="25"/>
      <c r="N842" s="25"/>
      <c r="O842" s="26"/>
      <c r="P842" s="27"/>
      <c r="Q842" s="28"/>
      <c r="R842" s="28"/>
      <c r="S842" s="26"/>
    </row>
    <row r="843" customFormat="false" ht="15" hidden="false" customHeight="false" outlineLevel="0" collapsed="false">
      <c r="A843" s="7" t="n">
        <v>839</v>
      </c>
      <c r="B843" s="9" t="s">
        <v>35</v>
      </c>
      <c r="C843" s="22" t="s">
        <v>300</v>
      </c>
      <c r="D843" s="9" t="s">
        <v>3431</v>
      </c>
      <c r="E843" s="9" t="s">
        <v>49</v>
      </c>
      <c r="F843" s="9" t="s">
        <v>124</v>
      </c>
      <c r="G843" s="22" t="s">
        <v>7209</v>
      </c>
      <c r="H843" s="9" t="s">
        <v>4298</v>
      </c>
      <c r="I843" s="7"/>
      <c r="J843" s="23" t="s">
        <v>7210</v>
      </c>
      <c r="K843" s="24" t="s">
        <v>7211</v>
      </c>
      <c r="L843" s="22" t="s">
        <v>7212</v>
      </c>
      <c r="M843" s="25"/>
      <c r="N843" s="25"/>
      <c r="O843" s="26"/>
      <c r="P843" s="27"/>
      <c r="Q843" s="28"/>
      <c r="R843" s="28"/>
      <c r="S843" s="26"/>
    </row>
    <row r="844" customFormat="false" ht="15" hidden="false" customHeight="false" outlineLevel="0" collapsed="false">
      <c r="A844" s="7" t="n">
        <v>840</v>
      </c>
      <c r="B844" s="9" t="s">
        <v>35</v>
      </c>
      <c r="C844" s="22" t="s">
        <v>300</v>
      </c>
      <c r="D844" s="9" t="s">
        <v>3431</v>
      </c>
      <c r="E844" s="9" t="s">
        <v>49</v>
      </c>
      <c r="F844" s="9" t="s">
        <v>124</v>
      </c>
      <c r="G844" s="22" t="s">
        <v>7213</v>
      </c>
      <c r="H844" s="9" t="s">
        <v>4298</v>
      </c>
      <c r="I844" s="7"/>
      <c r="J844" s="23" t="s">
        <v>7214</v>
      </c>
      <c r="K844" s="24" t="s">
        <v>7215</v>
      </c>
      <c r="L844" s="22" t="s">
        <v>7216</v>
      </c>
      <c r="M844" s="25"/>
      <c r="N844" s="25"/>
      <c r="O844" s="26"/>
      <c r="P844" s="27"/>
      <c r="Q844" s="28"/>
      <c r="R844" s="28"/>
      <c r="S844" s="26"/>
    </row>
    <row r="845" customFormat="false" ht="15" hidden="false" customHeight="false" outlineLevel="0" collapsed="false">
      <c r="A845" s="7" t="n">
        <v>841</v>
      </c>
      <c r="B845" s="9" t="s">
        <v>35</v>
      </c>
      <c r="C845" s="22" t="s">
        <v>300</v>
      </c>
      <c r="D845" s="9" t="s">
        <v>3448</v>
      </c>
      <c r="E845" s="9" t="s">
        <v>49</v>
      </c>
      <c r="F845" s="9" t="s">
        <v>124</v>
      </c>
      <c r="G845" s="22" t="s">
        <v>7217</v>
      </c>
      <c r="H845" s="9" t="s">
        <v>4298</v>
      </c>
      <c r="I845" s="7"/>
      <c r="J845" s="23" t="s">
        <v>7218</v>
      </c>
      <c r="K845" s="24" t="s">
        <v>7219</v>
      </c>
      <c r="L845" s="22" t="s">
        <v>3575</v>
      </c>
      <c r="M845" s="25"/>
      <c r="N845" s="25"/>
      <c r="O845" s="26"/>
      <c r="P845" s="27"/>
      <c r="Q845" s="28"/>
      <c r="R845" s="28"/>
      <c r="S845" s="26"/>
    </row>
    <row r="846" customFormat="false" ht="15" hidden="false" customHeight="false" outlineLevel="0" collapsed="false">
      <c r="A846" s="7" t="n">
        <v>842</v>
      </c>
      <c r="B846" s="9" t="s">
        <v>35</v>
      </c>
      <c r="C846" s="22" t="s">
        <v>300</v>
      </c>
      <c r="D846" s="9" t="s">
        <v>3448</v>
      </c>
      <c r="E846" s="9" t="s">
        <v>49</v>
      </c>
      <c r="F846" s="9" t="s">
        <v>124</v>
      </c>
      <c r="G846" s="22" t="s">
        <v>7220</v>
      </c>
      <c r="H846" s="9" t="s">
        <v>4298</v>
      </c>
      <c r="I846" s="7"/>
      <c r="J846" s="23" t="s">
        <v>7221</v>
      </c>
      <c r="K846" s="24" t="s">
        <v>7222</v>
      </c>
      <c r="L846" s="22" t="s">
        <v>7223</v>
      </c>
      <c r="M846" s="25"/>
      <c r="N846" s="25"/>
      <c r="O846" s="26"/>
      <c r="P846" s="27"/>
      <c r="Q846" s="28"/>
      <c r="R846" s="28"/>
      <c r="S846" s="26"/>
    </row>
    <row r="847" customFormat="false" ht="15" hidden="false" customHeight="false" outlineLevel="0" collapsed="false">
      <c r="A847" s="7" t="n">
        <v>843</v>
      </c>
      <c r="B847" s="9" t="s">
        <v>35</v>
      </c>
      <c r="C847" s="22" t="s">
        <v>300</v>
      </c>
      <c r="D847" s="9" t="s">
        <v>3448</v>
      </c>
      <c r="E847" s="9" t="s">
        <v>49</v>
      </c>
      <c r="F847" s="9" t="s">
        <v>124</v>
      </c>
      <c r="G847" s="22" t="s">
        <v>7224</v>
      </c>
      <c r="H847" s="9" t="s">
        <v>4298</v>
      </c>
      <c r="I847" s="7"/>
      <c r="J847" s="23" t="s">
        <v>7225</v>
      </c>
      <c r="K847" s="24" t="s">
        <v>7226</v>
      </c>
      <c r="L847" s="22" t="s">
        <v>7227</v>
      </c>
      <c r="M847" s="25"/>
      <c r="N847" s="25"/>
      <c r="O847" s="26"/>
      <c r="P847" s="27"/>
      <c r="Q847" s="28"/>
      <c r="R847" s="28"/>
      <c r="S847" s="26"/>
    </row>
    <row r="848" customFormat="false" ht="15" hidden="false" customHeight="false" outlineLevel="0" collapsed="false">
      <c r="A848" s="7" t="n">
        <v>844</v>
      </c>
      <c r="B848" s="9" t="s">
        <v>35</v>
      </c>
      <c r="C848" s="22" t="s">
        <v>300</v>
      </c>
      <c r="D848" s="9" t="s">
        <v>3581</v>
      </c>
      <c r="E848" s="9" t="s">
        <v>49</v>
      </c>
      <c r="F848" s="9" t="s">
        <v>99</v>
      </c>
      <c r="G848" s="22" t="s">
        <v>3763</v>
      </c>
      <c r="H848" s="9" t="s">
        <v>4298</v>
      </c>
      <c r="I848" s="7"/>
      <c r="J848" s="23" t="s">
        <v>7228</v>
      </c>
      <c r="K848" s="24" t="s">
        <v>7229</v>
      </c>
      <c r="L848" s="22" t="s">
        <v>7230</v>
      </c>
      <c r="M848" s="25"/>
      <c r="N848" s="25"/>
      <c r="O848" s="26"/>
      <c r="P848" s="27"/>
      <c r="Q848" s="28"/>
      <c r="R848" s="28"/>
      <c r="S848" s="26"/>
    </row>
    <row r="849" customFormat="false" ht="15" hidden="false" customHeight="false" outlineLevel="0" collapsed="false">
      <c r="A849" s="7" t="n">
        <v>845</v>
      </c>
      <c r="B849" s="9" t="s">
        <v>35</v>
      </c>
      <c r="C849" s="22" t="s">
        <v>300</v>
      </c>
      <c r="D849" s="9" t="s">
        <v>7231</v>
      </c>
      <c r="E849" s="9" t="s">
        <v>49</v>
      </c>
      <c r="F849" s="9" t="s">
        <v>99</v>
      </c>
      <c r="G849" s="22" t="s">
        <v>7232</v>
      </c>
      <c r="H849" s="9" t="s">
        <v>4298</v>
      </c>
      <c r="I849" s="7"/>
      <c r="J849" s="23" t="s">
        <v>7233</v>
      </c>
      <c r="K849" s="24" t="s">
        <v>7234</v>
      </c>
      <c r="L849" s="22" t="s">
        <v>7235</v>
      </c>
      <c r="M849" s="25"/>
      <c r="N849" s="25"/>
      <c r="O849" s="26"/>
      <c r="P849" s="27"/>
      <c r="Q849" s="28"/>
      <c r="R849" s="28"/>
      <c r="S849" s="26"/>
    </row>
    <row r="850" customFormat="false" ht="15" hidden="false" customHeight="false" outlineLevel="0" collapsed="false">
      <c r="A850" s="7" t="n">
        <v>846</v>
      </c>
      <c r="B850" s="9" t="s">
        <v>35</v>
      </c>
      <c r="C850" s="22" t="s">
        <v>300</v>
      </c>
      <c r="D850" s="9" t="s">
        <v>7231</v>
      </c>
      <c r="E850" s="9" t="s">
        <v>326</v>
      </c>
      <c r="F850" s="9" t="s">
        <v>124</v>
      </c>
      <c r="G850" s="22" t="s">
        <v>7236</v>
      </c>
      <c r="H850" s="9" t="s">
        <v>4298</v>
      </c>
      <c r="I850" s="7"/>
      <c r="J850" s="23" t="s">
        <v>7237</v>
      </c>
      <c r="K850" s="24" t="s">
        <v>7238</v>
      </c>
      <c r="L850" s="22" t="s">
        <v>7239</v>
      </c>
      <c r="M850" s="25"/>
      <c r="N850" s="25"/>
      <c r="O850" s="26"/>
      <c r="P850" s="27"/>
      <c r="Q850" s="28"/>
      <c r="R850" s="28"/>
      <c r="S850" s="26"/>
    </row>
    <row r="851" customFormat="false" ht="15" hidden="false" customHeight="false" outlineLevel="0" collapsed="false">
      <c r="A851" s="7" t="n">
        <v>847</v>
      </c>
      <c r="B851" s="9" t="s">
        <v>35</v>
      </c>
      <c r="C851" s="22" t="s">
        <v>300</v>
      </c>
      <c r="D851" s="9" t="s">
        <v>3612</v>
      </c>
      <c r="E851" s="9" t="s">
        <v>326</v>
      </c>
      <c r="F851" s="9" t="s">
        <v>124</v>
      </c>
      <c r="G851" s="22" t="s">
        <v>7240</v>
      </c>
      <c r="H851" s="9" t="s">
        <v>4298</v>
      </c>
      <c r="I851" s="7"/>
      <c r="J851" s="23" t="s">
        <v>7241</v>
      </c>
      <c r="K851" s="24" t="s">
        <v>7242</v>
      </c>
      <c r="L851" s="22" t="s">
        <v>7243</v>
      </c>
      <c r="M851" s="25"/>
      <c r="N851" s="25"/>
      <c r="O851" s="26"/>
      <c r="P851" s="27"/>
      <c r="Q851" s="28"/>
      <c r="R851" s="28"/>
      <c r="S851" s="26"/>
    </row>
    <row r="852" customFormat="false" ht="15" hidden="false" customHeight="false" outlineLevel="0" collapsed="false">
      <c r="A852" s="7" t="n">
        <v>848</v>
      </c>
      <c r="B852" s="9" t="s">
        <v>35</v>
      </c>
      <c r="C852" s="22" t="s">
        <v>300</v>
      </c>
      <c r="D852" s="9" t="s">
        <v>3459</v>
      </c>
      <c r="E852" s="9" t="s">
        <v>49</v>
      </c>
      <c r="F852" s="9" t="s">
        <v>124</v>
      </c>
      <c r="G852" s="22" t="s">
        <v>3460</v>
      </c>
      <c r="H852" s="9" t="s">
        <v>4298</v>
      </c>
      <c r="I852" s="7" t="s">
        <v>869</v>
      </c>
      <c r="J852" s="23" t="s">
        <v>3461</v>
      </c>
      <c r="K852" s="24" t="s">
        <v>3462</v>
      </c>
      <c r="L852" s="22" t="s">
        <v>3463</v>
      </c>
      <c r="M852" s="25"/>
      <c r="N852" s="25"/>
      <c r="O852" s="26"/>
      <c r="P852" s="27"/>
      <c r="Q852" s="28"/>
      <c r="R852" s="28"/>
      <c r="S852" s="26"/>
    </row>
    <row r="853" customFormat="false" ht="15" hidden="false" customHeight="false" outlineLevel="0" collapsed="false">
      <c r="A853" s="7" t="n">
        <v>849</v>
      </c>
      <c r="B853" s="9" t="s">
        <v>35</v>
      </c>
      <c r="C853" s="22" t="s">
        <v>3464</v>
      </c>
      <c r="D853" s="9" t="s">
        <v>3400</v>
      </c>
      <c r="E853" s="9" t="s">
        <v>47</v>
      </c>
      <c r="F853" s="9" t="s">
        <v>99</v>
      </c>
      <c r="G853" s="22" t="s">
        <v>7244</v>
      </c>
      <c r="H853" s="9" t="s">
        <v>4298</v>
      </c>
      <c r="I853" s="7"/>
      <c r="J853" s="23" t="s">
        <v>7245</v>
      </c>
      <c r="K853" s="24" t="s">
        <v>7246</v>
      </c>
      <c r="L853" s="22" t="s">
        <v>7247</v>
      </c>
      <c r="M853" s="25"/>
      <c r="N853" s="25"/>
      <c r="O853" s="26"/>
      <c r="P853" s="27"/>
      <c r="Q853" s="28"/>
      <c r="R853" s="28"/>
      <c r="S853" s="26"/>
    </row>
    <row r="854" customFormat="false" ht="15" hidden="false" customHeight="false" outlineLevel="0" collapsed="false">
      <c r="A854" s="7" t="n">
        <v>850</v>
      </c>
      <c r="B854" s="9" t="s">
        <v>35</v>
      </c>
      <c r="C854" s="22" t="s">
        <v>3464</v>
      </c>
      <c r="D854" s="9" t="s">
        <v>3400</v>
      </c>
      <c r="E854" s="9" t="s">
        <v>47</v>
      </c>
      <c r="F854" s="9" t="s">
        <v>99</v>
      </c>
      <c r="G854" s="22" t="s">
        <v>7248</v>
      </c>
      <c r="H854" s="9" t="s">
        <v>4298</v>
      </c>
      <c r="I854" s="7"/>
      <c r="J854" s="23" t="s">
        <v>7249</v>
      </c>
      <c r="K854" s="24" t="s">
        <v>7250</v>
      </c>
      <c r="L854" s="22" t="s">
        <v>7251</v>
      </c>
      <c r="M854" s="25"/>
      <c r="N854" s="25"/>
      <c r="O854" s="26"/>
      <c r="P854" s="27"/>
      <c r="Q854" s="28"/>
      <c r="R854" s="28"/>
      <c r="S854" s="26"/>
    </row>
    <row r="855" customFormat="false" ht="15" hidden="false" customHeight="false" outlineLevel="0" collapsed="false">
      <c r="A855" s="7" t="n">
        <v>851</v>
      </c>
      <c r="B855" s="9" t="s">
        <v>35</v>
      </c>
      <c r="C855" s="22" t="s">
        <v>3464</v>
      </c>
      <c r="D855" s="9" t="s">
        <v>3400</v>
      </c>
      <c r="E855" s="9" t="s">
        <v>47</v>
      </c>
      <c r="F855" s="9" t="s">
        <v>99</v>
      </c>
      <c r="G855" s="22" t="s">
        <v>7252</v>
      </c>
      <c r="H855" s="9" t="s">
        <v>4298</v>
      </c>
      <c r="I855" s="7"/>
      <c r="J855" s="23" t="s">
        <v>7253</v>
      </c>
      <c r="K855" s="24" t="s">
        <v>7254</v>
      </c>
      <c r="L855" s="22" t="s">
        <v>7255</v>
      </c>
      <c r="M855" s="25"/>
      <c r="N855" s="25"/>
      <c r="O855" s="26"/>
      <c r="P855" s="27"/>
      <c r="Q855" s="28"/>
      <c r="R855" s="28"/>
      <c r="S855" s="26"/>
    </row>
    <row r="856" customFormat="false" ht="15" hidden="false" customHeight="false" outlineLevel="0" collapsed="false">
      <c r="A856" s="7" t="n">
        <v>852</v>
      </c>
      <c r="B856" s="9" t="s">
        <v>35</v>
      </c>
      <c r="C856" s="22" t="s">
        <v>3464</v>
      </c>
      <c r="D856" s="9" t="s">
        <v>3400</v>
      </c>
      <c r="E856" s="9" t="s">
        <v>47</v>
      </c>
      <c r="F856" s="9" t="s">
        <v>99</v>
      </c>
      <c r="G856" s="22" t="s">
        <v>6688</v>
      </c>
      <c r="H856" s="9" t="s">
        <v>4298</v>
      </c>
      <c r="I856" s="7"/>
      <c r="J856" s="23" t="s">
        <v>7256</v>
      </c>
      <c r="K856" s="24" t="s">
        <v>7257</v>
      </c>
      <c r="L856" s="22" t="s">
        <v>7258</v>
      </c>
      <c r="M856" s="25"/>
      <c r="N856" s="25"/>
      <c r="O856" s="26"/>
      <c r="P856" s="27"/>
      <c r="Q856" s="28"/>
      <c r="R856" s="28"/>
      <c r="S856" s="26"/>
    </row>
    <row r="857" customFormat="false" ht="15" hidden="false" customHeight="false" outlineLevel="0" collapsed="false">
      <c r="A857" s="7" t="n">
        <v>853</v>
      </c>
      <c r="B857" s="9" t="s">
        <v>35</v>
      </c>
      <c r="C857" s="22" t="s">
        <v>3464</v>
      </c>
      <c r="D857" s="9" t="s">
        <v>3400</v>
      </c>
      <c r="E857" s="9" t="s">
        <v>48</v>
      </c>
      <c r="F857" s="9" t="s">
        <v>99</v>
      </c>
      <c r="G857" s="22" t="s">
        <v>7259</v>
      </c>
      <c r="H857" s="9" t="s">
        <v>4298</v>
      </c>
      <c r="I857" s="7"/>
      <c r="J857" s="23" t="s">
        <v>7260</v>
      </c>
      <c r="K857" s="24" t="s">
        <v>7261</v>
      </c>
      <c r="L857" s="22" t="s">
        <v>7262</v>
      </c>
      <c r="M857" s="25"/>
      <c r="N857" s="25"/>
      <c r="O857" s="26"/>
      <c r="P857" s="27"/>
      <c r="Q857" s="28"/>
      <c r="R857" s="28"/>
      <c r="S857" s="26"/>
    </row>
    <row r="858" customFormat="false" ht="15" hidden="false" customHeight="false" outlineLevel="0" collapsed="false">
      <c r="A858" s="7" t="n">
        <v>854</v>
      </c>
      <c r="B858" s="9" t="s">
        <v>35</v>
      </c>
      <c r="C858" s="22" t="s">
        <v>3464</v>
      </c>
      <c r="D858" s="9" t="s">
        <v>3400</v>
      </c>
      <c r="E858" s="9" t="s">
        <v>48</v>
      </c>
      <c r="F858" s="9" t="s">
        <v>99</v>
      </c>
      <c r="G858" s="22" t="s">
        <v>7263</v>
      </c>
      <c r="H858" s="9" t="s">
        <v>4298</v>
      </c>
      <c r="I858" s="7"/>
      <c r="J858" s="23" t="s">
        <v>7264</v>
      </c>
      <c r="K858" s="24" t="s">
        <v>7265</v>
      </c>
      <c r="L858" s="22" t="s">
        <v>3404</v>
      </c>
      <c r="M858" s="25"/>
      <c r="N858" s="25"/>
      <c r="O858" s="26"/>
      <c r="P858" s="27"/>
      <c r="Q858" s="28"/>
      <c r="R858" s="28"/>
      <c r="S858" s="26"/>
    </row>
    <row r="859" customFormat="false" ht="15" hidden="false" customHeight="false" outlineLevel="0" collapsed="false">
      <c r="A859" s="7" t="n">
        <v>855</v>
      </c>
      <c r="B859" s="9" t="s">
        <v>35</v>
      </c>
      <c r="C859" s="22" t="s">
        <v>3464</v>
      </c>
      <c r="D859" s="9" t="s">
        <v>3400</v>
      </c>
      <c r="E859" s="9" t="s">
        <v>48</v>
      </c>
      <c r="F859" s="9" t="s">
        <v>124</v>
      </c>
      <c r="G859" s="22" t="s">
        <v>7266</v>
      </c>
      <c r="H859" s="9" t="s">
        <v>4298</v>
      </c>
      <c r="I859" s="7"/>
      <c r="J859" s="23" t="s">
        <v>7267</v>
      </c>
      <c r="K859" s="24" t="s">
        <v>7268</v>
      </c>
      <c r="L859" s="22" t="s">
        <v>7269</v>
      </c>
      <c r="M859" s="25"/>
      <c r="N859" s="25"/>
      <c r="O859" s="26"/>
      <c r="P859" s="27"/>
      <c r="Q859" s="28"/>
      <c r="R859" s="28"/>
      <c r="S859" s="26"/>
    </row>
    <row r="860" customFormat="false" ht="15" hidden="false" customHeight="false" outlineLevel="0" collapsed="false">
      <c r="A860" s="7" t="n">
        <v>856</v>
      </c>
      <c r="B860" s="9" t="s">
        <v>35</v>
      </c>
      <c r="C860" s="22" t="s">
        <v>3464</v>
      </c>
      <c r="D860" s="9" t="s">
        <v>3400</v>
      </c>
      <c r="E860" s="9" t="s">
        <v>48</v>
      </c>
      <c r="F860" s="9" t="s">
        <v>124</v>
      </c>
      <c r="G860" s="22" t="s">
        <v>7270</v>
      </c>
      <c r="H860" s="9" t="s">
        <v>4298</v>
      </c>
      <c r="I860" s="7"/>
      <c r="J860" s="23" t="s">
        <v>7271</v>
      </c>
      <c r="K860" s="24" t="s">
        <v>7272</v>
      </c>
      <c r="L860" s="22" t="s">
        <v>7273</v>
      </c>
      <c r="M860" s="25"/>
      <c r="N860" s="25"/>
      <c r="O860" s="26"/>
      <c r="P860" s="27"/>
      <c r="Q860" s="28"/>
      <c r="R860" s="28"/>
      <c r="S860" s="26"/>
    </row>
    <row r="861" customFormat="false" ht="15" hidden="false" customHeight="false" outlineLevel="0" collapsed="false">
      <c r="A861" s="7" t="n">
        <v>857</v>
      </c>
      <c r="B861" s="9" t="s">
        <v>35</v>
      </c>
      <c r="C861" s="22" t="s">
        <v>7274</v>
      </c>
      <c r="D861" s="9" t="s">
        <v>7275</v>
      </c>
      <c r="E861" s="9" t="s">
        <v>47</v>
      </c>
      <c r="F861" s="9" t="s">
        <v>99</v>
      </c>
      <c r="G861" s="22" t="s">
        <v>7276</v>
      </c>
      <c r="H861" s="9" t="s">
        <v>4298</v>
      </c>
      <c r="I861" s="7"/>
      <c r="J861" s="23" t="s">
        <v>7277</v>
      </c>
      <c r="K861" s="24" t="s">
        <v>7278</v>
      </c>
      <c r="L861" s="22" t="s">
        <v>7279</v>
      </c>
      <c r="M861" s="25"/>
      <c r="N861" s="25"/>
      <c r="O861" s="26"/>
      <c r="P861" s="27"/>
      <c r="Q861" s="28"/>
      <c r="R861" s="28"/>
      <c r="S861" s="26"/>
    </row>
    <row r="862" customFormat="false" ht="15" hidden="false" customHeight="false" outlineLevel="0" collapsed="false">
      <c r="A862" s="7" t="n">
        <v>858</v>
      </c>
      <c r="B862" s="9" t="s">
        <v>35</v>
      </c>
      <c r="C862" s="22" t="s">
        <v>7274</v>
      </c>
      <c r="D862" s="9" t="s">
        <v>7275</v>
      </c>
      <c r="E862" s="9" t="s">
        <v>47</v>
      </c>
      <c r="F862" s="9" t="s">
        <v>99</v>
      </c>
      <c r="G862" s="22" t="s">
        <v>7280</v>
      </c>
      <c r="H862" s="9" t="s">
        <v>4298</v>
      </c>
      <c r="I862" s="7"/>
      <c r="J862" s="23" t="s">
        <v>7281</v>
      </c>
      <c r="K862" s="24" t="s">
        <v>7282</v>
      </c>
      <c r="L862" s="22" t="s">
        <v>7283</v>
      </c>
      <c r="M862" s="25"/>
      <c r="N862" s="25"/>
      <c r="O862" s="26"/>
      <c r="P862" s="27"/>
      <c r="Q862" s="28"/>
      <c r="R862" s="28"/>
      <c r="S862" s="26"/>
    </row>
    <row r="863" customFormat="false" ht="15" hidden="false" customHeight="false" outlineLevel="0" collapsed="false">
      <c r="A863" s="7" t="n">
        <v>859</v>
      </c>
      <c r="B863" s="9" t="s">
        <v>35</v>
      </c>
      <c r="C863" s="22" t="s">
        <v>3485</v>
      </c>
      <c r="D863" s="9" t="s">
        <v>3405</v>
      </c>
      <c r="E863" s="9" t="s">
        <v>47</v>
      </c>
      <c r="F863" s="9" t="s">
        <v>99</v>
      </c>
      <c r="G863" s="22" t="s">
        <v>7284</v>
      </c>
      <c r="H863" s="9" t="s">
        <v>4298</v>
      </c>
      <c r="I863" s="7"/>
      <c r="J863" s="23" t="s">
        <v>7285</v>
      </c>
      <c r="K863" s="24" t="s">
        <v>7286</v>
      </c>
      <c r="L863" s="22" t="s">
        <v>7287</v>
      </c>
      <c r="M863" s="25"/>
      <c r="N863" s="25"/>
      <c r="O863" s="26"/>
      <c r="P863" s="27"/>
      <c r="Q863" s="28"/>
      <c r="R863" s="28"/>
      <c r="S863" s="26"/>
    </row>
    <row r="864" customFormat="false" ht="15" hidden="false" customHeight="false" outlineLevel="0" collapsed="false">
      <c r="A864" s="7" t="n">
        <v>860</v>
      </c>
      <c r="B864" s="9" t="s">
        <v>35</v>
      </c>
      <c r="C864" s="22" t="s">
        <v>3485</v>
      </c>
      <c r="D864" s="9" t="s">
        <v>3405</v>
      </c>
      <c r="E864" s="9" t="s">
        <v>48</v>
      </c>
      <c r="F864" s="9" t="s">
        <v>99</v>
      </c>
      <c r="G864" s="22" t="s">
        <v>7288</v>
      </c>
      <c r="H864" s="9" t="s">
        <v>4298</v>
      </c>
      <c r="I864" s="7"/>
      <c r="J864" s="23" t="s">
        <v>7289</v>
      </c>
      <c r="K864" s="24" t="s">
        <v>7290</v>
      </c>
      <c r="L864" s="22" t="s">
        <v>7291</v>
      </c>
      <c r="M864" s="25"/>
      <c r="N864" s="25"/>
      <c r="O864" s="26"/>
      <c r="P864" s="27"/>
      <c r="Q864" s="28"/>
      <c r="R864" s="28"/>
      <c r="S864" s="26"/>
    </row>
    <row r="865" customFormat="false" ht="15" hidden="false" customHeight="false" outlineLevel="0" collapsed="false">
      <c r="A865" s="7" t="n">
        <v>861</v>
      </c>
      <c r="B865" s="9" t="s">
        <v>35</v>
      </c>
      <c r="C865" s="22" t="s">
        <v>3485</v>
      </c>
      <c r="D865" s="9" t="s">
        <v>3405</v>
      </c>
      <c r="E865" s="9" t="s">
        <v>48</v>
      </c>
      <c r="F865" s="9" t="s">
        <v>99</v>
      </c>
      <c r="G865" s="22" t="s">
        <v>7292</v>
      </c>
      <c r="H865" s="9" t="s">
        <v>4298</v>
      </c>
      <c r="I865" s="7"/>
      <c r="J865" s="23" t="s">
        <v>7293</v>
      </c>
      <c r="K865" s="24" t="s">
        <v>7294</v>
      </c>
      <c r="L865" s="22" t="s">
        <v>7295</v>
      </c>
      <c r="M865" s="25"/>
      <c r="N865" s="25"/>
      <c r="O865" s="26"/>
      <c r="P865" s="27"/>
      <c r="Q865" s="28"/>
      <c r="R865" s="28"/>
      <c r="S865" s="26"/>
    </row>
    <row r="866" customFormat="false" ht="15" hidden="false" customHeight="false" outlineLevel="0" collapsed="false">
      <c r="A866" s="7" t="n">
        <v>862</v>
      </c>
      <c r="B866" s="9" t="s">
        <v>35</v>
      </c>
      <c r="C866" s="22" t="s">
        <v>3485</v>
      </c>
      <c r="D866" s="9" t="s">
        <v>3405</v>
      </c>
      <c r="E866" s="9" t="s">
        <v>48</v>
      </c>
      <c r="F866" s="9" t="s">
        <v>124</v>
      </c>
      <c r="G866" s="22" t="s">
        <v>3493</v>
      </c>
      <c r="H866" s="9" t="s">
        <v>4298</v>
      </c>
      <c r="I866" s="7" t="s">
        <v>869</v>
      </c>
      <c r="J866" s="23" t="s">
        <v>3494</v>
      </c>
      <c r="K866" s="24" t="s">
        <v>3495</v>
      </c>
      <c r="L866" s="22" t="s">
        <v>3496</v>
      </c>
      <c r="M866" s="25"/>
      <c r="N866" s="25"/>
      <c r="O866" s="26"/>
      <c r="P866" s="27"/>
      <c r="Q866" s="28"/>
      <c r="R866" s="28"/>
      <c r="S866" s="26"/>
    </row>
    <row r="867" customFormat="false" ht="15" hidden="false" customHeight="false" outlineLevel="0" collapsed="false">
      <c r="A867" s="7" t="n">
        <v>863</v>
      </c>
      <c r="B867" s="9" t="s">
        <v>35</v>
      </c>
      <c r="C867" s="22" t="s">
        <v>3485</v>
      </c>
      <c r="D867" s="9" t="s">
        <v>3405</v>
      </c>
      <c r="E867" s="9" t="s">
        <v>48</v>
      </c>
      <c r="F867" s="9" t="s">
        <v>99</v>
      </c>
      <c r="G867" s="22" t="s">
        <v>7296</v>
      </c>
      <c r="H867" s="9" t="s">
        <v>4298</v>
      </c>
      <c r="I867" s="7"/>
      <c r="J867" s="23" t="s">
        <v>7297</v>
      </c>
      <c r="K867" s="24" t="s">
        <v>7298</v>
      </c>
      <c r="L867" s="22" t="s">
        <v>7299</v>
      </c>
      <c r="M867" s="25"/>
      <c r="N867" s="25"/>
      <c r="O867" s="26"/>
      <c r="P867" s="27"/>
      <c r="Q867" s="28"/>
      <c r="R867" s="28"/>
      <c r="S867" s="26"/>
    </row>
    <row r="868" customFormat="false" ht="15" hidden="false" customHeight="false" outlineLevel="0" collapsed="false">
      <c r="A868" s="7" t="n">
        <v>864</v>
      </c>
      <c r="B868" s="9" t="s">
        <v>35</v>
      </c>
      <c r="C868" s="22" t="s">
        <v>3485</v>
      </c>
      <c r="D868" s="9" t="s">
        <v>3405</v>
      </c>
      <c r="E868" s="9" t="s">
        <v>48</v>
      </c>
      <c r="F868" s="9" t="s">
        <v>99</v>
      </c>
      <c r="G868" s="22" t="s">
        <v>7300</v>
      </c>
      <c r="H868" s="9" t="s">
        <v>4298</v>
      </c>
      <c r="I868" s="7"/>
      <c r="J868" s="23" t="s">
        <v>7301</v>
      </c>
      <c r="K868" s="24" t="s">
        <v>7302</v>
      </c>
      <c r="L868" s="22" t="s">
        <v>7303</v>
      </c>
      <c r="M868" s="25"/>
      <c r="N868" s="25"/>
      <c r="O868" s="26"/>
      <c r="P868" s="27"/>
      <c r="Q868" s="28"/>
      <c r="R868" s="28"/>
      <c r="S868" s="26"/>
    </row>
    <row r="869" customFormat="false" ht="15" hidden="false" customHeight="false" outlineLevel="0" collapsed="false">
      <c r="A869" s="7" t="n">
        <v>865</v>
      </c>
      <c r="B869" s="9" t="s">
        <v>35</v>
      </c>
      <c r="C869" s="22" t="s">
        <v>3485</v>
      </c>
      <c r="D869" s="9" t="s">
        <v>3405</v>
      </c>
      <c r="E869" s="9" t="s">
        <v>48</v>
      </c>
      <c r="F869" s="9" t="s">
        <v>124</v>
      </c>
      <c r="G869" s="22" t="s">
        <v>7304</v>
      </c>
      <c r="H869" s="9" t="s">
        <v>4298</v>
      </c>
      <c r="I869" s="7"/>
      <c r="J869" s="23" t="s">
        <v>7305</v>
      </c>
      <c r="K869" s="24" t="s">
        <v>7306</v>
      </c>
      <c r="L869" s="22" t="s">
        <v>7307</v>
      </c>
      <c r="M869" s="25"/>
      <c r="N869" s="25"/>
      <c r="O869" s="26"/>
      <c r="P869" s="27"/>
      <c r="Q869" s="28"/>
      <c r="R869" s="28"/>
      <c r="S869" s="26"/>
    </row>
    <row r="870" customFormat="false" ht="15" hidden="false" customHeight="false" outlineLevel="0" collapsed="false">
      <c r="A870" s="7" t="n">
        <v>866</v>
      </c>
      <c r="B870" s="9" t="s">
        <v>35</v>
      </c>
      <c r="C870" s="22" t="s">
        <v>3510</v>
      </c>
      <c r="D870" s="9" t="s">
        <v>3421</v>
      </c>
      <c r="E870" s="9" t="s">
        <v>47</v>
      </c>
      <c r="F870" s="9" t="s">
        <v>99</v>
      </c>
      <c r="G870" s="22" t="s">
        <v>7308</v>
      </c>
      <c r="H870" s="9" t="s">
        <v>4298</v>
      </c>
      <c r="I870" s="7"/>
      <c r="J870" s="23" t="s">
        <v>7309</v>
      </c>
      <c r="K870" s="24" t="s">
        <v>7310</v>
      </c>
      <c r="L870" s="22" t="s">
        <v>7311</v>
      </c>
      <c r="M870" s="25"/>
      <c r="N870" s="25"/>
      <c r="O870" s="26"/>
      <c r="P870" s="27"/>
      <c r="Q870" s="28"/>
      <c r="R870" s="28"/>
      <c r="S870" s="26"/>
    </row>
    <row r="871" customFormat="false" ht="15" hidden="false" customHeight="false" outlineLevel="0" collapsed="false">
      <c r="A871" s="7" t="n">
        <v>867</v>
      </c>
      <c r="B871" s="9" t="s">
        <v>35</v>
      </c>
      <c r="C871" s="22" t="s">
        <v>3510</v>
      </c>
      <c r="D871" s="9" t="s">
        <v>3421</v>
      </c>
      <c r="E871" s="9" t="s">
        <v>47</v>
      </c>
      <c r="F871" s="9" t="s">
        <v>99</v>
      </c>
      <c r="G871" s="22" t="s">
        <v>3515</v>
      </c>
      <c r="H871" s="9" t="s">
        <v>4298</v>
      </c>
      <c r="I871" s="7" t="s">
        <v>869</v>
      </c>
      <c r="J871" s="23" t="s">
        <v>3516</v>
      </c>
      <c r="K871" s="24" t="s">
        <v>3517</v>
      </c>
      <c r="L871" s="22" t="s">
        <v>3518</v>
      </c>
      <c r="M871" s="25"/>
      <c r="N871" s="25"/>
      <c r="O871" s="26"/>
      <c r="P871" s="27"/>
      <c r="Q871" s="28"/>
      <c r="R871" s="28"/>
      <c r="S871" s="26"/>
    </row>
    <row r="872" customFormat="false" ht="15" hidden="false" customHeight="false" outlineLevel="0" collapsed="false">
      <c r="A872" s="7" t="n">
        <v>868</v>
      </c>
      <c r="B872" s="9" t="s">
        <v>35</v>
      </c>
      <c r="C872" s="22" t="s">
        <v>3510</v>
      </c>
      <c r="D872" s="9" t="s">
        <v>3421</v>
      </c>
      <c r="E872" s="9" t="s">
        <v>48</v>
      </c>
      <c r="F872" s="9" t="s">
        <v>99</v>
      </c>
      <c r="G872" s="22" t="s">
        <v>3519</v>
      </c>
      <c r="H872" s="9" t="s">
        <v>4298</v>
      </c>
      <c r="I872" s="7" t="s">
        <v>869</v>
      </c>
      <c r="J872" s="23" t="s">
        <v>3520</v>
      </c>
      <c r="K872" s="24" t="s">
        <v>3521</v>
      </c>
      <c r="L872" s="22" t="s">
        <v>3522</v>
      </c>
      <c r="M872" s="25"/>
      <c r="N872" s="25"/>
      <c r="O872" s="26"/>
      <c r="P872" s="27"/>
      <c r="Q872" s="28"/>
      <c r="R872" s="28"/>
      <c r="S872" s="26"/>
    </row>
    <row r="873" customFormat="false" ht="15" hidden="false" customHeight="false" outlineLevel="0" collapsed="false">
      <c r="A873" s="7" t="n">
        <v>869</v>
      </c>
      <c r="B873" s="9" t="s">
        <v>35</v>
      </c>
      <c r="C873" s="22" t="s">
        <v>3527</v>
      </c>
      <c r="D873" s="9" t="s">
        <v>3426</v>
      </c>
      <c r="E873" s="9" t="s">
        <v>47</v>
      </c>
      <c r="F873" s="9" t="s">
        <v>99</v>
      </c>
      <c r="G873" s="22" t="s">
        <v>7312</v>
      </c>
      <c r="H873" s="9" t="s">
        <v>4298</v>
      </c>
      <c r="I873" s="7"/>
      <c r="J873" s="23" t="s">
        <v>7313</v>
      </c>
      <c r="K873" s="24" t="s">
        <v>7314</v>
      </c>
      <c r="L873" s="22" t="s">
        <v>7315</v>
      </c>
      <c r="M873" s="25"/>
      <c r="N873" s="25"/>
      <c r="O873" s="26"/>
      <c r="P873" s="27"/>
      <c r="Q873" s="28"/>
      <c r="R873" s="28"/>
      <c r="S873" s="26"/>
    </row>
    <row r="874" customFormat="false" ht="15" hidden="false" customHeight="false" outlineLevel="0" collapsed="false">
      <c r="A874" s="7" t="n">
        <v>870</v>
      </c>
      <c r="B874" s="9" t="s">
        <v>35</v>
      </c>
      <c r="C874" s="22" t="s">
        <v>3544</v>
      </c>
      <c r="D874" s="9" t="s">
        <v>3431</v>
      </c>
      <c r="E874" s="9" t="s">
        <v>47</v>
      </c>
      <c r="F874" s="9" t="s">
        <v>99</v>
      </c>
      <c r="G874" s="22" t="s">
        <v>7316</v>
      </c>
      <c r="H874" s="9" t="s">
        <v>4298</v>
      </c>
      <c r="I874" s="7"/>
      <c r="J874" s="23" t="s">
        <v>7317</v>
      </c>
      <c r="K874" s="24" t="s">
        <v>7318</v>
      </c>
      <c r="L874" s="22" t="s">
        <v>7319</v>
      </c>
      <c r="M874" s="25"/>
      <c r="N874" s="25"/>
      <c r="O874" s="26"/>
      <c r="P874" s="27"/>
      <c r="Q874" s="28"/>
      <c r="R874" s="28"/>
      <c r="S874" s="26"/>
    </row>
    <row r="875" customFormat="false" ht="15" hidden="false" customHeight="false" outlineLevel="0" collapsed="false">
      <c r="A875" s="7" t="n">
        <v>871</v>
      </c>
      <c r="B875" s="9" t="s">
        <v>35</v>
      </c>
      <c r="C875" s="22" t="s">
        <v>3544</v>
      </c>
      <c r="D875" s="9" t="s">
        <v>3431</v>
      </c>
      <c r="E875" s="9" t="s">
        <v>47</v>
      </c>
      <c r="F875" s="9" t="s">
        <v>99</v>
      </c>
      <c r="G875" s="22" t="s">
        <v>3545</v>
      </c>
      <c r="H875" s="9" t="s">
        <v>4298</v>
      </c>
      <c r="I875" s="7" t="s">
        <v>869</v>
      </c>
      <c r="J875" s="23" t="s">
        <v>3546</v>
      </c>
      <c r="K875" s="24" t="s">
        <v>3547</v>
      </c>
      <c r="L875" s="22" t="s">
        <v>3548</v>
      </c>
      <c r="M875" s="25"/>
      <c r="N875" s="25"/>
      <c r="O875" s="26"/>
      <c r="P875" s="27"/>
      <c r="Q875" s="28"/>
      <c r="R875" s="28"/>
      <c r="S875" s="26"/>
    </row>
    <row r="876" customFormat="false" ht="15" hidden="false" customHeight="false" outlineLevel="0" collapsed="false">
      <c r="A876" s="7" t="n">
        <v>872</v>
      </c>
      <c r="B876" s="9" t="s">
        <v>35</v>
      </c>
      <c r="C876" s="22" t="s">
        <v>3553</v>
      </c>
      <c r="D876" s="9" t="s">
        <v>3554</v>
      </c>
      <c r="E876" s="9" t="s">
        <v>47</v>
      </c>
      <c r="F876" s="9" t="s">
        <v>99</v>
      </c>
      <c r="G876" s="22" t="s">
        <v>7320</v>
      </c>
      <c r="H876" s="9" t="s">
        <v>4298</v>
      </c>
      <c r="I876" s="7"/>
      <c r="J876" s="23" t="s">
        <v>7321</v>
      </c>
      <c r="K876" s="24" t="s">
        <v>7322</v>
      </c>
      <c r="L876" s="22" t="s">
        <v>7323</v>
      </c>
      <c r="M876" s="25"/>
      <c r="N876" s="25"/>
      <c r="O876" s="26"/>
      <c r="P876" s="27"/>
      <c r="Q876" s="28"/>
      <c r="R876" s="28"/>
      <c r="S876" s="26"/>
    </row>
    <row r="877" customFormat="false" ht="15" hidden="false" customHeight="false" outlineLevel="0" collapsed="false">
      <c r="A877" s="7" t="n">
        <v>873</v>
      </c>
      <c r="B877" s="9" t="s">
        <v>35</v>
      </c>
      <c r="C877" s="22" t="s">
        <v>3553</v>
      </c>
      <c r="D877" s="9" t="s">
        <v>3554</v>
      </c>
      <c r="E877" s="9" t="s">
        <v>48</v>
      </c>
      <c r="F877" s="9" t="s">
        <v>99</v>
      </c>
      <c r="G877" s="22" t="s">
        <v>7324</v>
      </c>
      <c r="H877" s="9" t="s">
        <v>4298</v>
      </c>
      <c r="I877" s="7"/>
      <c r="J877" s="23" t="s">
        <v>7325</v>
      </c>
      <c r="K877" s="24" t="s">
        <v>7326</v>
      </c>
      <c r="L877" s="22" t="s">
        <v>7327</v>
      </c>
      <c r="M877" s="25"/>
      <c r="N877" s="25"/>
      <c r="O877" s="26"/>
      <c r="P877" s="27"/>
      <c r="Q877" s="28"/>
      <c r="R877" s="28"/>
      <c r="S877" s="26"/>
    </row>
    <row r="878" customFormat="false" ht="15" hidden="false" customHeight="false" outlineLevel="0" collapsed="false">
      <c r="A878" s="7" t="n">
        <v>874</v>
      </c>
      <c r="B878" s="9" t="s">
        <v>35</v>
      </c>
      <c r="C878" s="22" t="s">
        <v>3559</v>
      </c>
      <c r="D878" s="9" t="s">
        <v>3448</v>
      </c>
      <c r="E878" s="9" t="s">
        <v>47</v>
      </c>
      <c r="F878" s="9" t="s">
        <v>99</v>
      </c>
      <c r="G878" s="22" t="s">
        <v>7328</v>
      </c>
      <c r="H878" s="9" t="s">
        <v>4298</v>
      </c>
      <c r="I878" s="7"/>
      <c r="J878" s="23" t="s">
        <v>7329</v>
      </c>
      <c r="K878" s="24" t="s">
        <v>7330</v>
      </c>
      <c r="L878" s="22" t="s">
        <v>7331</v>
      </c>
      <c r="M878" s="25"/>
      <c r="N878" s="25"/>
      <c r="O878" s="26"/>
      <c r="P878" s="27"/>
      <c r="Q878" s="28"/>
      <c r="R878" s="28"/>
      <c r="S878" s="26"/>
    </row>
    <row r="879" customFormat="false" ht="15" hidden="false" customHeight="false" outlineLevel="0" collapsed="false">
      <c r="A879" s="7" t="n">
        <v>875</v>
      </c>
      <c r="B879" s="9" t="s">
        <v>35</v>
      </c>
      <c r="C879" s="22" t="s">
        <v>3559</v>
      </c>
      <c r="D879" s="9" t="s">
        <v>3448</v>
      </c>
      <c r="E879" s="9" t="s">
        <v>47</v>
      </c>
      <c r="F879" s="9" t="s">
        <v>99</v>
      </c>
      <c r="G879" s="22" t="s">
        <v>7332</v>
      </c>
      <c r="H879" s="9" t="s">
        <v>4298</v>
      </c>
      <c r="I879" s="7"/>
      <c r="J879" s="23" t="s">
        <v>7333</v>
      </c>
      <c r="K879" s="24" t="s">
        <v>7334</v>
      </c>
      <c r="L879" s="22" t="s">
        <v>7335</v>
      </c>
      <c r="M879" s="25"/>
      <c r="N879" s="25"/>
      <c r="O879" s="26"/>
      <c r="P879" s="27"/>
      <c r="Q879" s="28"/>
      <c r="R879" s="28"/>
      <c r="S879" s="26"/>
    </row>
    <row r="880" customFormat="false" ht="15" hidden="false" customHeight="false" outlineLevel="0" collapsed="false">
      <c r="A880" s="7" t="n">
        <v>876</v>
      </c>
      <c r="B880" s="9" t="s">
        <v>35</v>
      </c>
      <c r="C880" s="22" t="s">
        <v>3559</v>
      </c>
      <c r="D880" s="9" t="s">
        <v>3448</v>
      </c>
      <c r="E880" s="9" t="s">
        <v>47</v>
      </c>
      <c r="F880" s="9" t="s">
        <v>99</v>
      </c>
      <c r="G880" s="22" t="s">
        <v>3564</v>
      </c>
      <c r="H880" s="9" t="s">
        <v>4298</v>
      </c>
      <c r="I880" s="7" t="s">
        <v>869</v>
      </c>
      <c r="J880" s="23" t="s">
        <v>3565</v>
      </c>
      <c r="K880" s="24" t="s">
        <v>3566</v>
      </c>
      <c r="L880" s="22" t="s">
        <v>3567</v>
      </c>
      <c r="M880" s="25"/>
      <c r="N880" s="25"/>
      <c r="O880" s="26"/>
      <c r="P880" s="27"/>
      <c r="Q880" s="28"/>
      <c r="R880" s="28"/>
      <c r="S880" s="26"/>
    </row>
    <row r="881" customFormat="false" ht="15" hidden="false" customHeight="false" outlineLevel="0" collapsed="false">
      <c r="A881" s="7" t="n">
        <v>877</v>
      </c>
      <c r="B881" s="9" t="s">
        <v>35</v>
      </c>
      <c r="C881" s="22" t="s">
        <v>3559</v>
      </c>
      <c r="D881" s="9" t="s">
        <v>3448</v>
      </c>
      <c r="E881" s="9" t="s">
        <v>47</v>
      </c>
      <c r="F881" s="9" t="s">
        <v>99</v>
      </c>
      <c r="G881" s="22" t="s">
        <v>7336</v>
      </c>
      <c r="H881" s="9" t="s">
        <v>4298</v>
      </c>
      <c r="I881" s="7"/>
      <c r="J881" s="23" t="s">
        <v>7337</v>
      </c>
      <c r="K881" s="24" t="s">
        <v>7338</v>
      </c>
      <c r="L881" s="22" t="s">
        <v>7339</v>
      </c>
      <c r="M881" s="25"/>
      <c r="N881" s="25"/>
      <c r="O881" s="26"/>
      <c r="P881" s="27"/>
      <c r="Q881" s="28"/>
      <c r="R881" s="28"/>
      <c r="S881" s="26"/>
    </row>
    <row r="882" customFormat="false" ht="15" hidden="false" customHeight="false" outlineLevel="0" collapsed="false">
      <c r="A882" s="7" t="n">
        <v>878</v>
      </c>
      <c r="B882" s="9" t="s">
        <v>35</v>
      </c>
      <c r="C882" s="22" t="s">
        <v>3559</v>
      </c>
      <c r="D882" s="9" t="s">
        <v>3448</v>
      </c>
      <c r="E882" s="9" t="s">
        <v>47</v>
      </c>
      <c r="F882" s="9" t="s">
        <v>99</v>
      </c>
      <c r="G882" s="22" t="s">
        <v>7340</v>
      </c>
      <c r="H882" s="9" t="s">
        <v>4298</v>
      </c>
      <c r="I882" s="7"/>
      <c r="J882" s="23" t="s">
        <v>7341</v>
      </c>
      <c r="K882" s="24" t="s">
        <v>7342</v>
      </c>
      <c r="L882" s="22" t="s">
        <v>7343</v>
      </c>
      <c r="M882" s="25"/>
      <c r="N882" s="25"/>
      <c r="O882" s="26"/>
      <c r="P882" s="27"/>
      <c r="Q882" s="28"/>
      <c r="R882" s="28"/>
      <c r="S882" s="26"/>
    </row>
    <row r="883" customFormat="false" ht="15" hidden="false" customHeight="false" outlineLevel="0" collapsed="false">
      <c r="A883" s="7" t="n">
        <v>879</v>
      </c>
      <c r="B883" s="9" t="s">
        <v>35</v>
      </c>
      <c r="C883" s="22" t="s">
        <v>3580</v>
      </c>
      <c r="D883" s="9" t="s">
        <v>3581</v>
      </c>
      <c r="E883" s="9" t="s">
        <v>47</v>
      </c>
      <c r="F883" s="9" t="s">
        <v>99</v>
      </c>
      <c r="G883" s="22" t="s">
        <v>7344</v>
      </c>
      <c r="H883" s="9" t="s">
        <v>4298</v>
      </c>
      <c r="I883" s="7"/>
      <c r="J883" s="23" t="s">
        <v>7345</v>
      </c>
      <c r="K883" s="23"/>
      <c r="L883" s="22" t="s">
        <v>7346</v>
      </c>
      <c r="M883" s="25"/>
      <c r="N883" s="25"/>
      <c r="O883" s="26"/>
      <c r="P883" s="27"/>
      <c r="Q883" s="28"/>
      <c r="R883" s="28"/>
      <c r="S883" s="26"/>
    </row>
    <row r="884" customFormat="false" ht="15" hidden="false" customHeight="false" outlineLevel="0" collapsed="false">
      <c r="A884" s="7" t="n">
        <v>880</v>
      </c>
      <c r="B884" s="9" t="s">
        <v>35</v>
      </c>
      <c r="C884" s="22" t="s">
        <v>3580</v>
      </c>
      <c r="D884" s="9" t="s">
        <v>3581</v>
      </c>
      <c r="E884" s="9" t="s">
        <v>48</v>
      </c>
      <c r="F884" s="9" t="s">
        <v>99</v>
      </c>
      <c r="G884" s="22" t="s">
        <v>7347</v>
      </c>
      <c r="H884" s="9" t="s">
        <v>4298</v>
      </c>
      <c r="I884" s="7"/>
      <c r="J884" s="23" t="s">
        <v>7348</v>
      </c>
      <c r="K884" s="24" t="s">
        <v>7349</v>
      </c>
      <c r="L884" s="22" t="s">
        <v>7350</v>
      </c>
      <c r="M884" s="25"/>
      <c r="N884" s="25"/>
      <c r="O884" s="26"/>
      <c r="P884" s="27"/>
      <c r="Q884" s="28"/>
      <c r="R884" s="28"/>
      <c r="S884" s="26"/>
    </row>
    <row r="885" customFormat="false" ht="15" hidden="false" customHeight="false" outlineLevel="0" collapsed="false">
      <c r="A885" s="7" t="n">
        <v>881</v>
      </c>
      <c r="B885" s="9" t="s">
        <v>35</v>
      </c>
      <c r="C885" s="22" t="s">
        <v>7351</v>
      </c>
      <c r="D885" s="9" t="s">
        <v>7231</v>
      </c>
      <c r="E885" s="9" t="s">
        <v>47</v>
      </c>
      <c r="F885" s="9" t="s">
        <v>99</v>
      </c>
      <c r="G885" s="22" t="s">
        <v>7352</v>
      </c>
      <c r="H885" s="9" t="s">
        <v>4298</v>
      </c>
      <c r="I885" s="7"/>
      <c r="J885" s="23" t="s">
        <v>7353</v>
      </c>
      <c r="K885" s="24" t="s">
        <v>7354</v>
      </c>
      <c r="L885" s="22" t="s">
        <v>7355</v>
      </c>
      <c r="M885" s="25"/>
      <c r="N885" s="25"/>
      <c r="O885" s="26"/>
      <c r="P885" s="27"/>
      <c r="Q885" s="28"/>
      <c r="R885" s="28"/>
      <c r="S885" s="26"/>
    </row>
    <row r="886" customFormat="false" ht="15" hidden="false" customHeight="false" outlineLevel="0" collapsed="false">
      <c r="A886" s="7" t="n">
        <v>882</v>
      </c>
      <c r="B886" s="9" t="s">
        <v>35</v>
      </c>
      <c r="C886" s="22" t="s">
        <v>7351</v>
      </c>
      <c r="D886" s="9" t="s">
        <v>7231</v>
      </c>
      <c r="E886" s="9" t="s">
        <v>47</v>
      </c>
      <c r="F886" s="9" t="s">
        <v>99</v>
      </c>
      <c r="G886" s="22" t="s">
        <v>7356</v>
      </c>
      <c r="H886" s="9" t="s">
        <v>4298</v>
      </c>
      <c r="I886" s="7"/>
      <c r="J886" s="23" t="s">
        <v>7357</v>
      </c>
      <c r="K886" s="24" t="s">
        <v>7358</v>
      </c>
      <c r="L886" s="22" t="s">
        <v>7359</v>
      </c>
      <c r="M886" s="25"/>
      <c r="N886" s="25"/>
      <c r="O886" s="26"/>
      <c r="P886" s="27"/>
      <c r="Q886" s="28"/>
      <c r="R886" s="28"/>
      <c r="S886" s="26"/>
    </row>
    <row r="887" customFormat="false" ht="15" hidden="false" customHeight="false" outlineLevel="0" collapsed="false">
      <c r="A887" s="7" t="n">
        <v>883</v>
      </c>
      <c r="B887" s="9" t="s">
        <v>35</v>
      </c>
      <c r="C887" s="22" t="s">
        <v>7351</v>
      </c>
      <c r="D887" s="9" t="s">
        <v>7231</v>
      </c>
      <c r="E887" s="9" t="s">
        <v>48</v>
      </c>
      <c r="F887" s="9" t="s">
        <v>99</v>
      </c>
      <c r="G887" s="22" t="s">
        <v>7360</v>
      </c>
      <c r="H887" s="9" t="s">
        <v>4298</v>
      </c>
      <c r="I887" s="7"/>
      <c r="J887" s="23" t="s">
        <v>7361</v>
      </c>
      <c r="K887" s="24" t="s">
        <v>7362</v>
      </c>
      <c r="L887" s="22" t="s">
        <v>7363</v>
      </c>
      <c r="M887" s="25"/>
      <c r="N887" s="25"/>
      <c r="O887" s="26"/>
      <c r="P887" s="27"/>
      <c r="Q887" s="28"/>
      <c r="R887" s="28"/>
      <c r="S887" s="26"/>
    </row>
    <row r="888" customFormat="false" ht="15" hidden="false" customHeight="false" outlineLevel="0" collapsed="false">
      <c r="A888" s="7" t="n">
        <v>884</v>
      </c>
      <c r="B888" s="9" t="s">
        <v>35</v>
      </c>
      <c r="C888" s="22" t="s">
        <v>3586</v>
      </c>
      <c r="D888" s="9" t="s">
        <v>3454</v>
      </c>
      <c r="E888" s="9" t="s">
        <v>47</v>
      </c>
      <c r="F888" s="9" t="s">
        <v>99</v>
      </c>
      <c r="G888" s="22" t="s">
        <v>7364</v>
      </c>
      <c r="H888" s="9" t="s">
        <v>4298</v>
      </c>
      <c r="I888" s="7"/>
      <c r="J888" s="23" t="s">
        <v>7365</v>
      </c>
      <c r="K888" s="24" t="s">
        <v>7366</v>
      </c>
      <c r="L888" s="22" t="s">
        <v>7367</v>
      </c>
      <c r="M888" s="25"/>
      <c r="N888" s="25"/>
      <c r="O888" s="26"/>
      <c r="P888" s="27"/>
      <c r="Q888" s="28"/>
      <c r="R888" s="28"/>
      <c r="S888" s="26"/>
    </row>
    <row r="889" customFormat="false" ht="15" hidden="false" customHeight="false" outlineLevel="0" collapsed="false">
      <c r="A889" s="7" t="n">
        <v>885</v>
      </c>
      <c r="B889" s="9" t="s">
        <v>35</v>
      </c>
      <c r="C889" s="22" t="s">
        <v>3586</v>
      </c>
      <c r="D889" s="9" t="s">
        <v>3454</v>
      </c>
      <c r="E889" s="9" t="s">
        <v>47</v>
      </c>
      <c r="F889" s="9" t="s">
        <v>99</v>
      </c>
      <c r="G889" s="22" t="s">
        <v>7368</v>
      </c>
      <c r="H889" s="9" t="s">
        <v>4298</v>
      </c>
      <c r="I889" s="7"/>
      <c r="J889" s="23" t="s">
        <v>7369</v>
      </c>
      <c r="K889" s="24" t="s">
        <v>7370</v>
      </c>
      <c r="L889" s="22" t="s">
        <v>7371</v>
      </c>
      <c r="M889" s="25"/>
      <c r="N889" s="25"/>
      <c r="O889" s="26"/>
      <c r="P889" s="27"/>
      <c r="Q889" s="28"/>
      <c r="R889" s="28"/>
      <c r="S889" s="26"/>
    </row>
    <row r="890" customFormat="false" ht="15" hidden="false" customHeight="false" outlineLevel="0" collapsed="false">
      <c r="A890" s="7" t="n">
        <v>886</v>
      </c>
      <c r="B890" s="9" t="s">
        <v>35</v>
      </c>
      <c r="C890" s="22" t="s">
        <v>3586</v>
      </c>
      <c r="D890" s="9" t="s">
        <v>3454</v>
      </c>
      <c r="E890" s="9" t="s">
        <v>47</v>
      </c>
      <c r="F890" s="9" t="s">
        <v>99</v>
      </c>
      <c r="G890" s="22" t="s">
        <v>3587</v>
      </c>
      <c r="H890" s="9" t="s">
        <v>4298</v>
      </c>
      <c r="I890" s="7" t="s">
        <v>869</v>
      </c>
      <c r="J890" s="23" t="s">
        <v>3588</v>
      </c>
      <c r="K890" s="24" t="s">
        <v>3589</v>
      </c>
      <c r="L890" s="22" t="s">
        <v>3590</v>
      </c>
      <c r="M890" s="25"/>
      <c r="N890" s="25"/>
      <c r="O890" s="26"/>
      <c r="P890" s="27"/>
      <c r="Q890" s="28"/>
      <c r="R890" s="28"/>
      <c r="S890" s="26"/>
    </row>
    <row r="891" customFormat="false" ht="15" hidden="false" customHeight="false" outlineLevel="0" collapsed="false">
      <c r="A891" s="7" t="n">
        <v>887</v>
      </c>
      <c r="B891" s="9" t="s">
        <v>35</v>
      </c>
      <c r="C891" s="22" t="s">
        <v>3586</v>
      </c>
      <c r="D891" s="9" t="s">
        <v>3454</v>
      </c>
      <c r="E891" s="9" t="s">
        <v>47</v>
      </c>
      <c r="F891" s="9" t="s">
        <v>99</v>
      </c>
      <c r="G891" s="22" t="s">
        <v>7372</v>
      </c>
      <c r="H891" s="9" t="s">
        <v>4298</v>
      </c>
      <c r="I891" s="7"/>
      <c r="J891" s="23" t="s">
        <v>7373</v>
      </c>
      <c r="K891" s="24" t="s">
        <v>7374</v>
      </c>
      <c r="L891" s="22" t="s">
        <v>7375</v>
      </c>
      <c r="M891" s="25"/>
      <c r="N891" s="25"/>
      <c r="O891" s="26"/>
      <c r="P891" s="27"/>
      <c r="Q891" s="28"/>
      <c r="R891" s="28"/>
      <c r="S891" s="26"/>
    </row>
    <row r="892" customFormat="false" ht="15" hidden="false" customHeight="false" outlineLevel="0" collapsed="false">
      <c r="A892" s="7" t="n">
        <v>888</v>
      </c>
      <c r="B892" s="9" t="s">
        <v>35</v>
      </c>
      <c r="C892" s="22" t="s">
        <v>3586</v>
      </c>
      <c r="D892" s="9" t="s">
        <v>3454</v>
      </c>
      <c r="E892" s="9" t="s">
        <v>47</v>
      </c>
      <c r="F892" s="9" t="s">
        <v>99</v>
      </c>
      <c r="G892" s="22" t="s">
        <v>7376</v>
      </c>
      <c r="H892" s="9" t="s">
        <v>4298</v>
      </c>
      <c r="I892" s="7"/>
      <c r="J892" s="23" t="s">
        <v>7377</v>
      </c>
      <c r="K892" s="24" t="s">
        <v>7378</v>
      </c>
      <c r="L892" s="22" t="s">
        <v>7379</v>
      </c>
      <c r="M892" s="25"/>
      <c r="N892" s="25"/>
      <c r="O892" s="26"/>
      <c r="P892" s="27"/>
      <c r="Q892" s="28"/>
      <c r="R892" s="28"/>
      <c r="S892" s="26"/>
    </row>
    <row r="893" customFormat="false" ht="15" hidden="false" customHeight="false" outlineLevel="0" collapsed="false">
      <c r="A893" s="7" t="n">
        <v>889</v>
      </c>
      <c r="B893" s="9" t="s">
        <v>35</v>
      </c>
      <c r="C893" s="22" t="s">
        <v>3595</v>
      </c>
      <c r="D893" s="9" t="s">
        <v>3596</v>
      </c>
      <c r="E893" s="9" t="s">
        <v>47</v>
      </c>
      <c r="F893" s="9" t="s">
        <v>99</v>
      </c>
      <c r="G893" s="22" t="s">
        <v>7380</v>
      </c>
      <c r="H893" s="9" t="s">
        <v>4298</v>
      </c>
      <c r="I893" s="7"/>
      <c r="J893" s="23" t="s">
        <v>7381</v>
      </c>
      <c r="K893" s="24" t="s">
        <v>7382</v>
      </c>
      <c r="L893" s="22" t="s">
        <v>7383</v>
      </c>
      <c r="M893" s="25"/>
      <c r="N893" s="25"/>
      <c r="O893" s="26"/>
      <c r="P893" s="27"/>
      <c r="Q893" s="28"/>
      <c r="R893" s="28"/>
      <c r="S893" s="26"/>
    </row>
    <row r="894" customFormat="false" ht="15" hidden="false" customHeight="false" outlineLevel="0" collapsed="false">
      <c r="A894" s="7" t="n">
        <v>890</v>
      </c>
      <c r="B894" s="9" t="s">
        <v>35</v>
      </c>
      <c r="C894" s="22" t="s">
        <v>3595</v>
      </c>
      <c r="D894" s="9" t="s">
        <v>3596</v>
      </c>
      <c r="E894" s="9" t="s">
        <v>47</v>
      </c>
      <c r="F894" s="9" t="s">
        <v>99</v>
      </c>
      <c r="G894" s="22" t="s">
        <v>7384</v>
      </c>
      <c r="H894" s="9" t="s">
        <v>4298</v>
      </c>
      <c r="I894" s="7"/>
      <c r="J894" s="23" t="s">
        <v>7385</v>
      </c>
      <c r="K894" s="24" t="s">
        <v>7386</v>
      </c>
      <c r="L894" s="22" t="s">
        <v>7387</v>
      </c>
      <c r="M894" s="25"/>
      <c r="N894" s="25"/>
      <c r="O894" s="26"/>
      <c r="P894" s="27"/>
      <c r="Q894" s="28"/>
      <c r="R894" s="28"/>
      <c r="S894" s="26"/>
    </row>
    <row r="895" customFormat="false" ht="15" hidden="false" customHeight="false" outlineLevel="0" collapsed="false">
      <c r="A895" s="7" t="n">
        <v>891</v>
      </c>
      <c r="B895" s="9" t="s">
        <v>35</v>
      </c>
      <c r="C895" s="22" t="s">
        <v>3595</v>
      </c>
      <c r="D895" s="9" t="s">
        <v>3596</v>
      </c>
      <c r="E895" s="9" t="s">
        <v>47</v>
      </c>
      <c r="F895" s="9" t="s">
        <v>99</v>
      </c>
      <c r="G895" s="22" t="s">
        <v>3597</v>
      </c>
      <c r="H895" s="9" t="s">
        <v>4298</v>
      </c>
      <c r="I895" s="7" t="s">
        <v>869</v>
      </c>
      <c r="J895" s="23" t="s">
        <v>3598</v>
      </c>
      <c r="K895" s="24" t="s">
        <v>3599</v>
      </c>
      <c r="L895" s="22" t="s">
        <v>3600</v>
      </c>
      <c r="M895" s="25"/>
      <c r="N895" s="25"/>
      <c r="O895" s="26"/>
      <c r="P895" s="27"/>
      <c r="Q895" s="28"/>
      <c r="R895" s="28"/>
      <c r="S895" s="26"/>
    </row>
    <row r="896" customFormat="false" ht="15" hidden="false" customHeight="false" outlineLevel="0" collapsed="false">
      <c r="A896" s="7" t="n">
        <v>892</v>
      </c>
      <c r="B896" s="9" t="s">
        <v>35</v>
      </c>
      <c r="C896" s="22" t="s">
        <v>3595</v>
      </c>
      <c r="D896" s="9" t="s">
        <v>3596</v>
      </c>
      <c r="E896" s="9" t="s">
        <v>47</v>
      </c>
      <c r="F896" s="9" t="s">
        <v>99</v>
      </c>
      <c r="G896" s="22" t="s">
        <v>7388</v>
      </c>
      <c r="H896" s="9" t="s">
        <v>4298</v>
      </c>
      <c r="I896" s="7"/>
      <c r="J896" s="23" t="s">
        <v>7389</v>
      </c>
      <c r="K896" s="24" t="s">
        <v>7390</v>
      </c>
      <c r="L896" s="22" t="s">
        <v>7391</v>
      </c>
      <c r="M896" s="25"/>
      <c r="N896" s="25"/>
      <c r="O896" s="26"/>
      <c r="P896" s="27"/>
      <c r="Q896" s="28"/>
      <c r="R896" s="28"/>
      <c r="S896" s="26"/>
    </row>
    <row r="897" customFormat="false" ht="15" hidden="false" customHeight="false" outlineLevel="0" collapsed="false">
      <c r="A897" s="7" t="n">
        <v>893</v>
      </c>
      <c r="B897" s="9" t="s">
        <v>35</v>
      </c>
      <c r="C897" s="22" t="s">
        <v>7392</v>
      </c>
      <c r="D897" s="9" t="s">
        <v>7393</v>
      </c>
      <c r="E897" s="9" t="s">
        <v>47</v>
      </c>
      <c r="F897" s="9" t="s">
        <v>99</v>
      </c>
      <c r="G897" s="22" t="s">
        <v>7394</v>
      </c>
      <c r="H897" s="9" t="s">
        <v>4298</v>
      </c>
      <c r="I897" s="7"/>
      <c r="J897" s="23" t="s">
        <v>7395</v>
      </c>
      <c r="K897" s="24" t="s">
        <v>7396</v>
      </c>
      <c r="L897" s="22" t="s">
        <v>7397</v>
      </c>
      <c r="M897" s="25"/>
      <c r="N897" s="25"/>
      <c r="O897" s="26"/>
      <c r="P897" s="27"/>
      <c r="Q897" s="28"/>
      <c r="R897" s="28"/>
      <c r="S897" s="26"/>
    </row>
    <row r="898" customFormat="false" ht="15" hidden="false" customHeight="false" outlineLevel="0" collapsed="false">
      <c r="A898" s="7" t="n">
        <v>894</v>
      </c>
      <c r="B898" s="9" t="s">
        <v>35</v>
      </c>
      <c r="C898" s="22" t="s">
        <v>7392</v>
      </c>
      <c r="D898" s="9" t="s">
        <v>7393</v>
      </c>
      <c r="E898" s="9" t="s">
        <v>48</v>
      </c>
      <c r="F898" s="9" t="s">
        <v>124</v>
      </c>
      <c r="G898" s="22" t="s">
        <v>7398</v>
      </c>
      <c r="H898" s="9" t="s">
        <v>4298</v>
      </c>
      <c r="I898" s="7"/>
      <c r="J898" s="23" t="s">
        <v>7399</v>
      </c>
      <c r="K898" s="24" t="s">
        <v>7400</v>
      </c>
      <c r="L898" s="22" t="s">
        <v>7401</v>
      </c>
      <c r="M898" s="25"/>
      <c r="N898" s="25"/>
      <c r="O898" s="26"/>
      <c r="P898" s="27"/>
      <c r="Q898" s="28"/>
      <c r="R898" s="28"/>
      <c r="S898" s="26"/>
    </row>
    <row r="899" customFormat="false" ht="15" hidden="false" customHeight="false" outlineLevel="0" collapsed="false">
      <c r="A899" s="7" t="n">
        <v>895</v>
      </c>
      <c r="B899" s="9" t="s">
        <v>35</v>
      </c>
      <c r="C899" s="22" t="s">
        <v>3611</v>
      </c>
      <c r="D899" s="9" t="s">
        <v>3612</v>
      </c>
      <c r="E899" s="9" t="s">
        <v>47</v>
      </c>
      <c r="F899" s="9" t="s">
        <v>99</v>
      </c>
      <c r="G899" s="22" t="s">
        <v>3613</v>
      </c>
      <c r="H899" s="9" t="s">
        <v>4298</v>
      </c>
      <c r="I899" s="7" t="s">
        <v>869</v>
      </c>
      <c r="J899" s="23" t="s">
        <v>3614</v>
      </c>
      <c r="K899" s="24" t="s">
        <v>3615</v>
      </c>
      <c r="L899" s="22" t="s">
        <v>3616</v>
      </c>
      <c r="M899" s="25"/>
      <c r="N899" s="25"/>
      <c r="O899" s="26"/>
      <c r="P899" s="27"/>
      <c r="Q899" s="28"/>
      <c r="R899" s="28"/>
      <c r="S899" s="26"/>
    </row>
    <row r="900" customFormat="false" ht="15" hidden="false" customHeight="false" outlineLevel="0" collapsed="false">
      <c r="A900" s="7" t="n">
        <v>896</v>
      </c>
      <c r="B900" s="9" t="s">
        <v>35</v>
      </c>
      <c r="C900" s="22" t="s">
        <v>3611</v>
      </c>
      <c r="D900" s="9" t="s">
        <v>3612</v>
      </c>
      <c r="E900" s="9" t="s">
        <v>47</v>
      </c>
      <c r="F900" s="9" t="s">
        <v>99</v>
      </c>
      <c r="G900" s="22" t="s">
        <v>3621</v>
      </c>
      <c r="H900" s="9" t="s">
        <v>4298</v>
      </c>
      <c r="I900" s="7" t="s">
        <v>869</v>
      </c>
      <c r="J900" s="23" t="s">
        <v>3622</v>
      </c>
      <c r="K900" s="24" t="s">
        <v>3623</v>
      </c>
      <c r="L900" s="22" t="s">
        <v>3624</v>
      </c>
      <c r="M900" s="25"/>
      <c r="N900" s="25"/>
      <c r="O900" s="26"/>
      <c r="P900" s="27"/>
      <c r="Q900" s="28"/>
      <c r="R900" s="28"/>
      <c r="S900" s="26"/>
    </row>
    <row r="901" customFormat="false" ht="15" hidden="false" customHeight="false" outlineLevel="0" collapsed="false">
      <c r="A901" s="7" t="n">
        <v>897</v>
      </c>
      <c r="B901" s="9" t="s">
        <v>35</v>
      </c>
      <c r="C901" s="22" t="s">
        <v>3611</v>
      </c>
      <c r="D901" s="9" t="s">
        <v>3612</v>
      </c>
      <c r="E901" s="9" t="s">
        <v>47</v>
      </c>
      <c r="F901" s="9" t="s">
        <v>99</v>
      </c>
      <c r="G901" s="22" t="s">
        <v>3625</v>
      </c>
      <c r="H901" s="9" t="s">
        <v>4298</v>
      </c>
      <c r="I901" s="7" t="s">
        <v>869</v>
      </c>
      <c r="J901" s="23" t="s">
        <v>3626</v>
      </c>
      <c r="K901" s="24" t="s">
        <v>3627</v>
      </c>
      <c r="L901" s="22" t="s">
        <v>3628</v>
      </c>
      <c r="M901" s="25"/>
      <c r="N901" s="25"/>
      <c r="O901" s="26"/>
      <c r="P901" s="27"/>
      <c r="Q901" s="28"/>
      <c r="R901" s="28"/>
      <c r="S901" s="26"/>
    </row>
    <row r="902" customFormat="false" ht="15" hidden="false" customHeight="false" outlineLevel="0" collapsed="false">
      <c r="A902" s="7" t="n">
        <v>898</v>
      </c>
      <c r="B902" s="9" t="s">
        <v>35</v>
      </c>
      <c r="C902" s="22" t="s">
        <v>3629</v>
      </c>
      <c r="D902" s="9" t="s">
        <v>3630</v>
      </c>
      <c r="E902" s="9" t="s">
        <v>47</v>
      </c>
      <c r="F902" s="9" t="s">
        <v>99</v>
      </c>
      <c r="G902" s="22" t="s">
        <v>3631</v>
      </c>
      <c r="H902" s="9" t="s">
        <v>4298</v>
      </c>
      <c r="I902" s="7" t="s">
        <v>869</v>
      </c>
      <c r="J902" s="23" t="s">
        <v>3632</v>
      </c>
      <c r="K902" s="24" t="s">
        <v>3633</v>
      </c>
      <c r="L902" s="22" t="s">
        <v>3634</v>
      </c>
      <c r="M902" s="25"/>
      <c r="N902" s="25"/>
      <c r="O902" s="26"/>
      <c r="P902" s="27"/>
      <c r="Q902" s="28"/>
      <c r="R902" s="28"/>
      <c r="S902" s="26"/>
    </row>
    <row r="903" customFormat="false" ht="15" hidden="false" customHeight="false" outlineLevel="0" collapsed="false">
      <c r="A903" s="7" t="n">
        <v>899</v>
      </c>
      <c r="B903" s="9" t="s">
        <v>35</v>
      </c>
      <c r="C903" s="22" t="s">
        <v>3629</v>
      </c>
      <c r="D903" s="9" t="s">
        <v>3630</v>
      </c>
      <c r="E903" s="9" t="s">
        <v>48</v>
      </c>
      <c r="F903" s="9" t="s">
        <v>99</v>
      </c>
      <c r="G903" s="22" t="s">
        <v>7402</v>
      </c>
      <c r="H903" s="9" t="s">
        <v>4298</v>
      </c>
      <c r="I903" s="7"/>
      <c r="J903" s="23" t="s">
        <v>7403</v>
      </c>
      <c r="K903" s="24" t="s">
        <v>7404</v>
      </c>
      <c r="L903" s="22" t="s">
        <v>7405</v>
      </c>
      <c r="M903" s="25"/>
      <c r="N903" s="25"/>
      <c r="O903" s="26"/>
      <c r="P903" s="27"/>
      <c r="Q903" s="28"/>
      <c r="R903" s="28"/>
      <c r="S903" s="26"/>
    </row>
    <row r="904" customFormat="false" ht="15" hidden="false" customHeight="false" outlineLevel="0" collapsed="false">
      <c r="A904" s="7" t="n">
        <v>900</v>
      </c>
      <c r="B904" s="9" t="s">
        <v>35</v>
      </c>
      <c r="C904" s="22" t="s">
        <v>3635</v>
      </c>
      <c r="D904" s="9" t="s">
        <v>3459</v>
      </c>
      <c r="E904" s="9" t="s">
        <v>47</v>
      </c>
      <c r="F904" s="9" t="s">
        <v>99</v>
      </c>
      <c r="G904" s="22" t="s">
        <v>3644</v>
      </c>
      <c r="H904" s="9" t="s">
        <v>4298</v>
      </c>
      <c r="I904" s="7" t="s">
        <v>869</v>
      </c>
      <c r="J904" s="23" t="s">
        <v>3645</v>
      </c>
      <c r="K904" s="24" t="s">
        <v>3646</v>
      </c>
      <c r="L904" s="22" t="s">
        <v>3647</v>
      </c>
      <c r="M904" s="25"/>
      <c r="N904" s="25"/>
      <c r="O904" s="26"/>
      <c r="P904" s="27"/>
      <c r="Q904" s="28"/>
      <c r="R904" s="28"/>
      <c r="S904" s="26"/>
    </row>
    <row r="905" customFormat="false" ht="15" hidden="false" customHeight="false" outlineLevel="0" collapsed="false">
      <c r="A905" s="7" t="n">
        <v>901</v>
      </c>
      <c r="B905" s="9" t="s">
        <v>35</v>
      </c>
      <c r="C905" s="22" t="s">
        <v>3635</v>
      </c>
      <c r="D905" s="9" t="s">
        <v>3459</v>
      </c>
      <c r="E905" s="9" t="s">
        <v>47</v>
      </c>
      <c r="F905" s="9" t="s">
        <v>99</v>
      </c>
      <c r="G905" s="22" t="s">
        <v>7406</v>
      </c>
      <c r="H905" s="9" t="s">
        <v>4298</v>
      </c>
      <c r="I905" s="7"/>
      <c r="J905" s="23" t="s">
        <v>7407</v>
      </c>
      <c r="K905" s="24" t="s">
        <v>7408</v>
      </c>
      <c r="L905" s="22" t="s">
        <v>7409</v>
      </c>
      <c r="M905" s="25"/>
      <c r="N905" s="25"/>
      <c r="O905" s="26"/>
      <c r="P905" s="27"/>
      <c r="Q905" s="28"/>
      <c r="R905" s="28"/>
      <c r="S905" s="26"/>
    </row>
    <row r="906" customFormat="false" ht="15" hidden="false" customHeight="false" outlineLevel="0" collapsed="false">
      <c r="A906" s="7" t="n">
        <v>902</v>
      </c>
      <c r="B906" s="9" t="s">
        <v>35</v>
      </c>
      <c r="C906" s="22" t="s">
        <v>3635</v>
      </c>
      <c r="D906" s="9" t="s">
        <v>3459</v>
      </c>
      <c r="E906" s="9" t="s">
        <v>47</v>
      </c>
      <c r="F906" s="9" t="s">
        <v>99</v>
      </c>
      <c r="G906" s="22" t="s">
        <v>3648</v>
      </c>
      <c r="H906" s="9" t="s">
        <v>4298</v>
      </c>
      <c r="I906" s="7" t="s">
        <v>869</v>
      </c>
      <c r="J906" s="23" t="s">
        <v>3649</v>
      </c>
      <c r="K906" s="24" t="s">
        <v>3650</v>
      </c>
      <c r="L906" s="22" t="s">
        <v>3651</v>
      </c>
      <c r="M906" s="25"/>
      <c r="N906" s="25"/>
      <c r="O906" s="26"/>
      <c r="P906" s="27"/>
      <c r="Q906" s="28"/>
      <c r="R906" s="28"/>
      <c r="S906" s="26"/>
    </row>
    <row r="907" customFormat="false" ht="15" hidden="false" customHeight="false" outlineLevel="0" collapsed="false">
      <c r="A907" s="7" t="n">
        <v>903</v>
      </c>
      <c r="B907" s="9" t="s">
        <v>35</v>
      </c>
      <c r="C907" s="22" t="s">
        <v>3635</v>
      </c>
      <c r="D907" s="9" t="s">
        <v>3459</v>
      </c>
      <c r="E907" s="9" t="s">
        <v>47</v>
      </c>
      <c r="F907" s="9" t="s">
        <v>99</v>
      </c>
      <c r="G907" s="22" t="s">
        <v>7410</v>
      </c>
      <c r="H907" s="9" t="s">
        <v>4298</v>
      </c>
      <c r="I907" s="7"/>
      <c r="J907" s="23" t="s">
        <v>7411</v>
      </c>
      <c r="K907" s="24" t="s">
        <v>7412</v>
      </c>
      <c r="L907" s="22" t="s">
        <v>7413</v>
      </c>
      <c r="M907" s="25"/>
      <c r="N907" s="25"/>
      <c r="O907" s="26"/>
      <c r="P907" s="27"/>
      <c r="Q907" s="28"/>
      <c r="R907" s="28"/>
      <c r="S907" s="26"/>
    </row>
    <row r="908" customFormat="false" ht="15" hidden="false" customHeight="false" outlineLevel="0" collapsed="false">
      <c r="A908" s="7" t="n">
        <v>904</v>
      </c>
      <c r="B908" s="9" t="s">
        <v>35</v>
      </c>
      <c r="C908" s="22" t="s">
        <v>3635</v>
      </c>
      <c r="D908" s="9" t="s">
        <v>3459</v>
      </c>
      <c r="E908" s="9" t="s">
        <v>47</v>
      </c>
      <c r="F908" s="9" t="s">
        <v>99</v>
      </c>
      <c r="G908" s="22" t="s">
        <v>3652</v>
      </c>
      <c r="H908" s="9" t="s">
        <v>4298</v>
      </c>
      <c r="I908" s="7" t="s">
        <v>869</v>
      </c>
      <c r="J908" s="23" t="s">
        <v>3653</v>
      </c>
      <c r="K908" s="24" t="s">
        <v>3654</v>
      </c>
      <c r="L908" s="22" t="s">
        <v>3655</v>
      </c>
      <c r="M908" s="25"/>
      <c r="N908" s="25"/>
      <c r="O908" s="26"/>
      <c r="P908" s="27"/>
      <c r="Q908" s="28"/>
      <c r="R908" s="28"/>
      <c r="S908" s="26"/>
    </row>
    <row r="909" customFormat="false" ht="15" hidden="false" customHeight="false" outlineLevel="0" collapsed="false">
      <c r="A909" s="7" t="n">
        <v>905</v>
      </c>
      <c r="B909" s="9" t="s">
        <v>37</v>
      </c>
      <c r="C909" s="22" t="s">
        <v>3659</v>
      </c>
      <c r="D909" s="9" t="s">
        <v>3660</v>
      </c>
      <c r="E909" s="9" t="s">
        <v>47</v>
      </c>
      <c r="F909" s="9" t="s">
        <v>99</v>
      </c>
      <c r="G909" s="22" t="s">
        <v>7414</v>
      </c>
      <c r="H909" s="9" t="s">
        <v>4298</v>
      </c>
      <c r="I909" s="7"/>
      <c r="J909" s="23" t="s">
        <v>7415</v>
      </c>
      <c r="K909" s="24" t="s">
        <v>7416</v>
      </c>
      <c r="L909" s="22" t="s">
        <v>7417</v>
      </c>
      <c r="M909" s="25"/>
      <c r="N909" s="25"/>
      <c r="O909" s="26"/>
      <c r="P909" s="27"/>
      <c r="Q909" s="28"/>
      <c r="R909" s="28"/>
      <c r="S909" s="26"/>
    </row>
    <row r="910" customFormat="false" ht="15" hidden="false" customHeight="false" outlineLevel="0" collapsed="false">
      <c r="A910" s="7" t="n">
        <v>906</v>
      </c>
      <c r="B910" s="9" t="s">
        <v>37</v>
      </c>
      <c r="C910" s="22" t="s">
        <v>3659</v>
      </c>
      <c r="D910" s="9" t="s">
        <v>3660</v>
      </c>
      <c r="E910" s="9" t="s">
        <v>47</v>
      </c>
      <c r="F910" s="9" t="s">
        <v>99</v>
      </c>
      <c r="G910" s="22" t="s">
        <v>7418</v>
      </c>
      <c r="H910" s="9" t="s">
        <v>4298</v>
      </c>
      <c r="I910" s="7"/>
      <c r="J910" s="23" t="s">
        <v>7419</v>
      </c>
      <c r="K910" s="24" t="s">
        <v>7420</v>
      </c>
      <c r="L910" s="22" t="s">
        <v>7421</v>
      </c>
      <c r="M910" s="25"/>
      <c r="N910" s="25"/>
      <c r="O910" s="26"/>
      <c r="P910" s="27"/>
      <c r="Q910" s="28"/>
      <c r="R910" s="28"/>
      <c r="S910" s="26"/>
    </row>
    <row r="911" customFormat="false" ht="15" hidden="false" customHeight="false" outlineLevel="0" collapsed="false">
      <c r="A911" s="7" t="n">
        <v>907</v>
      </c>
      <c r="B911" s="9" t="s">
        <v>37</v>
      </c>
      <c r="C911" s="22" t="s">
        <v>3659</v>
      </c>
      <c r="D911" s="9" t="s">
        <v>3660</v>
      </c>
      <c r="E911" s="9" t="s">
        <v>47</v>
      </c>
      <c r="F911" s="9" t="s">
        <v>99</v>
      </c>
      <c r="G911" s="22" t="s">
        <v>3661</v>
      </c>
      <c r="H911" s="9" t="s">
        <v>4298</v>
      </c>
      <c r="I911" s="7" t="s">
        <v>869</v>
      </c>
      <c r="J911" s="23" t="s">
        <v>3662</v>
      </c>
      <c r="K911" s="24" t="s">
        <v>3663</v>
      </c>
      <c r="L911" s="22" t="s">
        <v>3664</v>
      </c>
      <c r="M911" s="25"/>
      <c r="N911" s="25"/>
      <c r="O911" s="26"/>
      <c r="P911" s="27"/>
      <c r="Q911" s="28"/>
      <c r="R911" s="28"/>
      <c r="S911" s="26"/>
    </row>
    <row r="912" customFormat="false" ht="15" hidden="false" customHeight="false" outlineLevel="0" collapsed="false">
      <c r="A912" s="7" t="n">
        <v>908</v>
      </c>
      <c r="B912" s="9" t="s">
        <v>37</v>
      </c>
      <c r="C912" s="22" t="s">
        <v>3659</v>
      </c>
      <c r="D912" s="9" t="s">
        <v>3660</v>
      </c>
      <c r="E912" s="9" t="s">
        <v>47</v>
      </c>
      <c r="F912" s="9" t="s">
        <v>99</v>
      </c>
      <c r="G912" s="22" t="s">
        <v>7422</v>
      </c>
      <c r="H912" s="9" t="s">
        <v>4298</v>
      </c>
      <c r="I912" s="7"/>
      <c r="J912" s="23" t="s">
        <v>7423</v>
      </c>
      <c r="K912" s="24" t="s">
        <v>7424</v>
      </c>
      <c r="L912" s="22" t="s">
        <v>7425</v>
      </c>
      <c r="M912" s="25"/>
      <c r="N912" s="25"/>
      <c r="O912" s="26"/>
      <c r="P912" s="27"/>
      <c r="Q912" s="28"/>
      <c r="R912" s="28"/>
      <c r="S912" s="26"/>
    </row>
    <row r="913" customFormat="false" ht="15" hidden="false" customHeight="false" outlineLevel="0" collapsed="false">
      <c r="A913" s="7" t="n">
        <v>909</v>
      </c>
      <c r="B913" s="9" t="s">
        <v>37</v>
      </c>
      <c r="C913" s="22" t="s">
        <v>3659</v>
      </c>
      <c r="D913" s="9" t="s">
        <v>3660</v>
      </c>
      <c r="E913" s="9" t="s">
        <v>47</v>
      </c>
      <c r="F913" s="9" t="s">
        <v>99</v>
      </c>
      <c r="G913" s="22" t="s">
        <v>3665</v>
      </c>
      <c r="H913" s="9" t="s">
        <v>4298</v>
      </c>
      <c r="I913" s="7" t="s">
        <v>869</v>
      </c>
      <c r="J913" s="23" t="s">
        <v>3666</v>
      </c>
      <c r="K913" s="24" t="s">
        <v>3667</v>
      </c>
      <c r="L913" s="22" t="s">
        <v>3668</v>
      </c>
      <c r="M913" s="25"/>
      <c r="N913" s="25"/>
      <c r="O913" s="26"/>
      <c r="P913" s="27"/>
      <c r="Q913" s="28"/>
      <c r="R913" s="28"/>
      <c r="S913" s="26"/>
    </row>
    <row r="914" customFormat="false" ht="15" hidden="false" customHeight="false" outlineLevel="0" collapsed="false">
      <c r="A914" s="7" t="n">
        <v>910</v>
      </c>
      <c r="B914" s="9" t="s">
        <v>37</v>
      </c>
      <c r="C914" s="22" t="s">
        <v>3659</v>
      </c>
      <c r="D914" s="9" t="s">
        <v>3660</v>
      </c>
      <c r="E914" s="9" t="s">
        <v>47</v>
      </c>
      <c r="F914" s="9" t="s">
        <v>99</v>
      </c>
      <c r="G914" s="22" t="s">
        <v>2961</v>
      </c>
      <c r="H914" s="9" t="s">
        <v>4298</v>
      </c>
      <c r="I914" s="7"/>
      <c r="J914" s="23" t="s">
        <v>7426</v>
      </c>
      <c r="K914" s="24" t="s">
        <v>7427</v>
      </c>
      <c r="L914" s="22" t="s">
        <v>7428</v>
      </c>
      <c r="M914" s="25"/>
      <c r="N914" s="25"/>
      <c r="O914" s="26"/>
      <c r="P914" s="27"/>
      <c r="Q914" s="28"/>
      <c r="R914" s="28"/>
      <c r="S914" s="26"/>
    </row>
    <row r="915" customFormat="false" ht="15" hidden="false" customHeight="false" outlineLevel="0" collapsed="false">
      <c r="A915" s="7" t="n">
        <v>911</v>
      </c>
      <c r="B915" s="9" t="s">
        <v>37</v>
      </c>
      <c r="C915" s="22" t="s">
        <v>3659</v>
      </c>
      <c r="D915" s="9" t="s">
        <v>3660</v>
      </c>
      <c r="E915" s="9" t="s">
        <v>47</v>
      </c>
      <c r="F915" s="9" t="s">
        <v>99</v>
      </c>
      <c r="G915" s="22" t="s">
        <v>7429</v>
      </c>
      <c r="H915" s="9" t="s">
        <v>4298</v>
      </c>
      <c r="I915" s="7"/>
      <c r="J915" s="23" t="s">
        <v>7430</v>
      </c>
      <c r="K915" s="24" t="s">
        <v>7431</v>
      </c>
      <c r="L915" s="22" t="s">
        <v>7432</v>
      </c>
      <c r="M915" s="25"/>
      <c r="N915" s="25"/>
      <c r="O915" s="26"/>
      <c r="P915" s="27"/>
      <c r="Q915" s="28"/>
      <c r="R915" s="28"/>
      <c r="S915" s="26"/>
    </row>
    <row r="916" customFormat="false" ht="15" hidden="false" customHeight="false" outlineLevel="0" collapsed="false">
      <c r="A916" s="7" t="n">
        <v>912</v>
      </c>
      <c r="B916" s="9" t="s">
        <v>37</v>
      </c>
      <c r="C916" s="22" t="s">
        <v>3659</v>
      </c>
      <c r="D916" s="9" t="s">
        <v>3660</v>
      </c>
      <c r="E916" s="9" t="s">
        <v>47</v>
      </c>
      <c r="F916" s="9" t="s">
        <v>99</v>
      </c>
      <c r="G916" s="22" t="s">
        <v>6057</v>
      </c>
      <c r="H916" s="9" t="s">
        <v>4298</v>
      </c>
      <c r="I916" s="7"/>
      <c r="J916" s="23" t="s">
        <v>7433</v>
      </c>
      <c r="K916" s="24" t="s">
        <v>7434</v>
      </c>
      <c r="L916" s="22" t="s">
        <v>7435</v>
      </c>
      <c r="M916" s="25"/>
      <c r="N916" s="25"/>
      <c r="O916" s="26"/>
      <c r="P916" s="27"/>
      <c r="Q916" s="28"/>
      <c r="R916" s="28"/>
      <c r="S916" s="26"/>
    </row>
    <row r="917" customFormat="false" ht="15" hidden="false" customHeight="false" outlineLevel="0" collapsed="false">
      <c r="A917" s="7" t="n">
        <v>913</v>
      </c>
      <c r="B917" s="9" t="s">
        <v>37</v>
      </c>
      <c r="C917" s="22" t="s">
        <v>3659</v>
      </c>
      <c r="D917" s="9" t="s">
        <v>3660</v>
      </c>
      <c r="E917" s="9" t="s">
        <v>47</v>
      </c>
      <c r="F917" s="9" t="s">
        <v>99</v>
      </c>
      <c r="G917" s="22" t="s">
        <v>7436</v>
      </c>
      <c r="H917" s="9" t="s">
        <v>4298</v>
      </c>
      <c r="I917" s="7"/>
      <c r="J917" s="23" t="s">
        <v>7437</v>
      </c>
      <c r="K917" s="24" t="s">
        <v>7438</v>
      </c>
      <c r="L917" s="22" t="s">
        <v>7439</v>
      </c>
      <c r="M917" s="25"/>
      <c r="N917" s="25"/>
      <c r="O917" s="26"/>
      <c r="P917" s="27"/>
      <c r="Q917" s="28"/>
      <c r="R917" s="28"/>
      <c r="S917" s="26"/>
    </row>
    <row r="918" customFormat="false" ht="15" hidden="false" customHeight="false" outlineLevel="0" collapsed="false">
      <c r="A918" s="7" t="n">
        <v>914</v>
      </c>
      <c r="B918" s="9" t="s">
        <v>37</v>
      </c>
      <c r="C918" s="22" t="s">
        <v>3659</v>
      </c>
      <c r="D918" s="9" t="s">
        <v>3660</v>
      </c>
      <c r="E918" s="9" t="s">
        <v>47</v>
      </c>
      <c r="F918" s="9" t="s">
        <v>99</v>
      </c>
      <c r="G918" s="22" t="s">
        <v>7440</v>
      </c>
      <c r="H918" s="9" t="s">
        <v>4298</v>
      </c>
      <c r="I918" s="7"/>
      <c r="J918" s="23" t="s">
        <v>7441</v>
      </c>
      <c r="K918" s="24" t="s">
        <v>7442</v>
      </c>
      <c r="L918" s="22" t="s">
        <v>7443</v>
      </c>
      <c r="M918" s="25"/>
      <c r="N918" s="25"/>
      <c r="O918" s="26"/>
      <c r="P918" s="27"/>
      <c r="Q918" s="28"/>
      <c r="R918" s="28"/>
      <c r="S918" s="26"/>
    </row>
    <row r="919" customFormat="false" ht="15" hidden="false" customHeight="false" outlineLevel="0" collapsed="false">
      <c r="A919" s="7" t="n">
        <v>915</v>
      </c>
      <c r="B919" s="9" t="s">
        <v>37</v>
      </c>
      <c r="C919" s="22" t="s">
        <v>3659</v>
      </c>
      <c r="D919" s="9" t="s">
        <v>3660</v>
      </c>
      <c r="E919" s="9" t="s">
        <v>47</v>
      </c>
      <c r="F919" s="9" t="s">
        <v>99</v>
      </c>
      <c r="G919" s="22" t="s">
        <v>7444</v>
      </c>
      <c r="H919" s="9" t="s">
        <v>4298</v>
      </c>
      <c r="I919" s="7"/>
      <c r="J919" s="23" t="s">
        <v>7445</v>
      </c>
      <c r="K919" s="24" t="s">
        <v>7446</v>
      </c>
      <c r="L919" s="22" t="s">
        <v>7447</v>
      </c>
      <c r="M919" s="25"/>
      <c r="N919" s="25"/>
      <c r="O919" s="26"/>
      <c r="P919" s="27"/>
      <c r="Q919" s="28"/>
      <c r="R919" s="28"/>
      <c r="S919" s="26"/>
    </row>
    <row r="920" customFormat="false" ht="15" hidden="false" customHeight="false" outlineLevel="0" collapsed="false">
      <c r="A920" s="7" t="n">
        <v>916</v>
      </c>
      <c r="B920" s="9" t="s">
        <v>37</v>
      </c>
      <c r="C920" s="22" t="s">
        <v>3659</v>
      </c>
      <c r="D920" s="9" t="s">
        <v>3660</v>
      </c>
      <c r="E920" s="9" t="s">
        <v>47</v>
      </c>
      <c r="F920" s="9" t="s">
        <v>99</v>
      </c>
      <c r="G920" s="22" t="s">
        <v>7448</v>
      </c>
      <c r="H920" s="9" t="s">
        <v>4298</v>
      </c>
      <c r="I920" s="7"/>
      <c r="J920" s="23" t="s">
        <v>7449</v>
      </c>
      <c r="K920" s="24" t="s">
        <v>7450</v>
      </c>
      <c r="L920" s="22" t="s">
        <v>7451</v>
      </c>
      <c r="M920" s="25"/>
      <c r="N920" s="25"/>
      <c r="O920" s="26"/>
      <c r="P920" s="27"/>
      <c r="Q920" s="28"/>
      <c r="R920" s="28"/>
      <c r="S920" s="26"/>
    </row>
    <row r="921" customFormat="false" ht="15" hidden="false" customHeight="false" outlineLevel="0" collapsed="false">
      <c r="A921" s="7" t="n">
        <v>917</v>
      </c>
      <c r="B921" s="9" t="s">
        <v>37</v>
      </c>
      <c r="C921" s="22" t="s">
        <v>3659</v>
      </c>
      <c r="D921" s="9" t="s">
        <v>3660</v>
      </c>
      <c r="E921" s="9" t="s">
        <v>48</v>
      </c>
      <c r="F921" s="9" t="s">
        <v>124</v>
      </c>
      <c r="G921" s="22" t="s">
        <v>7452</v>
      </c>
      <c r="H921" s="9" t="s">
        <v>4298</v>
      </c>
      <c r="I921" s="7"/>
      <c r="J921" s="23" t="s">
        <v>7453</v>
      </c>
      <c r="K921" s="24" t="s">
        <v>7454</v>
      </c>
      <c r="L921" s="22" t="s">
        <v>7455</v>
      </c>
      <c r="M921" s="25"/>
      <c r="N921" s="25"/>
      <c r="O921" s="26"/>
      <c r="P921" s="27"/>
      <c r="Q921" s="28"/>
      <c r="R921" s="28"/>
      <c r="S921" s="26"/>
    </row>
    <row r="922" customFormat="false" ht="15" hidden="false" customHeight="false" outlineLevel="0" collapsed="false">
      <c r="A922" s="7" t="n">
        <v>918</v>
      </c>
      <c r="B922" s="9" t="s">
        <v>37</v>
      </c>
      <c r="C922" s="22" t="s">
        <v>3659</v>
      </c>
      <c r="D922" s="9" t="s">
        <v>3660</v>
      </c>
      <c r="E922" s="9" t="s">
        <v>48</v>
      </c>
      <c r="F922" s="9" t="s">
        <v>124</v>
      </c>
      <c r="G922" s="22" t="s">
        <v>3669</v>
      </c>
      <c r="H922" s="9" t="s">
        <v>4298</v>
      </c>
      <c r="I922" s="7" t="s">
        <v>869</v>
      </c>
      <c r="J922" s="23" t="s">
        <v>3670</v>
      </c>
      <c r="K922" s="24" t="s">
        <v>3671</v>
      </c>
      <c r="L922" s="22" t="s">
        <v>3672</v>
      </c>
      <c r="M922" s="25"/>
      <c r="N922" s="25"/>
      <c r="O922" s="26"/>
      <c r="P922" s="27"/>
      <c r="Q922" s="28"/>
      <c r="R922" s="28"/>
      <c r="S922" s="26"/>
    </row>
    <row r="923" customFormat="false" ht="15" hidden="false" customHeight="false" outlineLevel="0" collapsed="false">
      <c r="A923" s="7" t="n">
        <v>919</v>
      </c>
      <c r="B923" s="9" t="s">
        <v>37</v>
      </c>
      <c r="C923" s="22" t="s">
        <v>3677</v>
      </c>
      <c r="D923" s="9" t="s">
        <v>3678</v>
      </c>
      <c r="E923" s="9" t="s">
        <v>47</v>
      </c>
      <c r="F923" s="9" t="s">
        <v>99</v>
      </c>
      <c r="G923" s="22" t="s">
        <v>7456</v>
      </c>
      <c r="H923" s="9" t="s">
        <v>4298</v>
      </c>
      <c r="I923" s="7"/>
      <c r="J923" s="23" t="s">
        <v>7457</v>
      </c>
      <c r="K923" s="24" t="s">
        <v>7458</v>
      </c>
      <c r="L923" s="22" t="s">
        <v>7459</v>
      </c>
      <c r="M923" s="25"/>
      <c r="N923" s="25"/>
      <c r="O923" s="26"/>
      <c r="P923" s="27"/>
      <c r="Q923" s="28"/>
      <c r="R923" s="28"/>
      <c r="S923" s="26"/>
    </row>
    <row r="924" customFormat="false" ht="15" hidden="false" customHeight="false" outlineLevel="0" collapsed="false">
      <c r="A924" s="7" t="n">
        <v>920</v>
      </c>
      <c r="B924" s="9" t="s">
        <v>37</v>
      </c>
      <c r="C924" s="22" t="s">
        <v>3677</v>
      </c>
      <c r="D924" s="9" t="s">
        <v>3678</v>
      </c>
      <c r="E924" s="9" t="s">
        <v>47</v>
      </c>
      <c r="F924" s="9" t="s">
        <v>99</v>
      </c>
      <c r="G924" s="22" t="s">
        <v>3683</v>
      </c>
      <c r="H924" s="9" t="s">
        <v>4298</v>
      </c>
      <c r="I924" s="7" t="s">
        <v>869</v>
      </c>
      <c r="J924" s="23" t="s">
        <v>3684</v>
      </c>
      <c r="K924" s="24" t="s">
        <v>3685</v>
      </c>
      <c r="L924" s="22" t="s">
        <v>3686</v>
      </c>
      <c r="M924" s="25"/>
      <c r="N924" s="25"/>
      <c r="O924" s="26"/>
      <c r="P924" s="27"/>
      <c r="Q924" s="28"/>
      <c r="R924" s="28"/>
      <c r="S924" s="26"/>
    </row>
    <row r="925" customFormat="false" ht="15" hidden="false" customHeight="false" outlineLevel="0" collapsed="false">
      <c r="A925" s="7" t="n">
        <v>921</v>
      </c>
      <c r="B925" s="9" t="s">
        <v>37</v>
      </c>
      <c r="C925" s="22" t="s">
        <v>3677</v>
      </c>
      <c r="D925" s="9" t="s">
        <v>3678</v>
      </c>
      <c r="E925" s="9" t="s">
        <v>48</v>
      </c>
      <c r="F925" s="9" t="s">
        <v>99</v>
      </c>
      <c r="G925" s="22" t="s">
        <v>7460</v>
      </c>
      <c r="H925" s="9" t="s">
        <v>4298</v>
      </c>
      <c r="I925" s="7"/>
      <c r="J925" s="23" t="s">
        <v>7461</v>
      </c>
      <c r="K925" s="24" t="s">
        <v>7462</v>
      </c>
      <c r="L925" s="22" t="s">
        <v>7463</v>
      </c>
      <c r="M925" s="25"/>
      <c r="N925" s="25"/>
      <c r="O925" s="26"/>
      <c r="P925" s="27"/>
      <c r="Q925" s="28"/>
      <c r="R925" s="28"/>
      <c r="S925" s="26"/>
    </row>
    <row r="926" customFormat="false" ht="15" hidden="false" customHeight="false" outlineLevel="0" collapsed="false">
      <c r="A926" s="7" t="n">
        <v>922</v>
      </c>
      <c r="B926" s="9" t="s">
        <v>37</v>
      </c>
      <c r="C926" s="22" t="s">
        <v>3677</v>
      </c>
      <c r="D926" s="9" t="s">
        <v>3678</v>
      </c>
      <c r="E926" s="9" t="s">
        <v>48</v>
      </c>
      <c r="F926" s="9" t="s">
        <v>124</v>
      </c>
      <c r="G926" s="22" t="s">
        <v>7464</v>
      </c>
      <c r="H926" s="9" t="s">
        <v>4298</v>
      </c>
      <c r="I926" s="7"/>
      <c r="J926" s="23" t="s">
        <v>7465</v>
      </c>
      <c r="K926" s="24" t="s">
        <v>7466</v>
      </c>
      <c r="L926" s="22" t="s">
        <v>3710</v>
      </c>
      <c r="M926" s="25"/>
      <c r="N926" s="25"/>
      <c r="O926" s="26"/>
      <c r="P926" s="27"/>
      <c r="Q926" s="28"/>
      <c r="R926" s="28"/>
      <c r="S926" s="26"/>
    </row>
    <row r="927" customFormat="false" ht="15" hidden="false" customHeight="false" outlineLevel="0" collapsed="false">
      <c r="A927" s="7" t="n">
        <v>923</v>
      </c>
      <c r="B927" s="9" t="s">
        <v>37</v>
      </c>
      <c r="C927" s="22" t="s">
        <v>3677</v>
      </c>
      <c r="D927" s="9" t="s">
        <v>3678</v>
      </c>
      <c r="E927" s="9" t="s">
        <v>48</v>
      </c>
      <c r="F927" s="9" t="s">
        <v>124</v>
      </c>
      <c r="G927" s="22" t="s">
        <v>3691</v>
      </c>
      <c r="H927" s="9" t="s">
        <v>4298</v>
      </c>
      <c r="I927" s="7" t="s">
        <v>869</v>
      </c>
      <c r="J927" s="23" t="s">
        <v>3692</v>
      </c>
      <c r="K927" s="24" t="s">
        <v>3693</v>
      </c>
      <c r="L927" s="22" t="s">
        <v>3694</v>
      </c>
      <c r="M927" s="25"/>
      <c r="N927" s="25"/>
      <c r="O927" s="26"/>
      <c r="P927" s="27"/>
      <c r="Q927" s="28"/>
      <c r="R927" s="28"/>
      <c r="S927" s="26"/>
    </row>
    <row r="928" customFormat="false" ht="15" hidden="false" customHeight="false" outlineLevel="0" collapsed="false">
      <c r="A928" s="7" t="n">
        <v>924</v>
      </c>
      <c r="B928" s="9" t="s">
        <v>37</v>
      </c>
      <c r="C928" s="22" t="s">
        <v>3677</v>
      </c>
      <c r="D928" s="9" t="s">
        <v>3678</v>
      </c>
      <c r="E928" s="9" t="s">
        <v>48</v>
      </c>
      <c r="F928" s="9" t="s">
        <v>124</v>
      </c>
      <c r="G928" s="22" t="s">
        <v>7467</v>
      </c>
      <c r="H928" s="9" t="s">
        <v>4298</v>
      </c>
      <c r="I928" s="7"/>
      <c r="J928" s="23" t="s">
        <v>7468</v>
      </c>
      <c r="K928" s="24" t="s">
        <v>7469</v>
      </c>
      <c r="L928" s="22" t="s">
        <v>7470</v>
      </c>
      <c r="M928" s="25"/>
      <c r="N928" s="25"/>
      <c r="O928" s="26"/>
      <c r="P928" s="27"/>
      <c r="Q928" s="28"/>
      <c r="R928" s="28"/>
      <c r="S928" s="26"/>
    </row>
    <row r="929" customFormat="false" ht="15" hidden="false" customHeight="false" outlineLevel="0" collapsed="false">
      <c r="A929" s="7" t="n">
        <v>925</v>
      </c>
      <c r="B929" s="9" t="s">
        <v>37</v>
      </c>
      <c r="C929" s="22" t="s">
        <v>7471</v>
      </c>
      <c r="D929" s="9" t="s">
        <v>7472</v>
      </c>
      <c r="E929" s="9" t="s">
        <v>47</v>
      </c>
      <c r="F929" s="9" t="s">
        <v>99</v>
      </c>
      <c r="G929" s="22" t="s">
        <v>7473</v>
      </c>
      <c r="H929" s="9" t="s">
        <v>4298</v>
      </c>
      <c r="I929" s="7"/>
      <c r="J929" s="23" t="s">
        <v>7474</v>
      </c>
      <c r="K929" s="24" t="s">
        <v>7475</v>
      </c>
      <c r="L929" s="22" t="s">
        <v>7476</v>
      </c>
      <c r="M929" s="25"/>
      <c r="N929" s="25"/>
      <c r="O929" s="26"/>
      <c r="P929" s="27"/>
      <c r="Q929" s="28"/>
      <c r="R929" s="28"/>
      <c r="S929" s="26"/>
    </row>
    <row r="930" customFormat="false" ht="15" hidden="false" customHeight="false" outlineLevel="0" collapsed="false">
      <c r="A930" s="7" t="n">
        <v>926</v>
      </c>
      <c r="B930" s="9" t="s">
        <v>37</v>
      </c>
      <c r="C930" s="22" t="s">
        <v>7471</v>
      </c>
      <c r="D930" s="9" t="s">
        <v>7472</v>
      </c>
      <c r="E930" s="9" t="s">
        <v>47</v>
      </c>
      <c r="F930" s="9" t="s">
        <v>99</v>
      </c>
      <c r="G930" s="22" t="s">
        <v>7477</v>
      </c>
      <c r="H930" s="9" t="s">
        <v>4298</v>
      </c>
      <c r="I930" s="7"/>
      <c r="J930" s="23" t="s">
        <v>7478</v>
      </c>
      <c r="K930" s="24" t="s">
        <v>7479</v>
      </c>
      <c r="L930" s="22" t="s">
        <v>7480</v>
      </c>
      <c r="M930" s="25"/>
      <c r="N930" s="25"/>
      <c r="O930" s="26"/>
      <c r="P930" s="27"/>
      <c r="Q930" s="28"/>
      <c r="R930" s="28"/>
      <c r="S930" s="26"/>
    </row>
    <row r="931" customFormat="false" ht="15" hidden="false" customHeight="false" outlineLevel="0" collapsed="false">
      <c r="A931" s="7" t="n">
        <v>927</v>
      </c>
      <c r="B931" s="9" t="s">
        <v>37</v>
      </c>
      <c r="C931" s="22" t="s">
        <v>7471</v>
      </c>
      <c r="D931" s="9" t="s">
        <v>7472</v>
      </c>
      <c r="E931" s="9" t="s">
        <v>47</v>
      </c>
      <c r="F931" s="9" t="s">
        <v>99</v>
      </c>
      <c r="G931" s="22" t="s">
        <v>7481</v>
      </c>
      <c r="H931" s="9" t="s">
        <v>4298</v>
      </c>
      <c r="I931" s="7"/>
      <c r="J931" s="23" t="s">
        <v>7482</v>
      </c>
      <c r="K931" s="24" t="s">
        <v>7483</v>
      </c>
      <c r="L931" s="22" t="s">
        <v>7484</v>
      </c>
      <c r="M931" s="25"/>
      <c r="N931" s="25"/>
      <c r="O931" s="26"/>
      <c r="P931" s="27"/>
      <c r="Q931" s="28"/>
      <c r="R931" s="28"/>
      <c r="S931" s="26"/>
    </row>
    <row r="932" customFormat="false" ht="15" hidden="false" customHeight="false" outlineLevel="0" collapsed="false">
      <c r="A932" s="7" t="n">
        <v>928</v>
      </c>
      <c r="B932" s="9" t="s">
        <v>37</v>
      </c>
      <c r="C932" s="22" t="s">
        <v>300</v>
      </c>
      <c r="D932" s="9" t="s">
        <v>3660</v>
      </c>
      <c r="E932" s="9" t="s">
        <v>49</v>
      </c>
      <c r="F932" s="9" t="s">
        <v>99</v>
      </c>
      <c r="G932" s="22" t="s">
        <v>7485</v>
      </c>
      <c r="H932" s="9" t="s">
        <v>4298</v>
      </c>
      <c r="I932" s="7"/>
      <c r="J932" s="23" t="s">
        <v>7486</v>
      </c>
      <c r="K932" s="24" t="s">
        <v>7487</v>
      </c>
      <c r="L932" s="22" t="s">
        <v>7488</v>
      </c>
      <c r="M932" s="25"/>
      <c r="N932" s="25"/>
      <c r="O932" s="26"/>
      <c r="P932" s="27"/>
      <c r="Q932" s="28"/>
      <c r="R932" s="28"/>
      <c r="S932" s="26"/>
    </row>
    <row r="933" customFormat="false" ht="15" hidden="false" customHeight="false" outlineLevel="0" collapsed="false">
      <c r="A933" s="7" t="n">
        <v>929</v>
      </c>
      <c r="B933" s="9" t="s">
        <v>37</v>
      </c>
      <c r="C933" s="22" t="s">
        <v>300</v>
      </c>
      <c r="D933" s="9" t="s">
        <v>3660</v>
      </c>
      <c r="E933" s="9" t="s">
        <v>49</v>
      </c>
      <c r="F933" s="9" t="s">
        <v>124</v>
      </c>
      <c r="G933" s="22" t="s">
        <v>7489</v>
      </c>
      <c r="H933" s="9" t="s">
        <v>4298</v>
      </c>
      <c r="I933" s="7"/>
      <c r="J933" s="23" t="s">
        <v>7490</v>
      </c>
      <c r="K933" s="24" t="s">
        <v>7491</v>
      </c>
      <c r="L933" s="22" t="s">
        <v>3672</v>
      </c>
      <c r="M933" s="25"/>
      <c r="N933" s="25"/>
      <c r="O933" s="26"/>
      <c r="P933" s="27"/>
      <c r="Q933" s="28"/>
      <c r="R933" s="28"/>
      <c r="S933" s="26"/>
    </row>
    <row r="934" customFormat="false" ht="15" hidden="false" customHeight="false" outlineLevel="0" collapsed="false">
      <c r="A934" s="7" t="n">
        <v>930</v>
      </c>
      <c r="B934" s="9" t="s">
        <v>37</v>
      </c>
      <c r="C934" s="22" t="s">
        <v>300</v>
      </c>
      <c r="D934" s="9" t="s">
        <v>3660</v>
      </c>
      <c r="E934" s="9" t="s">
        <v>49</v>
      </c>
      <c r="F934" s="9" t="s">
        <v>124</v>
      </c>
      <c r="G934" s="22" t="s">
        <v>7492</v>
      </c>
      <c r="H934" s="9" t="s">
        <v>4298</v>
      </c>
      <c r="I934" s="7"/>
      <c r="J934" s="23" t="s">
        <v>7493</v>
      </c>
      <c r="K934" s="24" t="s">
        <v>7494</v>
      </c>
      <c r="L934" s="22" t="s">
        <v>7495</v>
      </c>
      <c r="M934" s="25"/>
      <c r="N934" s="25"/>
      <c r="O934" s="26"/>
      <c r="P934" s="27"/>
      <c r="Q934" s="28"/>
      <c r="R934" s="28"/>
      <c r="S934" s="26"/>
    </row>
    <row r="935" customFormat="false" ht="15" hidden="false" customHeight="false" outlineLevel="0" collapsed="false">
      <c r="A935" s="7" t="n">
        <v>931</v>
      </c>
      <c r="B935" s="9" t="s">
        <v>37</v>
      </c>
      <c r="C935" s="22" t="s">
        <v>300</v>
      </c>
      <c r="D935" s="9" t="s">
        <v>3678</v>
      </c>
      <c r="E935" s="9" t="s">
        <v>49</v>
      </c>
      <c r="F935" s="9" t="s">
        <v>124</v>
      </c>
      <c r="G935" s="22" t="s">
        <v>7496</v>
      </c>
      <c r="H935" s="9" t="s">
        <v>4298</v>
      </c>
      <c r="I935" s="7"/>
      <c r="J935" s="23" t="s">
        <v>7497</v>
      </c>
      <c r="K935" s="24" t="s">
        <v>7498</v>
      </c>
      <c r="L935" s="22" t="s">
        <v>7499</v>
      </c>
      <c r="M935" s="25"/>
      <c r="N935" s="25"/>
      <c r="O935" s="26"/>
      <c r="P935" s="27"/>
      <c r="Q935" s="28"/>
      <c r="R935" s="28"/>
      <c r="S935" s="26"/>
    </row>
    <row r="936" customFormat="false" ht="15" hidden="false" customHeight="false" outlineLevel="0" collapsed="false">
      <c r="A936" s="7" t="n">
        <v>932</v>
      </c>
      <c r="B936" s="9" t="s">
        <v>37</v>
      </c>
      <c r="C936" s="22" t="s">
        <v>300</v>
      </c>
      <c r="D936" s="9" t="s">
        <v>3678</v>
      </c>
      <c r="E936" s="9" t="s">
        <v>49</v>
      </c>
      <c r="F936" s="9" t="s">
        <v>124</v>
      </c>
      <c r="G936" s="22" t="s">
        <v>7500</v>
      </c>
      <c r="H936" s="9" t="s">
        <v>4298</v>
      </c>
      <c r="I936" s="7"/>
      <c r="J936" s="23" t="s">
        <v>7501</v>
      </c>
      <c r="K936" s="24" t="s">
        <v>7502</v>
      </c>
      <c r="L936" s="22" t="s">
        <v>7503</v>
      </c>
      <c r="M936" s="25"/>
      <c r="N936" s="25"/>
      <c r="O936" s="26"/>
      <c r="P936" s="27"/>
      <c r="Q936" s="28"/>
      <c r="R936" s="28"/>
      <c r="S936" s="26"/>
    </row>
    <row r="937" customFormat="false" ht="15" hidden="false" customHeight="false" outlineLevel="0" collapsed="false">
      <c r="A937" s="7" t="n">
        <v>933</v>
      </c>
      <c r="B937" s="9" t="s">
        <v>37</v>
      </c>
      <c r="C937" s="22" t="s">
        <v>300</v>
      </c>
      <c r="D937" s="9" t="s">
        <v>3678</v>
      </c>
      <c r="E937" s="9" t="s">
        <v>49</v>
      </c>
      <c r="F937" s="9" t="s">
        <v>124</v>
      </c>
      <c r="G937" s="22" t="s">
        <v>7504</v>
      </c>
      <c r="H937" s="9" t="s">
        <v>4298</v>
      </c>
      <c r="I937" s="7"/>
      <c r="J937" s="23" t="s">
        <v>7505</v>
      </c>
      <c r="K937" s="24" t="s">
        <v>7506</v>
      </c>
      <c r="L937" s="22" t="s">
        <v>3694</v>
      </c>
      <c r="M937" s="25"/>
      <c r="N937" s="25"/>
      <c r="O937" s="26"/>
      <c r="P937" s="27"/>
      <c r="Q937" s="28"/>
      <c r="R937" s="28"/>
      <c r="S937" s="26"/>
    </row>
    <row r="938" customFormat="false" ht="15" hidden="false" customHeight="false" outlineLevel="0" collapsed="false">
      <c r="A938" s="7" t="n">
        <v>934</v>
      </c>
      <c r="B938" s="9" t="s">
        <v>37</v>
      </c>
      <c r="C938" s="22" t="s">
        <v>300</v>
      </c>
      <c r="D938" s="9" t="s">
        <v>3678</v>
      </c>
      <c r="E938" s="9" t="s">
        <v>49</v>
      </c>
      <c r="F938" s="9" t="s">
        <v>124</v>
      </c>
      <c r="G938" s="22" t="s">
        <v>7507</v>
      </c>
      <c r="H938" s="9" t="s">
        <v>4298</v>
      </c>
      <c r="I938" s="7"/>
      <c r="J938" s="23" t="s">
        <v>7508</v>
      </c>
      <c r="K938" s="24" t="s">
        <v>7509</v>
      </c>
      <c r="L938" s="22" t="s">
        <v>7510</v>
      </c>
      <c r="M938" s="25"/>
      <c r="N938" s="25"/>
      <c r="O938" s="26"/>
      <c r="P938" s="27"/>
      <c r="Q938" s="28"/>
      <c r="R938" s="28"/>
      <c r="S938" s="26"/>
    </row>
    <row r="939" customFormat="false" ht="15" hidden="false" customHeight="false" outlineLevel="0" collapsed="false">
      <c r="A939" s="7" t="n">
        <v>935</v>
      </c>
      <c r="B939" s="9" t="s">
        <v>37</v>
      </c>
      <c r="C939" s="22" t="s">
        <v>300</v>
      </c>
      <c r="D939" s="9" t="s">
        <v>3678</v>
      </c>
      <c r="E939" s="9" t="s">
        <v>326</v>
      </c>
      <c r="F939" s="9" t="s">
        <v>99</v>
      </c>
      <c r="G939" s="22" t="s">
        <v>7511</v>
      </c>
      <c r="H939" s="9" t="s">
        <v>4298</v>
      </c>
      <c r="I939" s="7"/>
      <c r="J939" s="23" t="s">
        <v>7512</v>
      </c>
      <c r="K939" s="24" t="s">
        <v>7513</v>
      </c>
      <c r="L939" s="22" t="s">
        <v>7514</v>
      </c>
      <c r="M939" s="25"/>
      <c r="N939" s="25"/>
      <c r="O939" s="26"/>
      <c r="P939" s="27"/>
      <c r="Q939" s="28"/>
      <c r="R939" s="28"/>
      <c r="S939" s="26"/>
    </row>
    <row r="940" customFormat="false" ht="15" hidden="false" customHeight="false" outlineLevel="0" collapsed="false">
      <c r="A940" s="7" t="n">
        <v>936</v>
      </c>
      <c r="B940" s="9" t="s">
        <v>37</v>
      </c>
      <c r="C940" s="22" t="s">
        <v>300</v>
      </c>
      <c r="D940" s="9" t="s">
        <v>7472</v>
      </c>
      <c r="E940" s="9" t="s">
        <v>49</v>
      </c>
      <c r="F940" s="9" t="s">
        <v>124</v>
      </c>
      <c r="G940" s="22" t="s">
        <v>7515</v>
      </c>
      <c r="H940" s="9" t="s">
        <v>4298</v>
      </c>
      <c r="I940" s="7"/>
      <c r="J940" s="23" t="s">
        <v>7516</v>
      </c>
      <c r="K940" s="24" t="s">
        <v>7517</v>
      </c>
      <c r="L940" s="22" t="s">
        <v>7518</v>
      </c>
      <c r="M940" s="25"/>
      <c r="N940" s="25"/>
      <c r="O940" s="26"/>
      <c r="P940" s="27"/>
      <c r="Q940" s="28"/>
      <c r="R940" s="28"/>
      <c r="S940" s="26"/>
    </row>
    <row r="941" customFormat="false" ht="15" hidden="false" customHeight="false" outlineLevel="0" collapsed="false">
      <c r="A941" s="7" t="n">
        <v>937</v>
      </c>
      <c r="B941" s="9" t="s">
        <v>37</v>
      </c>
      <c r="C941" s="22" t="s">
        <v>300</v>
      </c>
      <c r="D941" s="9" t="s">
        <v>3711</v>
      </c>
      <c r="E941" s="9" t="s">
        <v>49</v>
      </c>
      <c r="F941" s="9" t="s">
        <v>99</v>
      </c>
      <c r="G941" s="22" t="s">
        <v>3712</v>
      </c>
      <c r="H941" s="9" t="s">
        <v>4298</v>
      </c>
      <c r="I941" s="7" t="s">
        <v>869</v>
      </c>
      <c r="J941" s="23" t="s">
        <v>3713</v>
      </c>
      <c r="K941" s="24" t="s">
        <v>3714</v>
      </c>
      <c r="L941" s="22" t="s">
        <v>3715</v>
      </c>
      <c r="M941" s="25"/>
      <c r="N941" s="25"/>
      <c r="O941" s="26"/>
      <c r="P941" s="27"/>
      <c r="Q941" s="28"/>
      <c r="R941" s="28"/>
      <c r="S941" s="26"/>
    </row>
    <row r="942" customFormat="false" ht="15" hidden="false" customHeight="false" outlineLevel="0" collapsed="false">
      <c r="A942" s="7" t="n">
        <v>938</v>
      </c>
      <c r="B942" s="9" t="s">
        <v>37</v>
      </c>
      <c r="C942" s="22" t="s">
        <v>300</v>
      </c>
      <c r="D942" s="9" t="s">
        <v>3711</v>
      </c>
      <c r="E942" s="9" t="s">
        <v>49</v>
      </c>
      <c r="F942" s="9" t="s">
        <v>99</v>
      </c>
      <c r="G942" s="22" t="s">
        <v>7519</v>
      </c>
      <c r="H942" s="9" t="s">
        <v>4298</v>
      </c>
      <c r="I942" s="7"/>
      <c r="J942" s="23" t="s">
        <v>7520</v>
      </c>
      <c r="K942" s="24" t="s">
        <v>7521</v>
      </c>
      <c r="L942" s="22" t="s">
        <v>7522</v>
      </c>
      <c r="M942" s="25"/>
      <c r="N942" s="25"/>
      <c r="O942" s="26"/>
      <c r="P942" s="27"/>
      <c r="Q942" s="28"/>
      <c r="R942" s="28"/>
      <c r="S942" s="26"/>
    </row>
    <row r="943" customFormat="false" ht="15" hidden="false" customHeight="false" outlineLevel="0" collapsed="false">
      <c r="A943" s="7" t="n">
        <v>939</v>
      </c>
      <c r="B943" s="9" t="s">
        <v>37</v>
      </c>
      <c r="C943" s="22" t="s">
        <v>300</v>
      </c>
      <c r="D943" s="9" t="s">
        <v>3711</v>
      </c>
      <c r="E943" s="9" t="s">
        <v>49</v>
      </c>
      <c r="F943" s="9" t="s">
        <v>99</v>
      </c>
      <c r="G943" s="22" t="s">
        <v>7523</v>
      </c>
      <c r="H943" s="9" t="s">
        <v>4298</v>
      </c>
      <c r="I943" s="7"/>
      <c r="J943" s="23" t="s">
        <v>7524</v>
      </c>
      <c r="K943" s="24" t="s">
        <v>7525</v>
      </c>
      <c r="L943" s="22" t="s">
        <v>7526</v>
      </c>
      <c r="M943" s="25"/>
      <c r="N943" s="25"/>
      <c r="O943" s="26"/>
      <c r="P943" s="27"/>
      <c r="Q943" s="28"/>
      <c r="R943" s="28"/>
      <c r="S943" s="26"/>
    </row>
    <row r="944" customFormat="false" ht="15" hidden="false" customHeight="false" outlineLevel="0" collapsed="false">
      <c r="A944" s="7" t="n">
        <v>940</v>
      </c>
      <c r="B944" s="9" t="s">
        <v>37</v>
      </c>
      <c r="C944" s="22" t="s">
        <v>300</v>
      </c>
      <c r="D944" s="9" t="s">
        <v>3711</v>
      </c>
      <c r="E944" s="9" t="s">
        <v>49</v>
      </c>
      <c r="F944" s="9" t="s">
        <v>124</v>
      </c>
      <c r="G944" s="22" t="s">
        <v>7527</v>
      </c>
      <c r="H944" s="9" t="s">
        <v>4298</v>
      </c>
      <c r="I944" s="7"/>
      <c r="J944" s="23" t="s">
        <v>7528</v>
      </c>
      <c r="K944" s="24" t="s">
        <v>7529</v>
      </c>
      <c r="L944" s="22" t="s">
        <v>7530</v>
      </c>
      <c r="M944" s="25"/>
      <c r="N944" s="25"/>
      <c r="O944" s="26"/>
      <c r="P944" s="27"/>
      <c r="Q944" s="28"/>
      <c r="R944" s="28"/>
      <c r="S944" s="26"/>
    </row>
    <row r="945" customFormat="false" ht="15" hidden="false" customHeight="false" outlineLevel="0" collapsed="false">
      <c r="A945" s="7" t="n">
        <v>941</v>
      </c>
      <c r="B945" s="9" t="s">
        <v>37</v>
      </c>
      <c r="C945" s="22" t="s">
        <v>300</v>
      </c>
      <c r="D945" s="9" t="s">
        <v>3711</v>
      </c>
      <c r="E945" s="9" t="s">
        <v>49</v>
      </c>
      <c r="F945" s="9" t="s">
        <v>99</v>
      </c>
      <c r="G945" s="22" t="s">
        <v>3720</v>
      </c>
      <c r="H945" s="9" t="s">
        <v>4298</v>
      </c>
      <c r="I945" s="7" t="s">
        <v>869</v>
      </c>
      <c r="J945" s="23" t="s">
        <v>3721</v>
      </c>
      <c r="K945" s="24" t="s">
        <v>3722</v>
      </c>
      <c r="L945" s="22" t="s">
        <v>3723</v>
      </c>
      <c r="M945" s="25"/>
      <c r="N945" s="25"/>
      <c r="O945" s="26"/>
      <c r="P945" s="27"/>
      <c r="Q945" s="28"/>
      <c r="R945" s="28"/>
      <c r="S945" s="26"/>
    </row>
    <row r="946" customFormat="false" ht="15" hidden="false" customHeight="false" outlineLevel="0" collapsed="false">
      <c r="A946" s="7" t="n">
        <v>942</v>
      </c>
      <c r="B946" s="9" t="s">
        <v>37</v>
      </c>
      <c r="C946" s="22" t="s">
        <v>300</v>
      </c>
      <c r="D946" s="9" t="s">
        <v>3711</v>
      </c>
      <c r="E946" s="9" t="s">
        <v>49</v>
      </c>
      <c r="F946" s="9" t="s">
        <v>99</v>
      </c>
      <c r="G946" s="22" t="s">
        <v>7531</v>
      </c>
      <c r="H946" s="9" t="s">
        <v>4298</v>
      </c>
      <c r="I946" s="7"/>
      <c r="J946" s="23" t="s">
        <v>7532</v>
      </c>
      <c r="K946" s="24" t="s">
        <v>7533</v>
      </c>
      <c r="L946" s="22" t="s">
        <v>7534</v>
      </c>
      <c r="M946" s="25"/>
      <c r="N946" s="25"/>
      <c r="O946" s="26"/>
      <c r="P946" s="27"/>
      <c r="Q946" s="28"/>
      <c r="R946" s="28"/>
      <c r="S946" s="26"/>
    </row>
    <row r="947" customFormat="false" ht="15" hidden="false" customHeight="false" outlineLevel="0" collapsed="false">
      <c r="A947" s="7" t="n">
        <v>943</v>
      </c>
      <c r="B947" s="9" t="s">
        <v>37</v>
      </c>
      <c r="C947" s="22" t="s">
        <v>300</v>
      </c>
      <c r="D947" s="9" t="s">
        <v>3711</v>
      </c>
      <c r="E947" s="9" t="s">
        <v>49</v>
      </c>
      <c r="F947" s="9" t="s">
        <v>99</v>
      </c>
      <c r="G947" s="22" t="s">
        <v>3728</v>
      </c>
      <c r="H947" s="9" t="s">
        <v>4298</v>
      </c>
      <c r="I947" s="7" t="s">
        <v>869</v>
      </c>
      <c r="J947" s="23" t="s">
        <v>3729</v>
      </c>
      <c r="K947" s="24" t="s">
        <v>3730</v>
      </c>
      <c r="L947" s="22" t="s">
        <v>3731</v>
      </c>
      <c r="M947" s="25"/>
      <c r="N947" s="25"/>
      <c r="O947" s="26"/>
      <c r="P947" s="27"/>
      <c r="Q947" s="28"/>
      <c r="R947" s="28"/>
      <c r="S947" s="26"/>
    </row>
    <row r="948" customFormat="false" ht="15" hidden="false" customHeight="false" outlineLevel="0" collapsed="false">
      <c r="A948" s="7" t="n">
        <v>944</v>
      </c>
      <c r="B948" s="9" t="s">
        <v>37</v>
      </c>
      <c r="C948" s="22" t="s">
        <v>300</v>
      </c>
      <c r="D948" s="9" t="s">
        <v>3711</v>
      </c>
      <c r="E948" s="9" t="s">
        <v>49</v>
      </c>
      <c r="F948" s="9" t="s">
        <v>124</v>
      </c>
      <c r="G948" s="22" t="s">
        <v>3732</v>
      </c>
      <c r="H948" s="9" t="s">
        <v>4298</v>
      </c>
      <c r="I948" s="7" t="s">
        <v>869</v>
      </c>
      <c r="J948" s="23" t="s">
        <v>3733</v>
      </c>
      <c r="K948" s="24" t="s">
        <v>3734</v>
      </c>
      <c r="L948" s="22" t="s">
        <v>3735</v>
      </c>
      <c r="M948" s="25"/>
      <c r="N948" s="25"/>
      <c r="O948" s="26"/>
      <c r="P948" s="27"/>
      <c r="Q948" s="28"/>
      <c r="R948" s="28"/>
      <c r="S948" s="26"/>
    </row>
    <row r="949" customFormat="false" ht="15" hidden="false" customHeight="false" outlineLevel="0" collapsed="false">
      <c r="A949" s="7" t="n">
        <v>945</v>
      </c>
      <c r="B949" s="9" t="s">
        <v>37</v>
      </c>
      <c r="C949" s="22" t="s">
        <v>300</v>
      </c>
      <c r="D949" s="9" t="s">
        <v>3711</v>
      </c>
      <c r="E949" s="9" t="s">
        <v>49</v>
      </c>
      <c r="F949" s="9" t="s">
        <v>124</v>
      </c>
      <c r="G949" s="22" t="s">
        <v>7535</v>
      </c>
      <c r="H949" s="9" t="s">
        <v>4298</v>
      </c>
      <c r="I949" s="7"/>
      <c r="J949" s="23" t="s">
        <v>7536</v>
      </c>
      <c r="K949" s="24" t="s">
        <v>7537</v>
      </c>
      <c r="L949" s="22" t="s">
        <v>7538</v>
      </c>
      <c r="M949" s="25"/>
      <c r="N949" s="25"/>
      <c r="O949" s="26"/>
      <c r="P949" s="27"/>
      <c r="Q949" s="28"/>
      <c r="R949" s="28"/>
      <c r="S949" s="26"/>
    </row>
    <row r="950" customFormat="false" ht="15" hidden="false" customHeight="false" outlineLevel="0" collapsed="false">
      <c r="A950" s="7" t="n">
        <v>946</v>
      </c>
      <c r="B950" s="9" t="s">
        <v>37</v>
      </c>
      <c r="C950" s="22" t="s">
        <v>300</v>
      </c>
      <c r="D950" s="9" t="s">
        <v>3711</v>
      </c>
      <c r="E950" s="9" t="s">
        <v>326</v>
      </c>
      <c r="F950" s="9" t="s">
        <v>124</v>
      </c>
      <c r="G950" s="22" t="s">
        <v>3740</v>
      </c>
      <c r="H950" s="9" t="s">
        <v>4298</v>
      </c>
      <c r="I950" s="7" t="s">
        <v>869</v>
      </c>
      <c r="J950" s="23" t="s">
        <v>3741</v>
      </c>
      <c r="K950" s="24" t="s">
        <v>3742</v>
      </c>
      <c r="L950" s="22" t="s">
        <v>3743</v>
      </c>
      <c r="M950" s="25"/>
      <c r="N950" s="25"/>
      <c r="O950" s="26"/>
      <c r="P950" s="27"/>
      <c r="Q950" s="28"/>
      <c r="R950" s="28"/>
      <c r="S950" s="26"/>
    </row>
    <row r="951" customFormat="false" ht="15" hidden="false" customHeight="false" outlineLevel="0" collapsed="false">
      <c r="A951" s="7" t="n">
        <v>947</v>
      </c>
      <c r="B951" s="9" t="s">
        <v>37</v>
      </c>
      <c r="C951" s="22" t="s">
        <v>300</v>
      </c>
      <c r="D951" s="9" t="s">
        <v>3850</v>
      </c>
      <c r="E951" s="9" t="s">
        <v>49</v>
      </c>
      <c r="F951" s="9" t="s">
        <v>124</v>
      </c>
      <c r="G951" s="22" t="s">
        <v>7539</v>
      </c>
      <c r="H951" s="9" t="s">
        <v>4298</v>
      </c>
      <c r="I951" s="7"/>
      <c r="J951" s="23" t="s">
        <v>7540</v>
      </c>
      <c r="K951" s="24" t="s">
        <v>7541</v>
      </c>
      <c r="L951" s="22" t="s">
        <v>7542</v>
      </c>
      <c r="M951" s="25"/>
      <c r="N951" s="25"/>
      <c r="O951" s="26"/>
      <c r="P951" s="27"/>
      <c r="Q951" s="28"/>
      <c r="R951" s="28"/>
      <c r="S951" s="26"/>
    </row>
    <row r="952" customFormat="false" ht="15" hidden="false" customHeight="false" outlineLevel="0" collapsed="false">
      <c r="A952" s="7" t="n">
        <v>948</v>
      </c>
      <c r="B952" s="9" t="s">
        <v>37</v>
      </c>
      <c r="C952" s="22" t="s">
        <v>300</v>
      </c>
      <c r="D952" s="9" t="s">
        <v>3864</v>
      </c>
      <c r="E952" s="9" t="s">
        <v>49</v>
      </c>
      <c r="F952" s="9" t="s">
        <v>99</v>
      </c>
      <c r="G952" s="22" t="s">
        <v>7543</v>
      </c>
      <c r="H952" s="9" t="s">
        <v>4298</v>
      </c>
      <c r="I952" s="7"/>
      <c r="J952" s="23" t="s">
        <v>7544</v>
      </c>
      <c r="K952" s="24" t="s">
        <v>7545</v>
      </c>
      <c r="L952" s="22" t="s">
        <v>7546</v>
      </c>
      <c r="M952" s="25"/>
      <c r="N952" s="25"/>
      <c r="O952" s="26"/>
      <c r="P952" s="27"/>
      <c r="Q952" s="28"/>
      <c r="R952" s="28"/>
      <c r="S952" s="26"/>
    </row>
    <row r="953" customFormat="false" ht="15" hidden="false" customHeight="false" outlineLevel="0" collapsed="false">
      <c r="A953" s="7" t="n">
        <v>949</v>
      </c>
      <c r="B953" s="9" t="s">
        <v>37</v>
      </c>
      <c r="C953" s="22" t="s">
        <v>300</v>
      </c>
      <c r="D953" s="9" t="s">
        <v>3762</v>
      </c>
      <c r="E953" s="9" t="s">
        <v>49</v>
      </c>
      <c r="F953" s="9" t="s">
        <v>124</v>
      </c>
      <c r="G953" s="22" t="s">
        <v>7547</v>
      </c>
      <c r="H953" s="9" t="s">
        <v>4298</v>
      </c>
      <c r="I953" s="7"/>
      <c r="J953" s="23" t="s">
        <v>7548</v>
      </c>
      <c r="K953" s="24" t="s">
        <v>7549</v>
      </c>
      <c r="L953" s="22" t="s">
        <v>7550</v>
      </c>
      <c r="M953" s="25"/>
      <c r="N953" s="25"/>
      <c r="O953" s="26"/>
      <c r="P953" s="27"/>
      <c r="Q953" s="28"/>
      <c r="R953" s="28"/>
      <c r="S953" s="26"/>
    </row>
    <row r="954" customFormat="false" ht="15" hidden="false" customHeight="false" outlineLevel="0" collapsed="false">
      <c r="A954" s="7" t="n">
        <v>950</v>
      </c>
      <c r="B954" s="9" t="s">
        <v>37</v>
      </c>
      <c r="C954" s="22" t="s">
        <v>300</v>
      </c>
      <c r="D954" s="9" t="s">
        <v>3762</v>
      </c>
      <c r="E954" s="9" t="s">
        <v>49</v>
      </c>
      <c r="F954" s="9" t="s">
        <v>124</v>
      </c>
      <c r="G954" s="22" t="s">
        <v>3763</v>
      </c>
      <c r="H954" s="9" t="s">
        <v>4298</v>
      </c>
      <c r="I954" s="7" t="s">
        <v>869</v>
      </c>
      <c r="J954" s="23" t="s">
        <v>3764</v>
      </c>
      <c r="K954" s="24" t="s">
        <v>3765</v>
      </c>
      <c r="L954" s="22" t="s">
        <v>3766</v>
      </c>
      <c r="M954" s="25"/>
      <c r="N954" s="25"/>
      <c r="O954" s="26"/>
      <c r="P954" s="27"/>
      <c r="Q954" s="28"/>
      <c r="R954" s="28"/>
      <c r="S954" s="26"/>
    </row>
    <row r="955" customFormat="false" ht="15" hidden="false" customHeight="false" outlineLevel="0" collapsed="false">
      <c r="A955" s="7" t="n">
        <v>951</v>
      </c>
      <c r="B955" s="9" t="s">
        <v>37</v>
      </c>
      <c r="C955" s="22" t="s">
        <v>300</v>
      </c>
      <c r="D955" s="9" t="s">
        <v>3762</v>
      </c>
      <c r="E955" s="9" t="s">
        <v>49</v>
      </c>
      <c r="F955" s="9" t="s">
        <v>124</v>
      </c>
      <c r="G955" s="22" t="s">
        <v>7551</v>
      </c>
      <c r="H955" s="9" t="s">
        <v>4298</v>
      </c>
      <c r="I955" s="7"/>
      <c r="J955" s="23" t="s">
        <v>7552</v>
      </c>
      <c r="K955" s="24" t="s">
        <v>7553</v>
      </c>
      <c r="L955" s="22" t="s">
        <v>7554</v>
      </c>
      <c r="M955" s="25"/>
      <c r="N955" s="25"/>
      <c r="O955" s="26"/>
      <c r="P955" s="27"/>
      <c r="Q955" s="28"/>
      <c r="R955" s="28"/>
      <c r="S955" s="26"/>
    </row>
    <row r="956" customFormat="false" ht="15" hidden="false" customHeight="false" outlineLevel="0" collapsed="false">
      <c r="A956" s="7" t="n">
        <v>952</v>
      </c>
      <c r="B956" s="9" t="s">
        <v>37</v>
      </c>
      <c r="C956" s="22" t="s">
        <v>300</v>
      </c>
      <c r="D956" s="9" t="s">
        <v>3943</v>
      </c>
      <c r="E956" s="9" t="s">
        <v>49</v>
      </c>
      <c r="F956" s="9" t="s">
        <v>99</v>
      </c>
      <c r="G956" s="22" t="s">
        <v>7555</v>
      </c>
      <c r="H956" s="9" t="s">
        <v>4298</v>
      </c>
      <c r="I956" s="7"/>
      <c r="J956" s="23" t="s">
        <v>7556</v>
      </c>
      <c r="K956" s="24" t="s">
        <v>7557</v>
      </c>
      <c r="L956" s="22" t="s">
        <v>7558</v>
      </c>
      <c r="M956" s="25"/>
      <c r="N956" s="25"/>
      <c r="O956" s="26"/>
      <c r="P956" s="27"/>
      <c r="Q956" s="28"/>
      <c r="R956" s="28"/>
      <c r="S956" s="26"/>
    </row>
    <row r="957" customFormat="false" ht="15" hidden="false" customHeight="false" outlineLevel="0" collapsed="false">
      <c r="A957" s="7" t="n">
        <v>953</v>
      </c>
      <c r="B957" s="9" t="s">
        <v>37</v>
      </c>
      <c r="C957" s="22" t="s">
        <v>300</v>
      </c>
      <c r="D957" s="9" t="s">
        <v>3943</v>
      </c>
      <c r="E957" s="9" t="s">
        <v>49</v>
      </c>
      <c r="F957" s="9" t="s">
        <v>124</v>
      </c>
      <c r="G957" s="22" t="s">
        <v>7559</v>
      </c>
      <c r="H957" s="9" t="s">
        <v>4298</v>
      </c>
      <c r="I957" s="7"/>
      <c r="J957" s="23" t="s">
        <v>7560</v>
      </c>
      <c r="K957" s="24" t="s">
        <v>7561</v>
      </c>
      <c r="L957" s="22" t="s">
        <v>7562</v>
      </c>
      <c r="M957" s="25"/>
      <c r="N957" s="25"/>
      <c r="O957" s="26"/>
      <c r="P957" s="27"/>
      <c r="Q957" s="28"/>
      <c r="R957" s="28"/>
      <c r="S957" s="26"/>
    </row>
    <row r="958" customFormat="false" ht="15" hidden="false" customHeight="false" outlineLevel="0" collapsed="false">
      <c r="A958" s="7" t="n">
        <v>954</v>
      </c>
      <c r="B958" s="9" t="s">
        <v>37</v>
      </c>
      <c r="C958" s="22" t="s">
        <v>300</v>
      </c>
      <c r="D958" s="9" t="s">
        <v>3943</v>
      </c>
      <c r="E958" s="9" t="s">
        <v>49</v>
      </c>
      <c r="F958" s="9" t="s">
        <v>124</v>
      </c>
      <c r="G958" s="22" t="s">
        <v>7563</v>
      </c>
      <c r="H958" s="9" t="s">
        <v>4298</v>
      </c>
      <c r="I958" s="7"/>
      <c r="J958" s="23" t="s">
        <v>7564</v>
      </c>
      <c r="K958" s="24" t="s">
        <v>7565</v>
      </c>
      <c r="L958" s="22" t="s">
        <v>7566</v>
      </c>
      <c r="M958" s="25"/>
      <c r="N958" s="25"/>
      <c r="O958" s="26"/>
      <c r="P958" s="27"/>
      <c r="Q958" s="28"/>
      <c r="R958" s="28"/>
      <c r="S958" s="26"/>
    </row>
    <row r="959" customFormat="false" ht="15" hidden="false" customHeight="false" outlineLevel="0" collapsed="false">
      <c r="A959" s="7" t="n">
        <v>955</v>
      </c>
      <c r="B959" s="9" t="s">
        <v>37</v>
      </c>
      <c r="C959" s="22" t="s">
        <v>300</v>
      </c>
      <c r="D959" s="9" t="s">
        <v>3965</v>
      </c>
      <c r="E959" s="9" t="s">
        <v>49</v>
      </c>
      <c r="F959" s="9" t="s">
        <v>99</v>
      </c>
      <c r="G959" s="22" t="s">
        <v>7567</v>
      </c>
      <c r="H959" s="9" t="s">
        <v>4298</v>
      </c>
      <c r="I959" s="7"/>
      <c r="J959" s="23" t="s">
        <v>7568</v>
      </c>
      <c r="K959" s="24" t="s">
        <v>7569</v>
      </c>
      <c r="L959" s="22" t="s">
        <v>7570</v>
      </c>
      <c r="M959" s="25"/>
      <c r="N959" s="25"/>
      <c r="O959" s="26"/>
      <c r="P959" s="27"/>
      <c r="Q959" s="28"/>
      <c r="R959" s="28"/>
      <c r="S959" s="26"/>
    </row>
    <row r="960" customFormat="false" ht="15" hidden="false" customHeight="false" outlineLevel="0" collapsed="false">
      <c r="A960" s="7" t="n">
        <v>956</v>
      </c>
      <c r="B960" s="9" t="s">
        <v>37</v>
      </c>
      <c r="C960" s="22" t="s">
        <v>300</v>
      </c>
      <c r="D960" s="9" t="s">
        <v>7571</v>
      </c>
      <c r="E960" s="9" t="s">
        <v>49</v>
      </c>
      <c r="F960" s="9" t="s">
        <v>124</v>
      </c>
      <c r="G960" s="22" t="s">
        <v>7572</v>
      </c>
      <c r="H960" s="9" t="s">
        <v>4298</v>
      </c>
      <c r="I960" s="7"/>
      <c r="J960" s="23" t="s">
        <v>7573</v>
      </c>
      <c r="K960" s="24" t="s">
        <v>7574</v>
      </c>
      <c r="L960" s="22" t="s">
        <v>7575</v>
      </c>
      <c r="M960" s="25"/>
      <c r="N960" s="25"/>
      <c r="O960" s="26"/>
      <c r="P960" s="27"/>
      <c r="Q960" s="28"/>
      <c r="R960" s="28"/>
      <c r="S960" s="26"/>
    </row>
    <row r="961" customFormat="false" ht="15" hidden="false" customHeight="false" outlineLevel="0" collapsed="false">
      <c r="A961" s="7" t="n">
        <v>957</v>
      </c>
      <c r="B961" s="9" t="s">
        <v>37</v>
      </c>
      <c r="C961" s="22" t="s">
        <v>300</v>
      </c>
      <c r="D961" s="9" t="s">
        <v>3781</v>
      </c>
      <c r="E961" s="9" t="s">
        <v>49</v>
      </c>
      <c r="F961" s="9" t="s">
        <v>124</v>
      </c>
      <c r="G961" s="22" t="s">
        <v>7576</v>
      </c>
      <c r="H961" s="9" t="s">
        <v>4298</v>
      </c>
      <c r="I961" s="7"/>
      <c r="J961" s="23" t="s">
        <v>7577</v>
      </c>
      <c r="K961" s="24" t="s">
        <v>7578</v>
      </c>
      <c r="L961" s="22" t="s">
        <v>7579</v>
      </c>
      <c r="M961" s="25"/>
      <c r="N961" s="25"/>
      <c r="O961" s="26"/>
      <c r="P961" s="27"/>
      <c r="Q961" s="28"/>
      <c r="R961" s="28"/>
      <c r="S961" s="26"/>
    </row>
    <row r="962" customFormat="false" ht="15" hidden="false" customHeight="false" outlineLevel="0" collapsed="false">
      <c r="A962" s="7" t="n">
        <v>958</v>
      </c>
      <c r="B962" s="9" t="s">
        <v>37</v>
      </c>
      <c r="C962" s="22" t="s">
        <v>300</v>
      </c>
      <c r="D962" s="9" t="s">
        <v>3781</v>
      </c>
      <c r="E962" s="9" t="s">
        <v>49</v>
      </c>
      <c r="F962" s="9" t="s">
        <v>124</v>
      </c>
      <c r="G962" s="22" t="s">
        <v>3788</v>
      </c>
      <c r="H962" s="9" t="s">
        <v>4298</v>
      </c>
      <c r="I962" s="7" t="s">
        <v>869</v>
      </c>
      <c r="J962" s="23" t="s">
        <v>3789</v>
      </c>
      <c r="K962" s="24" t="s">
        <v>3790</v>
      </c>
      <c r="L962" s="22" t="s">
        <v>3791</v>
      </c>
      <c r="M962" s="25"/>
      <c r="N962" s="25"/>
      <c r="O962" s="26"/>
      <c r="P962" s="27"/>
      <c r="Q962" s="28"/>
      <c r="R962" s="28"/>
      <c r="S962" s="26"/>
    </row>
    <row r="963" customFormat="false" ht="15" hidden="false" customHeight="false" outlineLevel="0" collapsed="false">
      <c r="A963" s="7" t="n">
        <v>959</v>
      </c>
      <c r="B963" s="9" t="s">
        <v>37</v>
      </c>
      <c r="C963" s="22" t="s">
        <v>300</v>
      </c>
      <c r="D963" s="9" t="s">
        <v>3781</v>
      </c>
      <c r="E963" s="9" t="s">
        <v>49</v>
      </c>
      <c r="F963" s="9" t="s">
        <v>124</v>
      </c>
      <c r="G963" s="22" t="s">
        <v>7580</v>
      </c>
      <c r="H963" s="9" t="s">
        <v>4298</v>
      </c>
      <c r="I963" s="7"/>
      <c r="J963" s="23" t="s">
        <v>7581</v>
      </c>
      <c r="K963" s="24" t="s">
        <v>7582</v>
      </c>
      <c r="L963" s="22" t="s">
        <v>7583</v>
      </c>
      <c r="M963" s="25"/>
      <c r="N963" s="25"/>
      <c r="O963" s="26"/>
      <c r="P963" s="27"/>
      <c r="Q963" s="28"/>
      <c r="R963" s="28"/>
      <c r="S963" s="26"/>
    </row>
    <row r="964" customFormat="false" ht="15" hidden="false" customHeight="false" outlineLevel="0" collapsed="false">
      <c r="A964" s="7" t="n">
        <v>960</v>
      </c>
      <c r="B964" s="9" t="s">
        <v>37</v>
      </c>
      <c r="C964" s="22" t="s">
        <v>300</v>
      </c>
      <c r="D964" s="9" t="s">
        <v>3781</v>
      </c>
      <c r="E964" s="9" t="s">
        <v>49</v>
      </c>
      <c r="F964" s="9" t="s">
        <v>124</v>
      </c>
      <c r="G964" s="22" t="s">
        <v>7584</v>
      </c>
      <c r="H964" s="9" t="s">
        <v>4298</v>
      </c>
      <c r="I964" s="7"/>
      <c r="J964" s="23" t="s">
        <v>7585</v>
      </c>
      <c r="K964" s="24" t="s">
        <v>7586</v>
      </c>
      <c r="L964" s="22" t="s">
        <v>7587</v>
      </c>
      <c r="M964" s="25"/>
      <c r="N964" s="25"/>
      <c r="O964" s="26"/>
      <c r="P964" s="27"/>
      <c r="Q964" s="28"/>
      <c r="R964" s="28"/>
      <c r="S964" s="26"/>
    </row>
    <row r="965" customFormat="false" ht="15" hidden="false" customHeight="false" outlineLevel="0" collapsed="false">
      <c r="A965" s="7" t="n">
        <v>961</v>
      </c>
      <c r="B965" s="9" t="s">
        <v>37</v>
      </c>
      <c r="C965" s="22" t="s">
        <v>300</v>
      </c>
      <c r="D965" s="9" t="s">
        <v>3781</v>
      </c>
      <c r="E965" s="9" t="s">
        <v>49</v>
      </c>
      <c r="F965" s="9" t="s">
        <v>124</v>
      </c>
      <c r="G965" s="22" t="s">
        <v>7588</v>
      </c>
      <c r="H965" s="9" t="s">
        <v>4298</v>
      </c>
      <c r="I965" s="7"/>
      <c r="J965" s="23" t="s">
        <v>7589</v>
      </c>
      <c r="K965" s="24" t="s">
        <v>7590</v>
      </c>
      <c r="L965" s="22" t="s">
        <v>4023</v>
      </c>
      <c r="M965" s="25"/>
      <c r="N965" s="25"/>
      <c r="O965" s="26"/>
      <c r="P965" s="27"/>
      <c r="Q965" s="28"/>
      <c r="R965" s="28"/>
      <c r="S965" s="26"/>
    </row>
    <row r="966" customFormat="false" ht="15" hidden="false" customHeight="false" outlineLevel="0" collapsed="false">
      <c r="A966" s="7" t="n">
        <v>962</v>
      </c>
      <c r="B966" s="9" t="s">
        <v>37</v>
      </c>
      <c r="C966" s="22" t="s">
        <v>300</v>
      </c>
      <c r="D966" s="9" t="s">
        <v>3781</v>
      </c>
      <c r="E966" s="9" t="s">
        <v>326</v>
      </c>
      <c r="F966" s="9" t="s">
        <v>124</v>
      </c>
      <c r="G966" s="22" t="s">
        <v>7591</v>
      </c>
      <c r="H966" s="9" t="s">
        <v>4298</v>
      </c>
      <c r="I966" s="7"/>
      <c r="J966" s="23" t="s">
        <v>7592</v>
      </c>
      <c r="K966" s="24" t="s">
        <v>7593</v>
      </c>
      <c r="L966" s="22" t="s">
        <v>7594</v>
      </c>
      <c r="M966" s="25"/>
      <c r="N966" s="25"/>
      <c r="O966" s="26"/>
      <c r="P966" s="27"/>
      <c r="Q966" s="28"/>
      <c r="R966" s="28"/>
      <c r="S966" s="26"/>
    </row>
    <row r="967" customFormat="false" ht="15" hidden="false" customHeight="false" outlineLevel="0" collapsed="false">
      <c r="A967" s="7" t="n">
        <v>963</v>
      </c>
      <c r="B967" s="9" t="s">
        <v>37</v>
      </c>
      <c r="C967" s="22" t="s">
        <v>3800</v>
      </c>
      <c r="D967" s="9" t="s">
        <v>3711</v>
      </c>
      <c r="E967" s="9" t="s">
        <v>47</v>
      </c>
      <c r="F967" s="9" t="s">
        <v>99</v>
      </c>
      <c r="G967" s="22" t="s">
        <v>7595</v>
      </c>
      <c r="H967" s="9" t="s">
        <v>4298</v>
      </c>
      <c r="I967" s="7"/>
      <c r="J967" s="23" t="s">
        <v>7596</v>
      </c>
      <c r="K967" s="24" t="s">
        <v>7597</v>
      </c>
      <c r="L967" s="22" t="s">
        <v>7598</v>
      </c>
      <c r="M967" s="25"/>
      <c r="N967" s="25"/>
      <c r="O967" s="26"/>
      <c r="P967" s="27"/>
      <c r="Q967" s="28"/>
      <c r="R967" s="28"/>
      <c r="S967" s="26"/>
    </row>
    <row r="968" customFormat="false" ht="15" hidden="false" customHeight="false" outlineLevel="0" collapsed="false">
      <c r="A968" s="7" t="n">
        <v>964</v>
      </c>
      <c r="B968" s="9" t="s">
        <v>37</v>
      </c>
      <c r="C968" s="22" t="s">
        <v>3800</v>
      </c>
      <c r="D968" s="9" t="s">
        <v>3711</v>
      </c>
      <c r="E968" s="9" t="s">
        <v>47</v>
      </c>
      <c r="F968" s="9" t="s">
        <v>99</v>
      </c>
      <c r="G968" s="22" t="s">
        <v>7599</v>
      </c>
      <c r="H968" s="9" t="s">
        <v>4298</v>
      </c>
      <c r="I968" s="7"/>
      <c r="J968" s="23" t="s">
        <v>7600</v>
      </c>
      <c r="K968" s="24" t="s">
        <v>7601</v>
      </c>
      <c r="L968" s="22" t="s">
        <v>7602</v>
      </c>
      <c r="M968" s="25"/>
      <c r="N968" s="25"/>
      <c r="O968" s="26"/>
      <c r="P968" s="27"/>
      <c r="Q968" s="28"/>
      <c r="R968" s="28"/>
      <c r="S968" s="26"/>
    </row>
    <row r="969" customFormat="false" ht="15" hidden="false" customHeight="false" outlineLevel="0" collapsed="false">
      <c r="A969" s="7" t="n">
        <v>965</v>
      </c>
      <c r="B969" s="9" t="s">
        <v>37</v>
      </c>
      <c r="C969" s="22" t="s">
        <v>3800</v>
      </c>
      <c r="D969" s="9" t="s">
        <v>3711</v>
      </c>
      <c r="E969" s="9" t="s">
        <v>47</v>
      </c>
      <c r="F969" s="9" t="s">
        <v>99</v>
      </c>
      <c r="G969" s="22" t="s">
        <v>7603</v>
      </c>
      <c r="H969" s="9" t="s">
        <v>4298</v>
      </c>
      <c r="I969" s="7"/>
      <c r="J969" s="23" t="s">
        <v>7604</v>
      </c>
      <c r="K969" s="24" t="s">
        <v>7605</v>
      </c>
      <c r="L969" s="22" t="s">
        <v>7606</v>
      </c>
      <c r="M969" s="25"/>
      <c r="N969" s="25"/>
      <c r="O969" s="26"/>
      <c r="P969" s="27"/>
      <c r="Q969" s="28"/>
      <c r="R969" s="28"/>
      <c r="S969" s="26"/>
    </row>
    <row r="970" customFormat="false" ht="15" hidden="false" customHeight="false" outlineLevel="0" collapsed="false">
      <c r="A970" s="7" t="n">
        <v>966</v>
      </c>
      <c r="B970" s="9" t="s">
        <v>37</v>
      </c>
      <c r="C970" s="22" t="s">
        <v>3800</v>
      </c>
      <c r="D970" s="9" t="s">
        <v>3711</v>
      </c>
      <c r="E970" s="9" t="s">
        <v>47</v>
      </c>
      <c r="F970" s="9" t="s">
        <v>99</v>
      </c>
      <c r="G970" s="22" t="s">
        <v>3813</v>
      </c>
      <c r="H970" s="9" t="s">
        <v>4298</v>
      </c>
      <c r="I970" s="7" t="s">
        <v>869</v>
      </c>
      <c r="J970" s="23" t="s">
        <v>3814</v>
      </c>
      <c r="K970" s="24" t="s">
        <v>3815</v>
      </c>
      <c r="L970" s="22" t="s">
        <v>3816</v>
      </c>
      <c r="M970" s="25"/>
      <c r="N970" s="25"/>
      <c r="O970" s="26"/>
      <c r="P970" s="27"/>
      <c r="Q970" s="28"/>
      <c r="R970" s="28"/>
      <c r="S970" s="26"/>
    </row>
    <row r="971" customFormat="false" ht="15" hidden="false" customHeight="false" outlineLevel="0" collapsed="false">
      <c r="A971" s="7" t="n">
        <v>967</v>
      </c>
      <c r="B971" s="9" t="s">
        <v>37</v>
      </c>
      <c r="C971" s="22" t="s">
        <v>3800</v>
      </c>
      <c r="D971" s="9" t="s">
        <v>3711</v>
      </c>
      <c r="E971" s="9" t="s">
        <v>47</v>
      </c>
      <c r="F971" s="9" t="s">
        <v>99</v>
      </c>
      <c r="G971" s="22" t="s">
        <v>7607</v>
      </c>
      <c r="H971" s="9" t="s">
        <v>4298</v>
      </c>
      <c r="I971" s="7"/>
      <c r="J971" s="23" t="s">
        <v>7608</v>
      </c>
      <c r="K971" s="24" t="s">
        <v>7609</v>
      </c>
      <c r="L971" s="22" t="s">
        <v>7610</v>
      </c>
      <c r="M971" s="25"/>
      <c r="N971" s="25"/>
      <c r="O971" s="26"/>
      <c r="P971" s="27"/>
      <c r="Q971" s="28"/>
      <c r="R971" s="28"/>
      <c r="S971" s="26"/>
    </row>
    <row r="972" customFormat="false" ht="15" hidden="false" customHeight="false" outlineLevel="0" collapsed="false">
      <c r="A972" s="7" t="n">
        <v>968</v>
      </c>
      <c r="B972" s="9" t="s">
        <v>37</v>
      </c>
      <c r="C972" s="22" t="s">
        <v>3800</v>
      </c>
      <c r="D972" s="9" t="s">
        <v>3711</v>
      </c>
      <c r="E972" s="9" t="s">
        <v>47</v>
      </c>
      <c r="F972" s="9" t="s">
        <v>99</v>
      </c>
      <c r="G972" s="22" t="s">
        <v>1944</v>
      </c>
      <c r="H972" s="9" t="s">
        <v>4298</v>
      </c>
      <c r="I972" s="7"/>
      <c r="J972" s="23" t="s">
        <v>7611</v>
      </c>
      <c r="K972" s="24" t="s">
        <v>7612</v>
      </c>
      <c r="L972" s="22" t="s">
        <v>7613</v>
      </c>
      <c r="M972" s="25"/>
      <c r="N972" s="25"/>
      <c r="O972" s="26"/>
      <c r="P972" s="27"/>
      <c r="Q972" s="28"/>
      <c r="R972" s="28"/>
      <c r="S972" s="26"/>
    </row>
    <row r="973" customFormat="false" ht="15" hidden="false" customHeight="false" outlineLevel="0" collapsed="false">
      <c r="A973" s="7" t="n">
        <v>969</v>
      </c>
      <c r="B973" s="9" t="s">
        <v>37</v>
      </c>
      <c r="C973" s="22" t="s">
        <v>3800</v>
      </c>
      <c r="D973" s="9" t="s">
        <v>3711</v>
      </c>
      <c r="E973" s="9" t="s">
        <v>47</v>
      </c>
      <c r="F973" s="9" t="s">
        <v>99</v>
      </c>
      <c r="G973" s="22" t="s">
        <v>3825</v>
      </c>
      <c r="H973" s="9" t="s">
        <v>4298</v>
      </c>
      <c r="I973" s="7" t="s">
        <v>869</v>
      </c>
      <c r="J973" s="23" t="s">
        <v>3826</v>
      </c>
      <c r="K973" s="24" t="s">
        <v>3827</v>
      </c>
      <c r="L973" s="22" t="s">
        <v>3828</v>
      </c>
      <c r="M973" s="25"/>
      <c r="N973" s="25"/>
      <c r="O973" s="26"/>
      <c r="P973" s="27"/>
      <c r="Q973" s="28"/>
      <c r="R973" s="28"/>
      <c r="S973" s="26"/>
    </row>
    <row r="974" customFormat="false" ht="15" hidden="false" customHeight="false" outlineLevel="0" collapsed="false">
      <c r="A974" s="7" t="n">
        <v>970</v>
      </c>
      <c r="B974" s="9" t="s">
        <v>37</v>
      </c>
      <c r="C974" s="22" t="s">
        <v>3800</v>
      </c>
      <c r="D974" s="9" t="s">
        <v>3711</v>
      </c>
      <c r="E974" s="9" t="s">
        <v>47</v>
      </c>
      <c r="F974" s="9" t="s">
        <v>99</v>
      </c>
      <c r="G974" s="22" t="s">
        <v>7614</v>
      </c>
      <c r="H974" s="9" t="s">
        <v>4298</v>
      </c>
      <c r="I974" s="7"/>
      <c r="J974" s="23" t="s">
        <v>7615</v>
      </c>
      <c r="K974" s="24" t="s">
        <v>7616</v>
      </c>
      <c r="L974" s="22" t="s">
        <v>7617</v>
      </c>
      <c r="M974" s="25"/>
      <c r="N974" s="25"/>
      <c r="O974" s="26"/>
      <c r="P974" s="27"/>
      <c r="Q974" s="28"/>
      <c r="R974" s="28"/>
      <c r="S974" s="26"/>
    </row>
    <row r="975" customFormat="false" ht="15" hidden="false" customHeight="false" outlineLevel="0" collapsed="false">
      <c r="A975" s="7" t="n">
        <v>971</v>
      </c>
      <c r="B975" s="9" t="s">
        <v>37</v>
      </c>
      <c r="C975" s="22" t="s">
        <v>3800</v>
      </c>
      <c r="D975" s="9" t="s">
        <v>3711</v>
      </c>
      <c r="E975" s="9" t="s">
        <v>47</v>
      </c>
      <c r="F975" s="9" t="s">
        <v>99</v>
      </c>
      <c r="G975" s="22" t="s">
        <v>1791</v>
      </c>
      <c r="H975" s="9" t="s">
        <v>4298</v>
      </c>
      <c r="I975" s="7"/>
      <c r="J975" s="23" t="s">
        <v>7618</v>
      </c>
      <c r="K975" s="24" t="s">
        <v>7619</v>
      </c>
      <c r="L975" s="22" t="s">
        <v>7620</v>
      </c>
      <c r="M975" s="25"/>
      <c r="N975" s="25"/>
      <c r="O975" s="26"/>
      <c r="P975" s="27"/>
      <c r="Q975" s="28"/>
      <c r="R975" s="28"/>
      <c r="S975" s="26"/>
    </row>
    <row r="976" customFormat="false" ht="15" hidden="false" customHeight="false" outlineLevel="0" collapsed="false">
      <c r="A976" s="7" t="n">
        <v>972</v>
      </c>
      <c r="B976" s="9" t="s">
        <v>37</v>
      </c>
      <c r="C976" s="22" t="s">
        <v>3800</v>
      </c>
      <c r="D976" s="9" t="s">
        <v>3711</v>
      </c>
      <c r="E976" s="9" t="s">
        <v>47</v>
      </c>
      <c r="F976" s="9" t="s">
        <v>99</v>
      </c>
      <c r="G976" s="22" t="s">
        <v>7621</v>
      </c>
      <c r="H976" s="9" t="s">
        <v>4298</v>
      </c>
      <c r="I976" s="7"/>
      <c r="J976" s="23" t="s">
        <v>7622</v>
      </c>
      <c r="K976" s="24" t="s">
        <v>7623</v>
      </c>
      <c r="L976" s="22" t="s">
        <v>7624</v>
      </c>
      <c r="M976" s="25"/>
      <c r="N976" s="25"/>
      <c r="O976" s="26"/>
      <c r="P976" s="27"/>
      <c r="Q976" s="28"/>
      <c r="R976" s="28"/>
      <c r="S976" s="26"/>
    </row>
    <row r="977" customFormat="false" ht="15" hidden="false" customHeight="false" outlineLevel="0" collapsed="false">
      <c r="A977" s="7" t="n">
        <v>973</v>
      </c>
      <c r="B977" s="9" t="s">
        <v>37</v>
      </c>
      <c r="C977" s="22" t="s">
        <v>3800</v>
      </c>
      <c r="D977" s="9" t="s">
        <v>3711</v>
      </c>
      <c r="E977" s="9" t="s">
        <v>47</v>
      </c>
      <c r="F977" s="9" t="s">
        <v>99</v>
      </c>
      <c r="G977" s="22" t="s">
        <v>7625</v>
      </c>
      <c r="H977" s="9" t="s">
        <v>4298</v>
      </c>
      <c r="I977" s="7"/>
      <c r="J977" s="23" t="s">
        <v>7626</v>
      </c>
      <c r="K977" s="24" t="s">
        <v>7627</v>
      </c>
      <c r="L977" s="22" t="s">
        <v>7628</v>
      </c>
      <c r="M977" s="25"/>
      <c r="N977" s="25"/>
      <c r="O977" s="26"/>
      <c r="P977" s="27"/>
      <c r="Q977" s="28"/>
      <c r="R977" s="28"/>
      <c r="S977" s="26"/>
    </row>
    <row r="978" customFormat="false" ht="15" hidden="false" customHeight="false" outlineLevel="0" collapsed="false">
      <c r="A978" s="7" t="n">
        <v>974</v>
      </c>
      <c r="B978" s="9" t="s">
        <v>37</v>
      </c>
      <c r="C978" s="22" t="s">
        <v>3800</v>
      </c>
      <c r="D978" s="9" t="s">
        <v>3711</v>
      </c>
      <c r="E978" s="9" t="s">
        <v>47</v>
      </c>
      <c r="F978" s="9" t="s">
        <v>99</v>
      </c>
      <c r="G978" s="22" t="s">
        <v>3833</v>
      </c>
      <c r="H978" s="9" t="s">
        <v>4298</v>
      </c>
      <c r="I978" s="7" t="s">
        <v>869</v>
      </c>
      <c r="J978" s="23" t="s">
        <v>3834</v>
      </c>
      <c r="K978" s="24" t="s">
        <v>3835</v>
      </c>
      <c r="L978" s="22" t="s">
        <v>3836</v>
      </c>
      <c r="M978" s="25"/>
      <c r="N978" s="25"/>
      <c r="O978" s="26"/>
      <c r="P978" s="27"/>
      <c r="Q978" s="28"/>
      <c r="R978" s="28"/>
      <c r="S978" s="26"/>
    </row>
    <row r="979" customFormat="false" ht="15" hidden="false" customHeight="false" outlineLevel="0" collapsed="false">
      <c r="A979" s="7" t="n">
        <v>975</v>
      </c>
      <c r="B979" s="9" t="s">
        <v>37</v>
      </c>
      <c r="C979" s="22" t="s">
        <v>3800</v>
      </c>
      <c r="D979" s="9" t="s">
        <v>3711</v>
      </c>
      <c r="E979" s="9" t="s">
        <v>47</v>
      </c>
      <c r="F979" s="9" t="s">
        <v>99</v>
      </c>
      <c r="G979" s="22" t="s">
        <v>7629</v>
      </c>
      <c r="H979" s="9" t="s">
        <v>4298</v>
      </c>
      <c r="I979" s="7"/>
      <c r="J979" s="23" t="s">
        <v>7630</v>
      </c>
      <c r="K979" s="24" t="s">
        <v>7631</v>
      </c>
      <c r="L979" s="22" t="s">
        <v>7632</v>
      </c>
      <c r="M979" s="25"/>
      <c r="N979" s="25"/>
      <c r="O979" s="26"/>
      <c r="P979" s="27"/>
      <c r="Q979" s="28"/>
      <c r="R979" s="28"/>
      <c r="S979" s="26"/>
    </row>
    <row r="980" customFormat="false" ht="15" hidden="false" customHeight="false" outlineLevel="0" collapsed="false">
      <c r="A980" s="7" t="n">
        <v>976</v>
      </c>
      <c r="B980" s="9" t="s">
        <v>37</v>
      </c>
      <c r="C980" s="22" t="s">
        <v>3800</v>
      </c>
      <c r="D980" s="9" t="s">
        <v>3711</v>
      </c>
      <c r="E980" s="9" t="s">
        <v>47</v>
      </c>
      <c r="F980" s="9" t="s">
        <v>99</v>
      </c>
      <c r="G980" s="22" t="s">
        <v>7633</v>
      </c>
      <c r="H980" s="9" t="s">
        <v>4298</v>
      </c>
      <c r="I980" s="7"/>
      <c r="J980" s="23" t="s">
        <v>7634</v>
      </c>
      <c r="K980" s="24" t="s">
        <v>7635</v>
      </c>
      <c r="L980" s="22" t="s">
        <v>7636</v>
      </c>
      <c r="M980" s="25"/>
      <c r="N980" s="25"/>
      <c r="O980" s="26"/>
      <c r="P980" s="27"/>
      <c r="Q980" s="28"/>
      <c r="R980" s="28"/>
      <c r="S980" s="26"/>
    </row>
    <row r="981" customFormat="false" ht="15" hidden="false" customHeight="false" outlineLevel="0" collapsed="false">
      <c r="A981" s="7" t="n">
        <v>977</v>
      </c>
      <c r="B981" s="9" t="s">
        <v>37</v>
      </c>
      <c r="C981" s="22" t="s">
        <v>3800</v>
      </c>
      <c r="D981" s="9" t="s">
        <v>3711</v>
      </c>
      <c r="E981" s="9" t="s">
        <v>48</v>
      </c>
      <c r="F981" s="9" t="s">
        <v>124</v>
      </c>
      <c r="G981" s="22" t="s">
        <v>7637</v>
      </c>
      <c r="H981" s="9" t="s">
        <v>4298</v>
      </c>
      <c r="I981" s="7"/>
      <c r="J981" s="23" t="s">
        <v>7528</v>
      </c>
      <c r="K981" s="24" t="s">
        <v>7529</v>
      </c>
      <c r="L981" s="22" t="s">
        <v>7530</v>
      </c>
      <c r="M981" s="25"/>
      <c r="N981" s="25"/>
      <c r="O981" s="26"/>
      <c r="P981" s="27"/>
      <c r="Q981" s="28"/>
      <c r="R981" s="28"/>
      <c r="S981" s="26"/>
    </row>
    <row r="982" customFormat="false" ht="15" hidden="false" customHeight="false" outlineLevel="0" collapsed="false">
      <c r="A982" s="7" t="n">
        <v>978</v>
      </c>
      <c r="B982" s="9" t="s">
        <v>37</v>
      </c>
      <c r="C982" s="22" t="s">
        <v>3800</v>
      </c>
      <c r="D982" s="9" t="s">
        <v>3711</v>
      </c>
      <c r="E982" s="9" t="s">
        <v>48</v>
      </c>
      <c r="F982" s="9" t="s">
        <v>99</v>
      </c>
      <c r="G982" s="22" t="s">
        <v>7638</v>
      </c>
      <c r="H982" s="9" t="s">
        <v>4298</v>
      </c>
      <c r="I982" s="7"/>
      <c r="J982" s="23" t="s">
        <v>7639</v>
      </c>
      <c r="K982" s="24" t="s">
        <v>7640</v>
      </c>
      <c r="L982" s="22" t="s">
        <v>7641</v>
      </c>
      <c r="M982" s="25"/>
      <c r="N982" s="25"/>
      <c r="O982" s="26"/>
      <c r="P982" s="27"/>
      <c r="Q982" s="28"/>
      <c r="R982" s="28"/>
      <c r="S982" s="26"/>
    </row>
    <row r="983" customFormat="false" ht="15" hidden="false" customHeight="false" outlineLevel="0" collapsed="false">
      <c r="A983" s="7" t="n">
        <v>979</v>
      </c>
      <c r="B983" s="9" t="s">
        <v>37</v>
      </c>
      <c r="C983" s="22" t="s">
        <v>3849</v>
      </c>
      <c r="D983" s="9" t="s">
        <v>3850</v>
      </c>
      <c r="E983" s="9" t="s">
        <v>47</v>
      </c>
      <c r="F983" s="9" t="s">
        <v>99</v>
      </c>
      <c r="G983" s="22" t="s">
        <v>7642</v>
      </c>
      <c r="H983" s="9" t="s">
        <v>4298</v>
      </c>
      <c r="I983" s="7"/>
      <c r="J983" s="23" t="s">
        <v>7643</v>
      </c>
      <c r="K983" s="24" t="s">
        <v>7644</v>
      </c>
      <c r="L983" s="22" t="s">
        <v>7645</v>
      </c>
      <c r="M983" s="25"/>
      <c r="N983" s="25"/>
      <c r="O983" s="26"/>
      <c r="P983" s="27"/>
      <c r="Q983" s="28"/>
      <c r="R983" s="28"/>
      <c r="S983" s="26"/>
    </row>
    <row r="984" customFormat="false" ht="15" hidden="false" customHeight="false" outlineLevel="0" collapsed="false">
      <c r="A984" s="7" t="n">
        <v>980</v>
      </c>
      <c r="B984" s="9" t="s">
        <v>37</v>
      </c>
      <c r="C984" s="22" t="s">
        <v>3849</v>
      </c>
      <c r="D984" s="9" t="s">
        <v>3850</v>
      </c>
      <c r="E984" s="9" t="s">
        <v>48</v>
      </c>
      <c r="F984" s="9" t="s">
        <v>124</v>
      </c>
      <c r="G984" s="22" t="s">
        <v>7646</v>
      </c>
      <c r="H984" s="9" t="s">
        <v>4298</v>
      </c>
      <c r="I984" s="7"/>
      <c r="J984" s="23" t="s">
        <v>7647</v>
      </c>
      <c r="K984" s="24" t="s">
        <v>7648</v>
      </c>
      <c r="L984" s="22" t="s">
        <v>7542</v>
      </c>
      <c r="M984" s="25"/>
      <c r="N984" s="25"/>
      <c r="O984" s="26"/>
      <c r="P984" s="27"/>
      <c r="Q984" s="28"/>
      <c r="R984" s="28"/>
      <c r="S984" s="26"/>
    </row>
    <row r="985" customFormat="false" ht="15" hidden="false" customHeight="false" outlineLevel="0" collapsed="false">
      <c r="A985" s="7" t="n">
        <v>981</v>
      </c>
      <c r="B985" s="9" t="s">
        <v>37</v>
      </c>
      <c r="C985" s="22" t="s">
        <v>3849</v>
      </c>
      <c r="D985" s="9" t="s">
        <v>3850</v>
      </c>
      <c r="E985" s="9" t="s">
        <v>48</v>
      </c>
      <c r="F985" s="9" t="s">
        <v>124</v>
      </c>
      <c r="G985" s="22" t="s">
        <v>7649</v>
      </c>
      <c r="H985" s="9" t="s">
        <v>4298</v>
      </c>
      <c r="I985" s="7"/>
      <c r="J985" s="23" t="s">
        <v>7650</v>
      </c>
      <c r="K985" s="24" t="s">
        <v>7651</v>
      </c>
      <c r="L985" s="22" t="s">
        <v>7652</v>
      </c>
      <c r="M985" s="25"/>
      <c r="N985" s="25"/>
      <c r="O985" s="26"/>
      <c r="P985" s="27"/>
      <c r="Q985" s="28"/>
      <c r="R985" s="28"/>
      <c r="S985" s="26"/>
    </row>
    <row r="986" customFormat="false" ht="15" hidden="false" customHeight="false" outlineLevel="0" collapsed="false">
      <c r="A986" s="7" t="n">
        <v>982</v>
      </c>
      <c r="B986" s="9" t="s">
        <v>37</v>
      </c>
      <c r="C986" s="22" t="s">
        <v>3849</v>
      </c>
      <c r="D986" s="9" t="s">
        <v>3850</v>
      </c>
      <c r="E986" s="9" t="s">
        <v>48</v>
      </c>
      <c r="F986" s="9" t="s">
        <v>124</v>
      </c>
      <c r="G986" s="22" t="s">
        <v>7653</v>
      </c>
      <c r="H986" s="9" t="s">
        <v>4298</v>
      </c>
      <c r="I986" s="7"/>
      <c r="J986" s="23" t="s">
        <v>7654</v>
      </c>
      <c r="K986" s="24" t="s">
        <v>7655</v>
      </c>
      <c r="L986" s="22" t="s">
        <v>7656</v>
      </c>
      <c r="M986" s="25"/>
      <c r="N986" s="25"/>
      <c r="O986" s="26"/>
      <c r="P986" s="27"/>
      <c r="Q986" s="28"/>
      <c r="R986" s="28"/>
      <c r="S986" s="29" t="s">
        <v>7657</v>
      </c>
    </row>
    <row r="987" customFormat="false" ht="15" hidden="false" customHeight="false" outlineLevel="0" collapsed="false">
      <c r="A987" s="7" t="n">
        <v>983</v>
      </c>
      <c r="B987" s="9" t="s">
        <v>37</v>
      </c>
      <c r="C987" s="22" t="s">
        <v>3849</v>
      </c>
      <c r="D987" s="9" t="s">
        <v>3850</v>
      </c>
      <c r="E987" s="9" t="s">
        <v>48</v>
      </c>
      <c r="F987" s="9" t="s">
        <v>99</v>
      </c>
      <c r="G987" s="22" t="s">
        <v>7658</v>
      </c>
      <c r="H987" s="9" t="s">
        <v>4298</v>
      </c>
      <c r="I987" s="7"/>
      <c r="J987" s="23" t="s">
        <v>7659</v>
      </c>
      <c r="K987" s="24" t="s">
        <v>7660</v>
      </c>
      <c r="L987" s="22" t="s">
        <v>7661</v>
      </c>
      <c r="M987" s="25"/>
      <c r="N987" s="25"/>
      <c r="O987" s="26"/>
      <c r="P987" s="27"/>
      <c r="Q987" s="28"/>
      <c r="R987" s="28"/>
      <c r="S987" s="26"/>
    </row>
    <row r="988" customFormat="false" ht="15" hidden="false" customHeight="false" outlineLevel="0" collapsed="false">
      <c r="A988" s="7" t="n">
        <v>984</v>
      </c>
      <c r="B988" s="9" t="s">
        <v>37</v>
      </c>
      <c r="C988" s="22" t="s">
        <v>3849</v>
      </c>
      <c r="D988" s="9" t="s">
        <v>3850</v>
      </c>
      <c r="E988" s="9" t="s">
        <v>48</v>
      </c>
      <c r="F988" s="9" t="s">
        <v>124</v>
      </c>
      <c r="G988" s="22" t="s">
        <v>7662</v>
      </c>
      <c r="H988" s="9" t="s">
        <v>4298</v>
      </c>
      <c r="I988" s="7"/>
      <c r="J988" s="23" t="s">
        <v>7663</v>
      </c>
      <c r="K988" s="24" t="s">
        <v>7664</v>
      </c>
      <c r="L988" s="22" t="s">
        <v>7665</v>
      </c>
      <c r="M988" s="25"/>
      <c r="N988" s="25"/>
      <c r="O988" s="26"/>
      <c r="P988" s="27"/>
      <c r="Q988" s="28"/>
      <c r="R988" s="28"/>
      <c r="S988" s="26"/>
    </row>
    <row r="989" customFormat="false" ht="15" hidden="false" customHeight="false" outlineLevel="0" collapsed="false">
      <c r="A989" s="7" t="n">
        <v>985</v>
      </c>
      <c r="B989" s="9" t="s">
        <v>37</v>
      </c>
      <c r="C989" s="22" t="s">
        <v>3863</v>
      </c>
      <c r="D989" s="9" t="s">
        <v>3864</v>
      </c>
      <c r="E989" s="9" t="s">
        <v>47</v>
      </c>
      <c r="F989" s="9" t="s">
        <v>99</v>
      </c>
      <c r="G989" s="22" t="s">
        <v>7666</v>
      </c>
      <c r="H989" s="9" t="s">
        <v>4298</v>
      </c>
      <c r="I989" s="7"/>
      <c r="J989" s="23" t="s">
        <v>7667</v>
      </c>
      <c r="K989" s="24" t="s">
        <v>7668</v>
      </c>
      <c r="L989" s="22" t="s">
        <v>7669</v>
      </c>
      <c r="M989" s="25"/>
      <c r="N989" s="25"/>
      <c r="O989" s="26"/>
      <c r="P989" s="27"/>
      <c r="Q989" s="28"/>
      <c r="R989" s="28"/>
      <c r="S989" s="26"/>
    </row>
    <row r="990" customFormat="false" ht="15" hidden="false" customHeight="false" outlineLevel="0" collapsed="false">
      <c r="A990" s="7" t="n">
        <v>986</v>
      </c>
      <c r="B990" s="9" t="s">
        <v>37</v>
      </c>
      <c r="C990" s="22" t="s">
        <v>3863</v>
      </c>
      <c r="D990" s="9" t="s">
        <v>3864</v>
      </c>
      <c r="E990" s="9" t="s">
        <v>47</v>
      </c>
      <c r="F990" s="9" t="s">
        <v>99</v>
      </c>
      <c r="G990" s="22" t="s">
        <v>7670</v>
      </c>
      <c r="H990" s="9" t="s">
        <v>4298</v>
      </c>
      <c r="I990" s="7"/>
      <c r="J990" s="23" t="s">
        <v>7671</v>
      </c>
      <c r="K990" s="24" t="s">
        <v>7672</v>
      </c>
      <c r="L990" s="22" t="s">
        <v>7673</v>
      </c>
      <c r="M990" s="25"/>
      <c r="N990" s="25"/>
      <c r="O990" s="26"/>
      <c r="P990" s="27"/>
      <c r="Q990" s="28"/>
      <c r="R990" s="28"/>
      <c r="S990" s="26"/>
    </row>
    <row r="991" customFormat="false" ht="15" hidden="false" customHeight="false" outlineLevel="0" collapsed="false">
      <c r="A991" s="7" t="n">
        <v>987</v>
      </c>
      <c r="B991" s="9" t="s">
        <v>37</v>
      </c>
      <c r="C991" s="22" t="s">
        <v>3863</v>
      </c>
      <c r="D991" s="9" t="s">
        <v>3864</v>
      </c>
      <c r="E991" s="9" t="s">
        <v>47</v>
      </c>
      <c r="F991" s="9" t="s">
        <v>99</v>
      </c>
      <c r="G991" s="22" t="s">
        <v>7674</v>
      </c>
      <c r="H991" s="9" t="s">
        <v>4298</v>
      </c>
      <c r="I991" s="7"/>
      <c r="J991" s="23" t="s">
        <v>7675</v>
      </c>
      <c r="K991" s="24" t="s">
        <v>7676</v>
      </c>
      <c r="L991" s="22" t="s">
        <v>7677</v>
      </c>
      <c r="M991" s="25"/>
      <c r="N991" s="25"/>
      <c r="O991" s="26"/>
      <c r="P991" s="27"/>
      <c r="Q991" s="28"/>
      <c r="R991" s="28"/>
      <c r="S991" s="26"/>
    </row>
    <row r="992" customFormat="false" ht="15" hidden="false" customHeight="false" outlineLevel="0" collapsed="false">
      <c r="A992" s="7" t="n">
        <v>988</v>
      </c>
      <c r="B992" s="9" t="s">
        <v>37</v>
      </c>
      <c r="C992" s="22" t="s">
        <v>3863</v>
      </c>
      <c r="D992" s="9" t="s">
        <v>3864</v>
      </c>
      <c r="E992" s="9" t="s">
        <v>47</v>
      </c>
      <c r="F992" s="9" t="s">
        <v>99</v>
      </c>
      <c r="G992" s="22" t="s">
        <v>4157</v>
      </c>
      <c r="H992" s="9" t="s">
        <v>4298</v>
      </c>
      <c r="I992" s="7"/>
      <c r="J992" s="23" t="s">
        <v>7678</v>
      </c>
      <c r="K992" s="24" t="s">
        <v>7679</v>
      </c>
      <c r="L992" s="22" t="s">
        <v>7680</v>
      </c>
      <c r="M992" s="25"/>
      <c r="N992" s="25"/>
      <c r="O992" s="26"/>
      <c r="P992" s="27"/>
      <c r="Q992" s="28"/>
      <c r="R992" s="28"/>
      <c r="S992" s="26"/>
    </row>
    <row r="993" customFormat="false" ht="15" hidden="false" customHeight="false" outlineLevel="0" collapsed="false">
      <c r="A993" s="7" t="n">
        <v>989</v>
      </c>
      <c r="B993" s="9" t="s">
        <v>37</v>
      </c>
      <c r="C993" s="22" t="s">
        <v>3863</v>
      </c>
      <c r="D993" s="9" t="s">
        <v>3864</v>
      </c>
      <c r="E993" s="9" t="s">
        <v>47</v>
      </c>
      <c r="F993" s="9" t="s">
        <v>99</v>
      </c>
      <c r="G993" s="22" t="s">
        <v>7681</v>
      </c>
      <c r="H993" s="9" t="s">
        <v>4298</v>
      </c>
      <c r="I993" s="7"/>
      <c r="J993" s="23" t="s">
        <v>7682</v>
      </c>
      <c r="K993" s="24" t="s">
        <v>7683</v>
      </c>
      <c r="L993" s="22" t="s">
        <v>7684</v>
      </c>
      <c r="M993" s="25"/>
      <c r="N993" s="25"/>
      <c r="O993" s="26"/>
      <c r="P993" s="27"/>
      <c r="Q993" s="28"/>
      <c r="R993" s="28"/>
      <c r="S993" s="26"/>
    </row>
    <row r="994" customFormat="false" ht="15" hidden="false" customHeight="false" outlineLevel="0" collapsed="false">
      <c r="A994" s="7" t="n">
        <v>990</v>
      </c>
      <c r="B994" s="9" t="s">
        <v>37</v>
      </c>
      <c r="C994" s="22" t="s">
        <v>3873</v>
      </c>
      <c r="D994" s="9" t="s">
        <v>3874</v>
      </c>
      <c r="E994" s="9" t="s">
        <v>47</v>
      </c>
      <c r="F994" s="9" t="s">
        <v>99</v>
      </c>
      <c r="G994" s="22" t="s">
        <v>7685</v>
      </c>
      <c r="H994" s="9" t="s">
        <v>4298</v>
      </c>
      <c r="I994" s="7"/>
      <c r="J994" s="23" t="s">
        <v>7686</v>
      </c>
      <c r="K994" s="24" t="s">
        <v>7687</v>
      </c>
      <c r="L994" s="22" t="s">
        <v>7688</v>
      </c>
      <c r="M994" s="25"/>
      <c r="N994" s="25"/>
      <c r="O994" s="26"/>
      <c r="P994" s="27"/>
      <c r="Q994" s="28"/>
      <c r="R994" s="28"/>
      <c r="S994" s="26"/>
    </row>
    <row r="995" customFormat="false" ht="15" hidden="false" customHeight="false" outlineLevel="0" collapsed="false">
      <c r="A995" s="7" t="n">
        <v>991</v>
      </c>
      <c r="B995" s="9" t="s">
        <v>37</v>
      </c>
      <c r="C995" s="22" t="s">
        <v>3879</v>
      </c>
      <c r="D995" s="9" t="s">
        <v>3744</v>
      </c>
      <c r="E995" s="9" t="s">
        <v>47</v>
      </c>
      <c r="F995" s="9" t="s">
        <v>99</v>
      </c>
      <c r="G995" s="22" t="s">
        <v>7689</v>
      </c>
      <c r="H995" s="9" t="s">
        <v>4298</v>
      </c>
      <c r="I995" s="7"/>
      <c r="J995" s="23" t="s">
        <v>7690</v>
      </c>
      <c r="K995" s="24" t="s">
        <v>7691</v>
      </c>
      <c r="L995" s="22" t="s">
        <v>7692</v>
      </c>
      <c r="M995" s="25"/>
      <c r="N995" s="25"/>
      <c r="O995" s="26"/>
      <c r="P995" s="27"/>
      <c r="Q995" s="28"/>
      <c r="R995" s="28"/>
      <c r="S995" s="26"/>
    </row>
    <row r="996" customFormat="false" ht="15" hidden="false" customHeight="false" outlineLevel="0" collapsed="false">
      <c r="A996" s="7" t="n">
        <v>992</v>
      </c>
      <c r="B996" s="9" t="s">
        <v>37</v>
      </c>
      <c r="C996" s="22" t="s">
        <v>3879</v>
      </c>
      <c r="D996" s="9" t="s">
        <v>3744</v>
      </c>
      <c r="E996" s="9" t="s">
        <v>47</v>
      </c>
      <c r="F996" s="9" t="s">
        <v>99</v>
      </c>
      <c r="G996" s="22" t="s">
        <v>7693</v>
      </c>
      <c r="H996" s="9" t="s">
        <v>4298</v>
      </c>
      <c r="I996" s="7"/>
      <c r="J996" s="23" t="s">
        <v>7694</v>
      </c>
      <c r="K996" s="24" t="s">
        <v>7695</v>
      </c>
      <c r="L996" s="22" t="s">
        <v>7696</v>
      </c>
      <c r="M996" s="25"/>
      <c r="N996" s="25"/>
      <c r="O996" s="26"/>
      <c r="P996" s="27"/>
      <c r="Q996" s="28"/>
      <c r="R996" s="28"/>
      <c r="S996" s="26"/>
    </row>
    <row r="997" customFormat="false" ht="15" hidden="false" customHeight="false" outlineLevel="0" collapsed="false">
      <c r="A997" s="7" t="n">
        <v>993</v>
      </c>
      <c r="B997" s="9" t="s">
        <v>37</v>
      </c>
      <c r="C997" s="22" t="s">
        <v>3879</v>
      </c>
      <c r="D997" s="9" t="s">
        <v>3744</v>
      </c>
      <c r="E997" s="9" t="s">
        <v>47</v>
      </c>
      <c r="F997" s="9" t="s">
        <v>99</v>
      </c>
      <c r="G997" s="22" t="s">
        <v>7697</v>
      </c>
      <c r="H997" s="9" t="s">
        <v>4298</v>
      </c>
      <c r="I997" s="7"/>
      <c r="J997" s="23" t="s">
        <v>7698</v>
      </c>
      <c r="K997" s="24" t="s">
        <v>7699</v>
      </c>
      <c r="L997" s="22" t="s">
        <v>7700</v>
      </c>
      <c r="M997" s="25"/>
      <c r="N997" s="25"/>
      <c r="O997" s="26"/>
      <c r="P997" s="27"/>
      <c r="Q997" s="28"/>
      <c r="R997" s="28"/>
      <c r="S997" s="26"/>
    </row>
    <row r="998" customFormat="false" ht="15" hidden="false" customHeight="false" outlineLevel="0" collapsed="false">
      <c r="A998" s="7" t="n">
        <v>994</v>
      </c>
      <c r="B998" s="9" t="s">
        <v>37</v>
      </c>
      <c r="C998" s="22" t="s">
        <v>3879</v>
      </c>
      <c r="D998" s="9" t="s">
        <v>3744</v>
      </c>
      <c r="E998" s="9" t="s">
        <v>47</v>
      </c>
      <c r="F998" s="9" t="s">
        <v>99</v>
      </c>
      <c r="G998" s="22" t="s">
        <v>7701</v>
      </c>
      <c r="H998" s="9" t="s">
        <v>4298</v>
      </c>
      <c r="I998" s="7"/>
      <c r="J998" s="23" t="s">
        <v>7702</v>
      </c>
      <c r="K998" s="24" t="s">
        <v>7703</v>
      </c>
      <c r="L998" s="22" t="s">
        <v>7704</v>
      </c>
      <c r="M998" s="25"/>
      <c r="N998" s="25"/>
      <c r="O998" s="26"/>
      <c r="P998" s="27"/>
      <c r="Q998" s="28"/>
      <c r="R998" s="28"/>
      <c r="S998" s="26"/>
    </row>
    <row r="999" customFormat="false" ht="15" hidden="false" customHeight="false" outlineLevel="0" collapsed="false">
      <c r="A999" s="7" t="n">
        <v>995</v>
      </c>
      <c r="B999" s="9" t="s">
        <v>37</v>
      </c>
      <c r="C999" s="22" t="s">
        <v>3879</v>
      </c>
      <c r="D999" s="9" t="s">
        <v>3744</v>
      </c>
      <c r="E999" s="9" t="s">
        <v>48</v>
      </c>
      <c r="F999" s="9" t="s">
        <v>124</v>
      </c>
      <c r="G999" s="22" t="s">
        <v>7705</v>
      </c>
      <c r="H999" s="9" t="s">
        <v>4298</v>
      </c>
      <c r="I999" s="7"/>
      <c r="J999" s="23" t="s">
        <v>7706</v>
      </c>
      <c r="K999" s="24" t="s">
        <v>7707</v>
      </c>
      <c r="L999" s="22" t="s">
        <v>3748</v>
      </c>
      <c r="M999" s="25"/>
      <c r="N999" s="25"/>
      <c r="O999" s="26"/>
      <c r="P999" s="27"/>
      <c r="Q999" s="28"/>
      <c r="R999" s="28"/>
      <c r="S999" s="26"/>
    </row>
    <row r="1000" customFormat="false" ht="15" hidden="false" customHeight="false" outlineLevel="0" collapsed="false">
      <c r="A1000" s="7" t="n">
        <v>996</v>
      </c>
      <c r="B1000" s="9" t="s">
        <v>37</v>
      </c>
      <c r="C1000" s="22" t="s">
        <v>3884</v>
      </c>
      <c r="D1000" s="9" t="s">
        <v>3885</v>
      </c>
      <c r="E1000" s="9" t="s">
        <v>48</v>
      </c>
      <c r="F1000" s="9" t="s">
        <v>124</v>
      </c>
      <c r="G1000" s="22" t="s">
        <v>3894</v>
      </c>
      <c r="H1000" s="9" t="s">
        <v>4298</v>
      </c>
      <c r="I1000" s="7" t="s">
        <v>869</v>
      </c>
      <c r="J1000" s="23" t="s">
        <v>3895</v>
      </c>
      <c r="K1000" s="24" t="s">
        <v>3896</v>
      </c>
      <c r="L1000" s="22" t="s">
        <v>3897</v>
      </c>
      <c r="M1000" s="25"/>
      <c r="N1000" s="25"/>
      <c r="O1000" s="26"/>
      <c r="P1000" s="27"/>
      <c r="Q1000" s="28"/>
      <c r="R1000" s="28"/>
      <c r="S1000" s="26"/>
    </row>
    <row r="1001" customFormat="false" ht="15" hidden="false" customHeight="false" outlineLevel="0" collapsed="false">
      <c r="A1001" s="7" t="n">
        <v>997</v>
      </c>
      <c r="B1001" s="9" t="s">
        <v>37</v>
      </c>
      <c r="C1001" s="22" t="s">
        <v>3898</v>
      </c>
      <c r="D1001" s="9" t="s">
        <v>3749</v>
      </c>
      <c r="E1001" s="9" t="s">
        <v>47</v>
      </c>
      <c r="F1001" s="9" t="s">
        <v>99</v>
      </c>
      <c r="G1001" s="22" t="s">
        <v>7708</v>
      </c>
      <c r="H1001" s="9" t="s">
        <v>4298</v>
      </c>
      <c r="I1001" s="7"/>
      <c r="J1001" s="23" t="s">
        <v>7709</v>
      </c>
      <c r="K1001" s="24" t="s">
        <v>7710</v>
      </c>
      <c r="L1001" s="22" t="s">
        <v>7711</v>
      </c>
      <c r="M1001" s="25"/>
      <c r="N1001" s="25"/>
      <c r="O1001" s="26"/>
      <c r="P1001" s="27"/>
      <c r="Q1001" s="28"/>
      <c r="R1001" s="28"/>
      <c r="S1001" s="26"/>
    </row>
    <row r="1002" customFormat="false" ht="15" hidden="false" customHeight="false" outlineLevel="0" collapsed="false">
      <c r="A1002" s="7" t="n">
        <v>998</v>
      </c>
      <c r="B1002" s="9" t="s">
        <v>37</v>
      </c>
      <c r="C1002" s="22" t="s">
        <v>3898</v>
      </c>
      <c r="D1002" s="9" t="s">
        <v>3749</v>
      </c>
      <c r="E1002" s="9" t="s">
        <v>48</v>
      </c>
      <c r="F1002" s="9" t="s">
        <v>124</v>
      </c>
      <c r="G1002" s="22" t="s">
        <v>7712</v>
      </c>
      <c r="H1002" s="9" t="s">
        <v>4298</v>
      </c>
      <c r="I1002" s="7"/>
      <c r="J1002" s="23" t="s">
        <v>7713</v>
      </c>
      <c r="K1002" s="24" t="s">
        <v>7714</v>
      </c>
      <c r="L1002" s="22" t="s">
        <v>7715</v>
      </c>
      <c r="M1002" s="25"/>
      <c r="N1002" s="25"/>
      <c r="O1002" s="26"/>
      <c r="P1002" s="27"/>
      <c r="Q1002" s="28"/>
      <c r="R1002" s="28"/>
      <c r="S1002" s="26"/>
    </row>
    <row r="1003" customFormat="false" ht="15" hidden="false" customHeight="false" outlineLevel="0" collapsed="false">
      <c r="A1003" s="7" t="n">
        <v>999</v>
      </c>
      <c r="B1003" s="9" t="s">
        <v>37</v>
      </c>
      <c r="C1003" s="22" t="s">
        <v>3923</v>
      </c>
      <c r="D1003" s="9" t="s">
        <v>3924</v>
      </c>
      <c r="E1003" s="9" t="s">
        <v>47</v>
      </c>
      <c r="F1003" s="9" t="s">
        <v>99</v>
      </c>
      <c r="G1003" s="22" t="s">
        <v>7716</v>
      </c>
      <c r="H1003" s="9" t="s">
        <v>4298</v>
      </c>
      <c r="I1003" s="7"/>
      <c r="J1003" s="23" t="s">
        <v>7717</v>
      </c>
      <c r="K1003" s="24" t="s">
        <v>7718</v>
      </c>
      <c r="L1003" s="22" t="s">
        <v>7719</v>
      </c>
      <c r="M1003" s="25"/>
      <c r="N1003" s="25"/>
      <c r="O1003" s="26"/>
      <c r="P1003" s="27"/>
      <c r="Q1003" s="28"/>
      <c r="R1003" s="28"/>
      <c r="S1003" s="26"/>
    </row>
    <row r="1004" customFormat="false" ht="15" hidden="false" customHeight="false" outlineLevel="0" collapsed="false">
      <c r="A1004" s="7" t="n">
        <v>1000</v>
      </c>
      <c r="B1004" s="9" t="s">
        <v>37</v>
      </c>
      <c r="C1004" s="22" t="s">
        <v>3923</v>
      </c>
      <c r="D1004" s="9" t="s">
        <v>3924</v>
      </c>
      <c r="E1004" s="9" t="s">
        <v>47</v>
      </c>
      <c r="F1004" s="9" t="s">
        <v>99</v>
      </c>
      <c r="G1004" s="22" t="s">
        <v>7720</v>
      </c>
      <c r="H1004" s="9" t="s">
        <v>4298</v>
      </c>
      <c r="I1004" s="7"/>
      <c r="J1004" s="23" t="s">
        <v>7721</v>
      </c>
      <c r="K1004" s="24" t="s">
        <v>7722</v>
      </c>
      <c r="L1004" s="22" t="s">
        <v>7723</v>
      </c>
      <c r="M1004" s="25"/>
      <c r="N1004" s="25"/>
      <c r="O1004" s="26"/>
      <c r="P1004" s="27"/>
      <c r="Q1004" s="28"/>
      <c r="R1004" s="28"/>
      <c r="S1004" s="26"/>
    </row>
    <row r="1005" customFormat="false" ht="15" hidden="false" customHeight="false" outlineLevel="0" collapsed="false">
      <c r="A1005" s="7" t="n">
        <v>1001</v>
      </c>
      <c r="B1005" s="9" t="s">
        <v>37</v>
      </c>
      <c r="C1005" s="22" t="s">
        <v>7724</v>
      </c>
      <c r="D1005" s="9" t="s">
        <v>7725</v>
      </c>
      <c r="E1005" s="9" t="s">
        <v>47</v>
      </c>
      <c r="F1005" s="9" t="s">
        <v>99</v>
      </c>
      <c r="G1005" s="22" t="s">
        <v>7726</v>
      </c>
      <c r="H1005" s="9" t="s">
        <v>4298</v>
      </c>
      <c r="I1005" s="7"/>
      <c r="J1005" s="23" t="s">
        <v>7727</v>
      </c>
      <c r="K1005" s="24" t="s">
        <v>7728</v>
      </c>
      <c r="L1005" s="22" t="s">
        <v>7729</v>
      </c>
      <c r="M1005" s="25"/>
      <c r="N1005" s="25"/>
      <c r="O1005" s="26"/>
      <c r="P1005" s="27"/>
      <c r="Q1005" s="28"/>
      <c r="R1005" s="28"/>
      <c r="S1005" s="26"/>
    </row>
    <row r="1006" customFormat="false" ht="15" hidden="false" customHeight="false" outlineLevel="0" collapsed="false">
      <c r="A1006" s="7" t="n">
        <v>1002</v>
      </c>
      <c r="B1006" s="9" t="s">
        <v>37</v>
      </c>
      <c r="C1006" s="22" t="s">
        <v>7724</v>
      </c>
      <c r="D1006" s="9" t="s">
        <v>7725</v>
      </c>
      <c r="E1006" s="9" t="s">
        <v>47</v>
      </c>
      <c r="F1006" s="9" t="s">
        <v>99</v>
      </c>
      <c r="G1006" s="22" t="s">
        <v>7730</v>
      </c>
      <c r="H1006" s="9" t="s">
        <v>4298</v>
      </c>
      <c r="I1006" s="7"/>
      <c r="J1006" s="23" t="s">
        <v>7731</v>
      </c>
      <c r="K1006" s="24" t="s">
        <v>7732</v>
      </c>
      <c r="L1006" s="22" t="s">
        <v>7733</v>
      </c>
      <c r="M1006" s="25"/>
      <c r="N1006" s="25"/>
      <c r="O1006" s="26"/>
      <c r="P1006" s="27"/>
      <c r="Q1006" s="28"/>
      <c r="R1006" s="28"/>
      <c r="S1006" s="26"/>
    </row>
    <row r="1007" customFormat="false" ht="15" hidden="false" customHeight="false" outlineLevel="0" collapsed="false">
      <c r="A1007" s="7" t="n">
        <v>1003</v>
      </c>
      <c r="B1007" s="9" t="s">
        <v>37</v>
      </c>
      <c r="C1007" s="22" t="s">
        <v>3929</v>
      </c>
      <c r="D1007" s="9" t="s">
        <v>3762</v>
      </c>
      <c r="E1007" s="9" t="s">
        <v>47</v>
      </c>
      <c r="F1007" s="9" t="s">
        <v>99</v>
      </c>
      <c r="G1007" s="22" t="s">
        <v>7734</v>
      </c>
      <c r="H1007" s="9" t="s">
        <v>4298</v>
      </c>
      <c r="I1007" s="7"/>
      <c r="J1007" s="23" t="s">
        <v>7735</v>
      </c>
      <c r="K1007" s="24" t="s">
        <v>7736</v>
      </c>
      <c r="L1007" s="22" t="s">
        <v>7737</v>
      </c>
      <c r="M1007" s="25"/>
      <c r="N1007" s="25"/>
      <c r="O1007" s="26"/>
      <c r="P1007" s="27"/>
      <c r="Q1007" s="28"/>
      <c r="R1007" s="28"/>
      <c r="S1007" s="26"/>
    </row>
    <row r="1008" customFormat="false" ht="15" hidden="false" customHeight="false" outlineLevel="0" collapsed="false">
      <c r="A1008" s="7" t="n">
        <v>1004</v>
      </c>
      <c r="B1008" s="9" t="s">
        <v>37</v>
      </c>
      <c r="C1008" s="22" t="s">
        <v>3929</v>
      </c>
      <c r="D1008" s="9" t="s">
        <v>3762</v>
      </c>
      <c r="E1008" s="9" t="s">
        <v>47</v>
      </c>
      <c r="F1008" s="9" t="s">
        <v>99</v>
      </c>
      <c r="G1008" s="22" t="s">
        <v>3934</v>
      </c>
      <c r="H1008" s="9" t="s">
        <v>4298</v>
      </c>
      <c r="I1008" s="7" t="s">
        <v>869</v>
      </c>
      <c r="J1008" s="23" t="s">
        <v>3935</v>
      </c>
      <c r="K1008" s="24" t="s">
        <v>3936</v>
      </c>
      <c r="L1008" s="22" t="s">
        <v>3937</v>
      </c>
      <c r="M1008" s="25"/>
      <c r="N1008" s="25"/>
      <c r="O1008" s="26"/>
      <c r="P1008" s="27"/>
      <c r="Q1008" s="28"/>
      <c r="R1008" s="28"/>
      <c r="S1008" s="26"/>
    </row>
    <row r="1009" customFormat="false" ht="15" hidden="false" customHeight="false" outlineLevel="0" collapsed="false">
      <c r="A1009" s="7" t="n">
        <v>1005</v>
      </c>
      <c r="B1009" s="9" t="s">
        <v>37</v>
      </c>
      <c r="C1009" s="22" t="s">
        <v>3929</v>
      </c>
      <c r="D1009" s="9" t="s">
        <v>3762</v>
      </c>
      <c r="E1009" s="9" t="s">
        <v>47</v>
      </c>
      <c r="F1009" s="9" t="s">
        <v>99</v>
      </c>
      <c r="G1009" s="22" t="s">
        <v>7738</v>
      </c>
      <c r="H1009" s="9" t="s">
        <v>4298</v>
      </c>
      <c r="I1009" s="7"/>
      <c r="J1009" s="23" t="s">
        <v>7739</v>
      </c>
      <c r="K1009" s="24" t="s">
        <v>7740</v>
      </c>
      <c r="L1009" s="22" t="s">
        <v>7741</v>
      </c>
      <c r="M1009" s="25"/>
      <c r="N1009" s="25"/>
      <c r="O1009" s="26"/>
      <c r="P1009" s="27"/>
      <c r="Q1009" s="28"/>
      <c r="R1009" s="28"/>
      <c r="S1009" s="26"/>
    </row>
    <row r="1010" customFormat="false" ht="15" hidden="false" customHeight="false" outlineLevel="0" collapsed="false">
      <c r="A1010" s="7" t="n">
        <v>1006</v>
      </c>
      <c r="B1010" s="9" t="s">
        <v>37</v>
      </c>
      <c r="C1010" s="22" t="s">
        <v>3929</v>
      </c>
      <c r="D1010" s="9" t="s">
        <v>3762</v>
      </c>
      <c r="E1010" s="9" t="s">
        <v>48</v>
      </c>
      <c r="F1010" s="9" t="s">
        <v>124</v>
      </c>
      <c r="G1010" s="22" t="s">
        <v>7742</v>
      </c>
      <c r="H1010" s="9" t="s">
        <v>4298</v>
      </c>
      <c r="I1010" s="7"/>
      <c r="J1010" s="23" t="s">
        <v>7743</v>
      </c>
      <c r="K1010" s="24" t="s">
        <v>7744</v>
      </c>
      <c r="L1010" s="22" t="s">
        <v>7745</v>
      </c>
      <c r="M1010" s="25"/>
      <c r="N1010" s="25"/>
      <c r="O1010" s="26"/>
      <c r="P1010" s="27"/>
      <c r="Q1010" s="28"/>
      <c r="R1010" s="28"/>
      <c r="S1010" s="26"/>
    </row>
    <row r="1011" customFormat="false" ht="15" hidden="false" customHeight="false" outlineLevel="0" collapsed="false">
      <c r="A1011" s="7" t="n">
        <v>1007</v>
      </c>
      <c r="B1011" s="9" t="s">
        <v>37</v>
      </c>
      <c r="C1011" s="22" t="s">
        <v>3929</v>
      </c>
      <c r="D1011" s="9" t="s">
        <v>3762</v>
      </c>
      <c r="E1011" s="9" t="s">
        <v>48</v>
      </c>
      <c r="F1011" s="9" t="s">
        <v>99</v>
      </c>
      <c r="G1011" s="22" t="s">
        <v>7746</v>
      </c>
      <c r="H1011" s="9" t="s">
        <v>4298</v>
      </c>
      <c r="I1011" s="7"/>
      <c r="J1011" s="23" t="s">
        <v>7747</v>
      </c>
      <c r="K1011" s="24" t="s">
        <v>7748</v>
      </c>
      <c r="L1011" s="22" t="s">
        <v>7749</v>
      </c>
      <c r="M1011" s="25"/>
      <c r="N1011" s="25"/>
      <c r="O1011" s="26"/>
      <c r="P1011" s="27"/>
      <c r="Q1011" s="28"/>
      <c r="R1011" s="28"/>
      <c r="S1011" s="26"/>
    </row>
    <row r="1012" customFormat="false" ht="15" hidden="false" customHeight="false" outlineLevel="0" collapsed="false">
      <c r="A1012" s="7" t="n">
        <v>1008</v>
      </c>
      <c r="B1012" s="9" t="s">
        <v>37</v>
      </c>
      <c r="C1012" s="22" t="s">
        <v>3942</v>
      </c>
      <c r="D1012" s="9" t="s">
        <v>3943</v>
      </c>
      <c r="E1012" s="9" t="s">
        <v>47</v>
      </c>
      <c r="F1012" s="9" t="s">
        <v>99</v>
      </c>
      <c r="G1012" s="22" t="s">
        <v>7750</v>
      </c>
      <c r="H1012" s="9" t="s">
        <v>4298</v>
      </c>
      <c r="I1012" s="7"/>
      <c r="J1012" s="23" t="s">
        <v>7751</v>
      </c>
      <c r="K1012" s="24" t="s">
        <v>7752</v>
      </c>
      <c r="L1012" s="22" t="s">
        <v>7753</v>
      </c>
      <c r="M1012" s="25"/>
      <c r="N1012" s="25"/>
      <c r="O1012" s="26"/>
      <c r="P1012" s="27"/>
      <c r="Q1012" s="28"/>
      <c r="R1012" s="28"/>
      <c r="S1012" s="26"/>
    </row>
    <row r="1013" customFormat="false" ht="15" hidden="false" customHeight="false" outlineLevel="0" collapsed="false">
      <c r="A1013" s="7" t="n">
        <v>1009</v>
      </c>
      <c r="B1013" s="9" t="s">
        <v>37</v>
      </c>
      <c r="C1013" s="22" t="s">
        <v>3942</v>
      </c>
      <c r="D1013" s="9" t="s">
        <v>3943</v>
      </c>
      <c r="E1013" s="9" t="s">
        <v>47</v>
      </c>
      <c r="F1013" s="9" t="s">
        <v>99</v>
      </c>
      <c r="G1013" s="22" t="s">
        <v>7754</v>
      </c>
      <c r="H1013" s="9" t="s">
        <v>4298</v>
      </c>
      <c r="I1013" s="7"/>
      <c r="J1013" s="23" t="s">
        <v>7755</v>
      </c>
      <c r="K1013" s="24" t="s">
        <v>7756</v>
      </c>
      <c r="L1013" s="22" t="s">
        <v>7757</v>
      </c>
      <c r="M1013" s="25"/>
      <c r="N1013" s="25"/>
      <c r="O1013" s="26"/>
      <c r="P1013" s="27"/>
      <c r="Q1013" s="28"/>
      <c r="R1013" s="28"/>
      <c r="S1013" s="26"/>
    </row>
    <row r="1014" customFormat="false" ht="15" hidden="false" customHeight="false" outlineLevel="0" collapsed="false">
      <c r="A1014" s="7" t="n">
        <v>1010</v>
      </c>
      <c r="B1014" s="9" t="s">
        <v>37</v>
      </c>
      <c r="C1014" s="22" t="s">
        <v>3942</v>
      </c>
      <c r="D1014" s="9" t="s">
        <v>3943</v>
      </c>
      <c r="E1014" s="9" t="s">
        <v>48</v>
      </c>
      <c r="F1014" s="9" t="s">
        <v>124</v>
      </c>
      <c r="G1014" s="22" t="s">
        <v>5031</v>
      </c>
      <c r="H1014" s="9" t="s">
        <v>4298</v>
      </c>
      <c r="I1014" s="7"/>
      <c r="J1014" s="23" t="s">
        <v>7560</v>
      </c>
      <c r="K1014" s="24" t="s">
        <v>7758</v>
      </c>
      <c r="L1014" s="22" t="s">
        <v>7562</v>
      </c>
      <c r="M1014" s="25"/>
      <c r="N1014" s="25"/>
      <c r="O1014" s="26"/>
      <c r="P1014" s="27"/>
      <c r="Q1014" s="28"/>
      <c r="R1014" s="28"/>
      <c r="S1014" s="26"/>
    </row>
    <row r="1015" customFormat="false" ht="15" hidden="false" customHeight="false" outlineLevel="0" collapsed="false">
      <c r="A1015" s="7" t="n">
        <v>1011</v>
      </c>
      <c r="B1015" s="9" t="s">
        <v>37</v>
      </c>
      <c r="C1015" s="22" t="s">
        <v>3942</v>
      </c>
      <c r="D1015" s="9" t="s">
        <v>3943</v>
      </c>
      <c r="E1015" s="9" t="s">
        <v>48</v>
      </c>
      <c r="F1015" s="9" t="s">
        <v>124</v>
      </c>
      <c r="G1015" s="22" t="s">
        <v>7759</v>
      </c>
      <c r="H1015" s="9" t="s">
        <v>4298</v>
      </c>
      <c r="I1015" s="7"/>
      <c r="J1015" s="23" t="s">
        <v>7760</v>
      </c>
      <c r="K1015" s="24" t="s">
        <v>7761</v>
      </c>
      <c r="L1015" s="22" t="s">
        <v>7566</v>
      </c>
      <c r="M1015" s="25"/>
      <c r="N1015" s="25"/>
      <c r="O1015" s="26"/>
      <c r="P1015" s="27"/>
      <c r="Q1015" s="28"/>
      <c r="R1015" s="28"/>
      <c r="S1015" s="26"/>
    </row>
    <row r="1016" customFormat="false" ht="15" hidden="false" customHeight="false" outlineLevel="0" collapsed="false">
      <c r="A1016" s="7" t="n">
        <v>1012</v>
      </c>
      <c r="B1016" s="9" t="s">
        <v>37</v>
      </c>
      <c r="C1016" s="22" t="s">
        <v>3942</v>
      </c>
      <c r="D1016" s="9" t="s">
        <v>3943</v>
      </c>
      <c r="E1016" s="9" t="s">
        <v>48</v>
      </c>
      <c r="F1016" s="9" t="s">
        <v>124</v>
      </c>
      <c r="G1016" s="22" t="s">
        <v>154</v>
      </c>
      <c r="H1016" s="9" t="s">
        <v>4298</v>
      </c>
      <c r="I1016" s="7"/>
      <c r="J1016" s="23" t="s">
        <v>7762</v>
      </c>
      <c r="K1016" s="24" t="s">
        <v>7763</v>
      </c>
      <c r="L1016" s="22" t="s">
        <v>7764</v>
      </c>
      <c r="M1016" s="25"/>
      <c r="N1016" s="25"/>
      <c r="O1016" s="26"/>
      <c r="P1016" s="27"/>
      <c r="Q1016" s="28"/>
      <c r="R1016" s="28"/>
      <c r="S1016" s="26"/>
    </row>
    <row r="1017" customFormat="false" ht="15" hidden="false" customHeight="false" outlineLevel="0" collapsed="false">
      <c r="A1017" s="7" t="n">
        <v>1013</v>
      </c>
      <c r="B1017" s="9" t="s">
        <v>37</v>
      </c>
      <c r="C1017" s="22" t="s">
        <v>7765</v>
      </c>
      <c r="D1017" s="9" t="s">
        <v>3767</v>
      </c>
      <c r="E1017" s="9" t="s">
        <v>47</v>
      </c>
      <c r="F1017" s="9" t="s">
        <v>99</v>
      </c>
      <c r="G1017" s="22" t="s">
        <v>7766</v>
      </c>
      <c r="H1017" s="9" t="s">
        <v>4298</v>
      </c>
      <c r="I1017" s="7"/>
      <c r="J1017" s="23" t="s">
        <v>7767</v>
      </c>
      <c r="K1017" s="24" t="s">
        <v>7768</v>
      </c>
      <c r="L1017" s="22" t="s">
        <v>7769</v>
      </c>
      <c r="M1017" s="25"/>
      <c r="N1017" s="25"/>
      <c r="O1017" s="26"/>
      <c r="P1017" s="27"/>
      <c r="Q1017" s="28"/>
      <c r="R1017" s="28"/>
      <c r="S1017" s="26"/>
    </row>
    <row r="1018" customFormat="false" ht="15" hidden="false" customHeight="false" outlineLevel="0" collapsed="false">
      <c r="A1018" s="7" t="n">
        <v>1014</v>
      </c>
      <c r="B1018" s="9" t="s">
        <v>37</v>
      </c>
      <c r="C1018" s="22" t="s">
        <v>7765</v>
      </c>
      <c r="D1018" s="9" t="s">
        <v>3767</v>
      </c>
      <c r="E1018" s="9" t="s">
        <v>47</v>
      </c>
      <c r="F1018" s="9" t="s">
        <v>99</v>
      </c>
      <c r="G1018" s="22" t="s">
        <v>7770</v>
      </c>
      <c r="H1018" s="9" t="s">
        <v>4298</v>
      </c>
      <c r="I1018" s="7"/>
      <c r="J1018" s="23" t="s">
        <v>7771</v>
      </c>
      <c r="K1018" s="24" t="s">
        <v>7772</v>
      </c>
      <c r="L1018" s="22" t="s">
        <v>7773</v>
      </c>
      <c r="M1018" s="25"/>
      <c r="N1018" s="25"/>
      <c r="O1018" s="26"/>
      <c r="P1018" s="27"/>
      <c r="Q1018" s="28"/>
      <c r="R1018" s="28"/>
      <c r="S1018" s="26"/>
    </row>
    <row r="1019" customFormat="false" ht="15" hidden="false" customHeight="false" outlineLevel="0" collapsed="false">
      <c r="A1019" s="7" t="n">
        <v>1015</v>
      </c>
      <c r="B1019" s="9" t="s">
        <v>37</v>
      </c>
      <c r="C1019" s="22" t="s">
        <v>3958</v>
      </c>
      <c r="D1019" s="9" t="s">
        <v>3959</v>
      </c>
      <c r="E1019" s="9" t="s">
        <v>47</v>
      </c>
      <c r="F1019" s="9" t="s">
        <v>99</v>
      </c>
      <c r="G1019" s="22" t="s">
        <v>7774</v>
      </c>
      <c r="H1019" s="9" t="s">
        <v>4298</v>
      </c>
      <c r="I1019" s="7"/>
      <c r="J1019" s="23" t="s">
        <v>7775</v>
      </c>
      <c r="K1019" s="24" t="s">
        <v>7776</v>
      </c>
      <c r="L1019" s="22" t="s">
        <v>7777</v>
      </c>
      <c r="M1019" s="25"/>
      <c r="N1019" s="25"/>
      <c r="O1019" s="26"/>
      <c r="P1019" s="27"/>
      <c r="Q1019" s="28"/>
      <c r="R1019" s="28"/>
      <c r="S1019" s="26"/>
    </row>
    <row r="1020" customFormat="false" ht="15" hidden="false" customHeight="false" outlineLevel="0" collapsed="false">
      <c r="A1020" s="7" t="n">
        <v>1016</v>
      </c>
      <c r="B1020" s="9" t="s">
        <v>37</v>
      </c>
      <c r="C1020" s="22" t="s">
        <v>3958</v>
      </c>
      <c r="D1020" s="9" t="s">
        <v>3959</v>
      </c>
      <c r="E1020" s="9" t="s">
        <v>47</v>
      </c>
      <c r="F1020" s="9" t="s">
        <v>99</v>
      </c>
      <c r="G1020" s="22" t="s">
        <v>7778</v>
      </c>
      <c r="H1020" s="9" t="s">
        <v>4298</v>
      </c>
      <c r="I1020" s="7"/>
      <c r="J1020" s="23" t="s">
        <v>7779</v>
      </c>
      <c r="K1020" s="24" t="s">
        <v>7780</v>
      </c>
      <c r="L1020" s="22" t="s">
        <v>7781</v>
      </c>
      <c r="M1020" s="25"/>
      <c r="N1020" s="25"/>
      <c r="O1020" s="26"/>
      <c r="P1020" s="27"/>
      <c r="Q1020" s="28"/>
      <c r="R1020" s="28"/>
      <c r="S1020" s="26"/>
    </row>
    <row r="1021" customFormat="false" ht="15" hidden="false" customHeight="false" outlineLevel="0" collapsed="false">
      <c r="A1021" s="7" t="n">
        <v>1017</v>
      </c>
      <c r="B1021" s="9" t="s">
        <v>37</v>
      </c>
      <c r="C1021" s="22" t="s">
        <v>3964</v>
      </c>
      <c r="D1021" s="9" t="s">
        <v>3965</v>
      </c>
      <c r="E1021" s="9" t="s">
        <v>47</v>
      </c>
      <c r="F1021" s="9" t="s">
        <v>99</v>
      </c>
      <c r="G1021" s="22" t="s">
        <v>7782</v>
      </c>
      <c r="H1021" s="9" t="s">
        <v>4298</v>
      </c>
      <c r="I1021" s="7"/>
      <c r="J1021" s="23" t="s">
        <v>7783</v>
      </c>
      <c r="K1021" s="24" t="s">
        <v>7784</v>
      </c>
      <c r="L1021" s="22" t="s">
        <v>7785</v>
      </c>
      <c r="M1021" s="25"/>
      <c r="N1021" s="25"/>
      <c r="O1021" s="26"/>
      <c r="P1021" s="27"/>
      <c r="Q1021" s="28"/>
      <c r="R1021" s="28"/>
      <c r="S1021" s="26"/>
    </row>
    <row r="1022" customFormat="false" ht="15" hidden="false" customHeight="false" outlineLevel="0" collapsed="false">
      <c r="A1022" s="7" t="n">
        <v>1018</v>
      </c>
      <c r="B1022" s="9" t="s">
        <v>37</v>
      </c>
      <c r="C1022" s="22" t="s">
        <v>3964</v>
      </c>
      <c r="D1022" s="9" t="s">
        <v>3965</v>
      </c>
      <c r="E1022" s="9" t="s">
        <v>47</v>
      </c>
      <c r="F1022" s="9" t="s">
        <v>99</v>
      </c>
      <c r="G1022" s="22" t="s">
        <v>7786</v>
      </c>
      <c r="H1022" s="9" t="s">
        <v>4298</v>
      </c>
      <c r="I1022" s="7"/>
      <c r="J1022" s="23" t="s">
        <v>7787</v>
      </c>
      <c r="K1022" s="24" t="s">
        <v>7788</v>
      </c>
      <c r="L1022" s="22" t="s">
        <v>7789</v>
      </c>
      <c r="M1022" s="25"/>
      <c r="N1022" s="25"/>
      <c r="O1022" s="26"/>
      <c r="P1022" s="27"/>
      <c r="Q1022" s="28"/>
      <c r="R1022" s="28"/>
      <c r="S1022" s="26"/>
    </row>
    <row r="1023" customFormat="false" ht="15" hidden="false" customHeight="false" outlineLevel="0" collapsed="false">
      <c r="A1023" s="7" t="n">
        <v>1019</v>
      </c>
      <c r="B1023" s="9" t="s">
        <v>37</v>
      </c>
      <c r="C1023" s="22" t="s">
        <v>7790</v>
      </c>
      <c r="D1023" s="9" t="s">
        <v>7571</v>
      </c>
      <c r="E1023" s="9" t="s">
        <v>47</v>
      </c>
      <c r="F1023" s="9" t="s">
        <v>99</v>
      </c>
      <c r="G1023" s="22" t="s">
        <v>7791</v>
      </c>
      <c r="H1023" s="9" t="s">
        <v>4298</v>
      </c>
      <c r="I1023" s="7"/>
      <c r="J1023" s="23" t="s">
        <v>7792</v>
      </c>
      <c r="K1023" s="24" t="s">
        <v>7793</v>
      </c>
      <c r="L1023" s="22" t="s">
        <v>7794</v>
      </c>
      <c r="M1023" s="25"/>
      <c r="N1023" s="25"/>
      <c r="O1023" s="26"/>
      <c r="P1023" s="27"/>
      <c r="Q1023" s="28"/>
      <c r="R1023" s="28"/>
      <c r="S1023" s="26"/>
    </row>
    <row r="1024" customFormat="false" ht="15" hidden="false" customHeight="false" outlineLevel="0" collapsed="false">
      <c r="A1024" s="7" t="n">
        <v>1020</v>
      </c>
      <c r="B1024" s="9" t="s">
        <v>37</v>
      </c>
      <c r="C1024" s="22" t="s">
        <v>7790</v>
      </c>
      <c r="D1024" s="9" t="s">
        <v>7571</v>
      </c>
      <c r="E1024" s="9" t="s">
        <v>47</v>
      </c>
      <c r="F1024" s="9" t="s">
        <v>99</v>
      </c>
      <c r="G1024" s="22" t="s">
        <v>7795</v>
      </c>
      <c r="H1024" s="9" t="s">
        <v>4298</v>
      </c>
      <c r="I1024" s="7"/>
      <c r="J1024" s="23" t="s">
        <v>7796</v>
      </c>
      <c r="K1024" s="24" t="s">
        <v>7797</v>
      </c>
      <c r="L1024" s="22" t="s">
        <v>7798</v>
      </c>
      <c r="M1024" s="25"/>
      <c r="N1024" s="25"/>
      <c r="O1024" s="26"/>
      <c r="P1024" s="27"/>
      <c r="Q1024" s="28"/>
      <c r="R1024" s="28"/>
      <c r="S1024" s="26"/>
    </row>
    <row r="1025" customFormat="false" ht="15" hidden="false" customHeight="false" outlineLevel="0" collapsed="false">
      <c r="A1025" s="7" t="n">
        <v>1021</v>
      </c>
      <c r="B1025" s="9" t="s">
        <v>37</v>
      </c>
      <c r="C1025" s="22" t="s">
        <v>7790</v>
      </c>
      <c r="D1025" s="9" t="s">
        <v>7571</v>
      </c>
      <c r="E1025" s="9" t="s">
        <v>48</v>
      </c>
      <c r="F1025" s="9" t="s">
        <v>124</v>
      </c>
      <c r="G1025" s="22" t="s">
        <v>7799</v>
      </c>
      <c r="H1025" s="9" t="s">
        <v>4298</v>
      </c>
      <c r="I1025" s="7"/>
      <c r="J1025" s="23" t="s">
        <v>7800</v>
      </c>
      <c r="K1025" s="24" t="s">
        <v>7801</v>
      </c>
      <c r="L1025" s="22" t="s">
        <v>7575</v>
      </c>
      <c r="M1025" s="25"/>
      <c r="N1025" s="25"/>
      <c r="O1025" s="26"/>
      <c r="P1025" s="27"/>
      <c r="Q1025" s="28"/>
      <c r="R1025" s="28"/>
      <c r="S1025" s="26"/>
    </row>
    <row r="1026" customFormat="false" ht="15" hidden="false" customHeight="false" outlineLevel="0" collapsed="false">
      <c r="A1026" s="7" t="n">
        <v>1022</v>
      </c>
      <c r="B1026" s="9" t="s">
        <v>37</v>
      </c>
      <c r="C1026" s="22" t="s">
        <v>7790</v>
      </c>
      <c r="D1026" s="9" t="s">
        <v>7571</v>
      </c>
      <c r="E1026" s="9" t="s">
        <v>48</v>
      </c>
      <c r="F1026" s="9" t="s">
        <v>124</v>
      </c>
      <c r="G1026" s="22" t="s">
        <v>7802</v>
      </c>
      <c r="H1026" s="9" t="s">
        <v>4298</v>
      </c>
      <c r="I1026" s="7"/>
      <c r="J1026" s="23" t="s">
        <v>7803</v>
      </c>
      <c r="K1026" s="24" t="s">
        <v>7804</v>
      </c>
      <c r="L1026" s="22" t="s">
        <v>7805</v>
      </c>
      <c r="M1026" s="25"/>
      <c r="N1026" s="25"/>
      <c r="O1026" s="26"/>
      <c r="P1026" s="27"/>
      <c r="Q1026" s="28"/>
      <c r="R1026" s="28"/>
      <c r="S1026" s="26"/>
    </row>
    <row r="1027" customFormat="false" ht="15" hidden="false" customHeight="false" outlineLevel="0" collapsed="false">
      <c r="A1027" s="7" t="n">
        <v>1023</v>
      </c>
      <c r="B1027" s="9" t="s">
        <v>37</v>
      </c>
      <c r="C1027" s="22" t="s">
        <v>7806</v>
      </c>
      <c r="D1027" s="9" t="s">
        <v>7807</v>
      </c>
      <c r="E1027" s="9" t="s">
        <v>48</v>
      </c>
      <c r="F1027" s="9" t="s">
        <v>124</v>
      </c>
      <c r="G1027" s="22" t="s">
        <v>7808</v>
      </c>
      <c r="H1027" s="9" t="s">
        <v>4298</v>
      </c>
      <c r="I1027" s="7"/>
      <c r="J1027" s="23" t="s">
        <v>7809</v>
      </c>
      <c r="K1027" s="24" t="s">
        <v>7810</v>
      </c>
      <c r="L1027" s="22" t="s">
        <v>7811</v>
      </c>
      <c r="M1027" s="25"/>
      <c r="N1027" s="25"/>
      <c r="O1027" s="26"/>
      <c r="P1027" s="27"/>
      <c r="Q1027" s="28"/>
      <c r="R1027" s="28"/>
      <c r="S1027" s="26"/>
    </row>
    <row r="1028" customFormat="false" ht="15" hidden="false" customHeight="false" outlineLevel="0" collapsed="false">
      <c r="A1028" s="7" t="n">
        <v>1024</v>
      </c>
      <c r="B1028" s="9" t="s">
        <v>37</v>
      </c>
      <c r="C1028" s="22" t="s">
        <v>3970</v>
      </c>
      <c r="D1028" s="9" t="s">
        <v>3772</v>
      </c>
      <c r="E1028" s="9" t="s">
        <v>47</v>
      </c>
      <c r="F1028" s="9" t="s">
        <v>99</v>
      </c>
      <c r="G1028" s="22" t="s">
        <v>7812</v>
      </c>
      <c r="H1028" s="9" t="s">
        <v>4298</v>
      </c>
      <c r="I1028" s="7"/>
      <c r="J1028" s="23" t="s">
        <v>7813</v>
      </c>
      <c r="K1028" s="24" t="s">
        <v>7814</v>
      </c>
      <c r="L1028" s="22" t="s">
        <v>7815</v>
      </c>
      <c r="M1028" s="25"/>
      <c r="N1028" s="25"/>
      <c r="O1028" s="26"/>
      <c r="P1028" s="27"/>
      <c r="Q1028" s="28"/>
      <c r="R1028" s="28"/>
      <c r="S1028" s="26"/>
    </row>
    <row r="1029" customFormat="false" ht="15" hidden="false" customHeight="false" outlineLevel="0" collapsed="false">
      <c r="A1029" s="7" t="n">
        <v>1025</v>
      </c>
      <c r="B1029" s="9" t="s">
        <v>37</v>
      </c>
      <c r="C1029" s="22" t="s">
        <v>3970</v>
      </c>
      <c r="D1029" s="9" t="s">
        <v>3772</v>
      </c>
      <c r="E1029" s="9" t="s">
        <v>47</v>
      </c>
      <c r="F1029" s="9" t="s">
        <v>99</v>
      </c>
      <c r="G1029" s="22" t="s">
        <v>7816</v>
      </c>
      <c r="H1029" s="9" t="s">
        <v>4298</v>
      </c>
      <c r="I1029" s="7"/>
      <c r="J1029" s="23" t="s">
        <v>7817</v>
      </c>
      <c r="K1029" s="24" t="s">
        <v>7818</v>
      </c>
      <c r="L1029" s="22" t="s">
        <v>7819</v>
      </c>
      <c r="M1029" s="25"/>
      <c r="N1029" s="25"/>
      <c r="O1029" s="26"/>
      <c r="P1029" s="27"/>
      <c r="Q1029" s="28"/>
      <c r="R1029" s="28"/>
      <c r="S1029" s="26"/>
    </row>
    <row r="1030" customFormat="false" ht="15" hidden="false" customHeight="false" outlineLevel="0" collapsed="false">
      <c r="A1030" s="7" t="n">
        <v>1026</v>
      </c>
      <c r="B1030" s="9" t="s">
        <v>37</v>
      </c>
      <c r="C1030" s="22" t="s">
        <v>3970</v>
      </c>
      <c r="D1030" s="9" t="s">
        <v>3772</v>
      </c>
      <c r="E1030" s="9" t="s">
        <v>47</v>
      </c>
      <c r="F1030" s="9" t="s">
        <v>99</v>
      </c>
      <c r="G1030" s="22" t="s">
        <v>7820</v>
      </c>
      <c r="H1030" s="9" t="s">
        <v>4298</v>
      </c>
      <c r="I1030" s="7"/>
      <c r="J1030" s="23" t="s">
        <v>7821</v>
      </c>
      <c r="K1030" s="24" t="s">
        <v>7822</v>
      </c>
      <c r="L1030" s="22" t="s">
        <v>7823</v>
      </c>
      <c r="M1030" s="25"/>
      <c r="N1030" s="25"/>
      <c r="O1030" s="26"/>
      <c r="P1030" s="27"/>
      <c r="Q1030" s="28"/>
      <c r="R1030" s="28"/>
      <c r="S1030" s="26"/>
    </row>
    <row r="1031" customFormat="false" ht="15" hidden="false" customHeight="false" outlineLevel="0" collapsed="false">
      <c r="A1031" s="7" t="n">
        <v>1027</v>
      </c>
      <c r="B1031" s="9" t="s">
        <v>37</v>
      </c>
      <c r="C1031" s="22" t="s">
        <v>3970</v>
      </c>
      <c r="D1031" s="9" t="s">
        <v>3772</v>
      </c>
      <c r="E1031" s="9" t="s">
        <v>47</v>
      </c>
      <c r="F1031" s="9" t="s">
        <v>99</v>
      </c>
      <c r="G1031" s="22" t="s">
        <v>7824</v>
      </c>
      <c r="H1031" s="9" t="s">
        <v>4298</v>
      </c>
      <c r="I1031" s="7"/>
      <c r="J1031" s="23" t="s">
        <v>7825</v>
      </c>
      <c r="K1031" s="24" t="s">
        <v>7826</v>
      </c>
      <c r="L1031" s="22" t="s">
        <v>7827</v>
      </c>
      <c r="M1031" s="25"/>
      <c r="N1031" s="25"/>
      <c r="O1031" s="26"/>
      <c r="P1031" s="27"/>
      <c r="Q1031" s="28"/>
      <c r="R1031" s="28"/>
      <c r="S1031" s="26"/>
    </row>
    <row r="1032" customFormat="false" ht="15" hidden="false" customHeight="false" outlineLevel="0" collapsed="false">
      <c r="A1032" s="7" t="n">
        <v>1028</v>
      </c>
      <c r="B1032" s="9" t="s">
        <v>37</v>
      </c>
      <c r="C1032" s="22" t="s">
        <v>3970</v>
      </c>
      <c r="D1032" s="9" t="s">
        <v>3772</v>
      </c>
      <c r="E1032" s="9" t="s">
        <v>47</v>
      </c>
      <c r="F1032" s="9" t="s">
        <v>99</v>
      </c>
      <c r="G1032" s="22" t="s">
        <v>3979</v>
      </c>
      <c r="H1032" s="9" t="s">
        <v>4298</v>
      </c>
      <c r="I1032" s="7" t="s">
        <v>869</v>
      </c>
      <c r="J1032" s="23" t="s">
        <v>3980</v>
      </c>
      <c r="K1032" s="24" t="s">
        <v>3981</v>
      </c>
      <c r="L1032" s="22" t="s">
        <v>3982</v>
      </c>
      <c r="M1032" s="25"/>
      <c r="N1032" s="25"/>
      <c r="O1032" s="26"/>
      <c r="P1032" s="27"/>
      <c r="Q1032" s="28"/>
      <c r="R1032" s="28"/>
      <c r="S1032" s="26"/>
    </row>
    <row r="1033" customFormat="false" ht="15" hidden="false" customHeight="false" outlineLevel="0" collapsed="false">
      <c r="A1033" s="7" t="n">
        <v>1029</v>
      </c>
      <c r="B1033" s="9" t="s">
        <v>37</v>
      </c>
      <c r="C1033" s="22" t="s">
        <v>3970</v>
      </c>
      <c r="D1033" s="9" t="s">
        <v>3772</v>
      </c>
      <c r="E1033" s="9" t="s">
        <v>48</v>
      </c>
      <c r="F1033" s="9" t="s">
        <v>99</v>
      </c>
      <c r="G1033" s="22" t="s">
        <v>7828</v>
      </c>
      <c r="H1033" s="9" t="s">
        <v>4298</v>
      </c>
      <c r="I1033" s="7"/>
      <c r="J1033" s="23" t="s">
        <v>7829</v>
      </c>
      <c r="K1033" s="24" t="s">
        <v>7830</v>
      </c>
      <c r="L1033" s="22" t="s">
        <v>7831</v>
      </c>
      <c r="M1033" s="25"/>
      <c r="N1033" s="25"/>
      <c r="O1033" s="26"/>
      <c r="P1033" s="27"/>
      <c r="Q1033" s="28"/>
      <c r="R1033" s="28"/>
      <c r="S1033" s="26"/>
    </row>
    <row r="1034" customFormat="false" ht="15" hidden="false" customHeight="false" outlineLevel="0" collapsed="false">
      <c r="A1034" s="7" t="n">
        <v>1030</v>
      </c>
      <c r="B1034" s="9" t="s">
        <v>37</v>
      </c>
      <c r="C1034" s="22" t="s">
        <v>3991</v>
      </c>
      <c r="D1034" s="9" t="s">
        <v>3781</v>
      </c>
      <c r="E1034" s="9" t="s">
        <v>47</v>
      </c>
      <c r="F1034" s="9" t="s">
        <v>99</v>
      </c>
      <c r="G1034" s="22" t="s">
        <v>7832</v>
      </c>
      <c r="H1034" s="9" t="s">
        <v>4298</v>
      </c>
      <c r="I1034" s="7"/>
      <c r="J1034" s="23" t="s">
        <v>7833</v>
      </c>
      <c r="K1034" s="24" t="s">
        <v>7834</v>
      </c>
      <c r="L1034" s="22" t="s">
        <v>7835</v>
      </c>
      <c r="M1034" s="25"/>
      <c r="N1034" s="25"/>
      <c r="O1034" s="26"/>
      <c r="P1034" s="27"/>
      <c r="Q1034" s="28"/>
      <c r="R1034" s="28"/>
      <c r="S1034" s="26"/>
    </row>
    <row r="1035" customFormat="false" ht="15" hidden="false" customHeight="false" outlineLevel="0" collapsed="false">
      <c r="A1035" s="7" t="n">
        <v>1031</v>
      </c>
      <c r="B1035" s="9" t="s">
        <v>37</v>
      </c>
      <c r="C1035" s="22" t="s">
        <v>3991</v>
      </c>
      <c r="D1035" s="9" t="s">
        <v>3781</v>
      </c>
      <c r="E1035" s="9" t="s">
        <v>47</v>
      </c>
      <c r="F1035" s="9" t="s">
        <v>99</v>
      </c>
      <c r="G1035" s="22" t="s">
        <v>3992</v>
      </c>
      <c r="H1035" s="9" t="s">
        <v>4298</v>
      </c>
      <c r="I1035" s="7" t="s">
        <v>869</v>
      </c>
      <c r="J1035" s="23" t="s">
        <v>3993</v>
      </c>
      <c r="K1035" s="24" t="s">
        <v>3994</v>
      </c>
      <c r="L1035" s="22" t="s">
        <v>3995</v>
      </c>
      <c r="M1035" s="25"/>
      <c r="N1035" s="25"/>
      <c r="O1035" s="26"/>
      <c r="P1035" s="27"/>
      <c r="Q1035" s="28"/>
      <c r="R1035" s="28"/>
      <c r="S1035" s="26"/>
    </row>
    <row r="1036" customFormat="false" ht="15" hidden="false" customHeight="false" outlineLevel="0" collapsed="false">
      <c r="A1036" s="7" t="n">
        <v>1032</v>
      </c>
      <c r="B1036" s="9" t="s">
        <v>37</v>
      </c>
      <c r="C1036" s="22" t="s">
        <v>3991</v>
      </c>
      <c r="D1036" s="9" t="s">
        <v>3781</v>
      </c>
      <c r="E1036" s="9" t="s">
        <v>47</v>
      </c>
      <c r="F1036" s="9" t="s">
        <v>99</v>
      </c>
      <c r="G1036" s="22" t="s">
        <v>7836</v>
      </c>
      <c r="H1036" s="9" t="s">
        <v>4298</v>
      </c>
      <c r="I1036" s="7"/>
      <c r="J1036" s="23" t="s">
        <v>7837</v>
      </c>
      <c r="K1036" s="24" t="s">
        <v>7838</v>
      </c>
      <c r="L1036" s="22" t="s">
        <v>7839</v>
      </c>
      <c r="M1036" s="25"/>
      <c r="N1036" s="25"/>
      <c r="O1036" s="26"/>
      <c r="P1036" s="27"/>
      <c r="Q1036" s="28"/>
      <c r="R1036" s="28"/>
      <c r="S1036" s="26"/>
    </row>
    <row r="1037" customFormat="false" ht="15" hidden="false" customHeight="false" outlineLevel="0" collapsed="false">
      <c r="A1037" s="7" t="n">
        <v>1033</v>
      </c>
      <c r="B1037" s="9" t="s">
        <v>37</v>
      </c>
      <c r="C1037" s="22" t="s">
        <v>3991</v>
      </c>
      <c r="D1037" s="9" t="s">
        <v>3781</v>
      </c>
      <c r="E1037" s="9" t="s">
        <v>47</v>
      </c>
      <c r="F1037" s="9" t="s">
        <v>99</v>
      </c>
      <c r="G1037" s="22" t="s">
        <v>7840</v>
      </c>
      <c r="H1037" s="9" t="s">
        <v>4298</v>
      </c>
      <c r="I1037" s="7"/>
      <c r="J1037" s="23" t="s">
        <v>7841</v>
      </c>
      <c r="K1037" s="24" t="s">
        <v>7842</v>
      </c>
      <c r="L1037" s="22" t="s">
        <v>7843</v>
      </c>
      <c r="M1037" s="25"/>
      <c r="N1037" s="25"/>
      <c r="O1037" s="26"/>
      <c r="P1037" s="27"/>
      <c r="Q1037" s="28"/>
      <c r="R1037" s="28"/>
      <c r="S1037" s="26"/>
    </row>
    <row r="1038" customFormat="false" ht="15" hidden="false" customHeight="false" outlineLevel="0" collapsed="false">
      <c r="A1038" s="7" t="n">
        <v>1034</v>
      </c>
      <c r="B1038" s="9" t="s">
        <v>37</v>
      </c>
      <c r="C1038" s="22" t="s">
        <v>3991</v>
      </c>
      <c r="D1038" s="9" t="s">
        <v>3781</v>
      </c>
      <c r="E1038" s="9" t="s">
        <v>47</v>
      </c>
      <c r="F1038" s="9" t="s">
        <v>99</v>
      </c>
      <c r="G1038" s="22" t="s">
        <v>848</v>
      </c>
      <c r="H1038" s="9" t="s">
        <v>4298</v>
      </c>
      <c r="I1038" s="7"/>
      <c r="J1038" s="23" t="s">
        <v>7844</v>
      </c>
      <c r="K1038" s="24" t="s">
        <v>7845</v>
      </c>
      <c r="L1038" s="22" t="s">
        <v>7846</v>
      </c>
      <c r="M1038" s="25"/>
      <c r="N1038" s="25"/>
      <c r="O1038" s="26"/>
      <c r="P1038" s="27"/>
      <c r="Q1038" s="28"/>
      <c r="R1038" s="28"/>
      <c r="S1038" s="26"/>
    </row>
    <row r="1039" customFormat="false" ht="15" hidden="false" customHeight="false" outlineLevel="0" collapsed="false">
      <c r="A1039" s="7" t="n">
        <v>1035</v>
      </c>
      <c r="B1039" s="9" t="s">
        <v>37</v>
      </c>
      <c r="C1039" s="22" t="s">
        <v>3991</v>
      </c>
      <c r="D1039" s="9" t="s">
        <v>3781</v>
      </c>
      <c r="E1039" s="9" t="s">
        <v>47</v>
      </c>
      <c r="F1039" s="9" t="s">
        <v>99</v>
      </c>
      <c r="G1039" s="22" t="s">
        <v>7847</v>
      </c>
      <c r="H1039" s="9" t="s">
        <v>4298</v>
      </c>
      <c r="I1039" s="7"/>
      <c r="J1039" s="23" t="s">
        <v>7848</v>
      </c>
      <c r="K1039" s="24" t="s">
        <v>7849</v>
      </c>
      <c r="L1039" s="22" t="s">
        <v>7850</v>
      </c>
      <c r="M1039" s="25"/>
      <c r="N1039" s="25"/>
      <c r="O1039" s="26"/>
      <c r="P1039" s="27"/>
      <c r="Q1039" s="28"/>
      <c r="R1039" s="28"/>
      <c r="S1039" s="26"/>
    </row>
    <row r="1040" customFormat="false" ht="15" hidden="false" customHeight="false" outlineLevel="0" collapsed="false">
      <c r="A1040" s="7" t="n">
        <v>1036</v>
      </c>
      <c r="B1040" s="9" t="s">
        <v>37</v>
      </c>
      <c r="C1040" s="22" t="s">
        <v>3991</v>
      </c>
      <c r="D1040" s="9" t="s">
        <v>3781</v>
      </c>
      <c r="E1040" s="9" t="s">
        <v>47</v>
      </c>
      <c r="F1040" s="9" t="s">
        <v>99</v>
      </c>
      <c r="G1040" s="22" t="s">
        <v>2801</v>
      </c>
      <c r="H1040" s="9" t="s">
        <v>4298</v>
      </c>
      <c r="I1040" s="7"/>
      <c r="J1040" s="23" t="s">
        <v>7851</v>
      </c>
      <c r="K1040" s="24" t="s">
        <v>7852</v>
      </c>
      <c r="L1040" s="22" t="s">
        <v>7853</v>
      </c>
      <c r="M1040" s="25"/>
      <c r="N1040" s="25"/>
      <c r="O1040" s="26"/>
      <c r="P1040" s="27"/>
      <c r="Q1040" s="28"/>
      <c r="R1040" s="28"/>
      <c r="S1040" s="26"/>
    </row>
    <row r="1041" customFormat="false" ht="15" hidden="false" customHeight="false" outlineLevel="0" collapsed="false">
      <c r="A1041" s="7" t="n">
        <v>1037</v>
      </c>
      <c r="B1041" s="9" t="s">
        <v>37</v>
      </c>
      <c r="C1041" s="22" t="s">
        <v>3991</v>
      </c>
      <c r="D1041" s="9" t="s">
        <v>3781</v>
      </c>
      <c r="E1041" s="9" t="s">
        <v>47</v>
      </c>
      <c r="F1041" s="9" t="s">
        <v>99</v>
      </c>
      <c r="G1041" s="22" t="s">
        <v>7854</v>
      </c>
      <c r="H1041" s="9" t="s">
        <v>4298</v>
      </c>
      <c r="I1041" s="7"/>
      <c r="J1041" s="23" t="s">
        <v>7855</v>
      </c>
      <c r="K1041" s="24" t="s">
        <v>7856</v>
      </c>
      <c r="L1041" s="22" t="s">
        <v>7857</v>
      </c>
      <c r="M1041" s="25"/>
      <c r="N1041" s="25"/>
      <c r="O1041" s="26"/>
      <c r="P1041" s="27"/>
      <c r="Q1041" s="28"/>
      <c r="R1041" s="28"/>
      <c r="S1041" s="26"/>
    </row>
    <row r="1042" customFormat="false" ht="15" hidden="false" customHeight="false" outlineLevel="0" collapsed="false">
      <c r="A1042" s="7" t="n">
        <v>1038</v>
      </c>
      <c r="B1042" s="9" t="s">
        <v>37</v>
      </c>
      <c r="C1042" s="22" t="s">
        <v>3991</v>
      </c>
      <c r="D1042" s="9" t="s">
        <v>3781</v>
      </c>
      <c r="E1042" s="9" t="s">
        <v>47</v>
      </c>
      <c r="F1042" s="9" t="s">
        <v>99</v>
      </c>
      <c r="G1042" s="22" t="s">
        <v>7858</v>
      </c>
      <c r="H1042" s="9" t="s">
        <v>4298</v>
      </c>
      <c r="I1042" s="7"/>
      <c r="J1042" s="23" t="s">
        <v>7859</v>
      </c>
      <c r="K1042" s="24" t="s">
        <v>7860</v>
      </c>
      <c r="L1042" s="22" t="s">
        <v>7861</v>
      </c>
      <c r="M1042" s="25"/>
      <c r="N1042" s="25"/>
      <c r="O1042" s="26"/>
      <c r="P1042" s="27"/>
      <c r="Q1042" s="28"/>
      <c r="R1042" s="28"/>
      <c r="S1042" s="26"/>
    </row>
    <row r="1043" customFormat="false" ht="15" hidden="false" customHeight="false" outlineLevel="0" collapsed="false">
      <c r="A1043" s="7" t="n">
        <v>1039</v>
      </c>
      <c r="B1043" s="9" t="s">
        <v>37</v>
      </c>
      <c r="C1043" s="22" t="s">
        <v>3991</v>
      </c>
      <c r="D1043" s="9" t="s">
        <v>3781</v>
      </c>
      <c r="E1043" s="9" t="s">
        <v>47</v>
      </c>
      <c r="F1043" s="9" t="s">
        <v>99</v>
      </c>
      <c r="G1043" s="22" t="s">
        <v>7862</v>
      </c>
      <c r="H1043" s="9" t="s">
        <v>4298</v>
      </c>
      <c r="I1043" s="7"/>
      <c r="J1043" s="23" t="s">
        <v>7863</v>
      </c>
      <c r="K1043" s="24" t="s">
        <v>7864</v>
      </c>
      <c r="L1043" s="22" t="s">
        <v>7865</v>
      </c>
      <c r="M1043" s="25"/>
      <c r="N1043" s="25"/>
      <c r="O1043" s="26"/>
      <c r="P1043" s="27"/>
      <c r="Q1043" s="28"/>
      <c r="R1043" s="28"/>
      <c r="S1043" s="26"/>
    </row>
    <row r="1044" customFormat="false" ht="15" hidden="false" customHeight="false" outlineLevel="0" collapsed="false">
      <c r="A1044" s="7" t="n">
        <v>1040</v>
      </c>
      <c r="B1044" s="9" t="s">
        <v>37</v>
      </c>
      <c r="C1044" s="22" t="s">
        <v>3991</v>
      </c>
      <c r="D1044" s="9" t="s">
        <v>3781</v>
      </c>
      <c r="E1044" s="9" t="s">
        <v>47</v>
      </c>
      <c r="F1044" s="9" t="s">
        <v>99</v>
      </c>
      <c r="G1044" s="22" t="s">
        <v>7866</v>
      </c>
      <c r="H1044" s="9" t="s">
        <v>4298</v>
      </c>
      <c r="I1044" s="7"/>
      <c r="J1044" s="23" t="s">
        <v>7867</v>
      </c>
      <c r="K1044" s="24" t="s">
        <v>7868</v>
      </c>
      <c r="L1044" s="22" t="s">
        <v>7869</v>
      </c>
      <c r="M1044" s="25"/>
      <c r="N1044" s="25"/>
      <c r="O1044" s="26"/>
      <c r="P1044" s="27"/>
      <c r="Q1044" s="28"/>
      <c r="R1044" s="28"/>
      <c r="S1044" s="26"/>
    </row>
    <row r="1045" customFormat="false" ht="15" hidden="false" customHeight="false" outlineLevel="0" collapsed="false">
      <c r="A1045" s="7" t="n">
        <v>1041</v>
      </c>
      <c r="B1045" s="9" t="s">
        <v>37</v>
      </c>
      <c r="C1045" s="22" t="s">
        <v>3991</v>
      </c>
      <c r="D1045" s="9" t="s">
        <v>3781</v>
      </c>
      <c r="E1045" s="9" t="s">
        <v>47</v>
      </c>
      <c r="F1045" s="9" t="s">
        <v>124</v>
      </c>
      <c r="G1045" s="22" t="s">
        <v>7870</v>
      </c>
      <c r="H1045" s="9" t="s">
        <v>4298</v>
      </c>
      <c r="I1045" s="7"/>
      <c r="J1045" s="23" t="s">
        <v>7871</v>
      </c>
      <c r="K1045" s="24" t="s">
        <v>7872</v>
      </c>
      <c r="L1045" s="22" t="s">
        <v>7873</v>
      </c>
      <c r="M1045" s="25"/>
      <c r="N1045" s="25"/>
      <c r="O1045" s="26"/>
      <c r="P1045" s="27"/>
      <c r="Q1045" s="28"/>
      <c r="R1045" s="28"/>
      <c r="S1045" s="26"/>
    </row>
    <row r="1046" customFormat="false" ht="15" hidden="false" customHeight="false" outlineLevel="0" collapsed="false">
      <c r="A1046" s="7" t="n">
        <v>1042</v>
      </c>
      <c r="B1046" s="9" t="s">
        <v>37</v>
      </c>
      <c r="C1046" s="22" t="s">
        <v>3991</v>
      </c>
      <c r="D1046" s="9" t="s">
        <v>3781</v>
      </c>
      <c r="E1046" s="9" t="s">
        <v>47</v>
      </c>
      <c r="F1046" s="9" t="s">
        <v>124</v>
      </c>
      <c r="G1046" s="22" t="s">
        <v>4004</v>
      </c>
      <c r="H1046" s="9" t="s">
        <v>4298</v>
      </c>
      <c r="I1046" s="7" t="s">
        <v>869</v>
      </c>
      <c r="J1046" s="23" t="s">
        <v>4005</v>
      </c>
      <c r="K1046" s="24" t="s">
        <v>4006</v>
      </c>
      <c r="L1046" s="22" t="s">
        <v>4007</v>
      </c>
      <c r="M1046" s="25"/>
      <c r="N1046" s="25"/>
      <c r="O1046" s="26"/>
      <c r="P1046" s="27"/>
      <c r="Q1046" s="28"/>
      <c r="R1046" s="28"/>
      <c r="S1046" s="26"/>
    </row>
    <row r="1047" customFormat="false" ht="15" hidden="false" customHeight="false" outlineLevel="0" collapsed="false">
      <c r="A1047" s="7" t="n">
        <v>1043</v>
      </c>
      <c r="B1047" s="9" t="s">
        <v>37</v>
      </c>
      <c r="C1047" s="22" t="s">
        <v>3991</v>
      </c>
      <c r="D1047" s="9" t="s">
        <v>3781</v>
      </c>
      <c r="E1047" s="9" t="s">
        <v>47</v>
      </c>
      <c r="F1047" s="9" t="s">
        <v>99</v>
      </c>
      <c r="G1047" s="22" t="s">
        <v>4012</v>
      </c>
      <c r="H1047" s="9" t="s">
        <v>4298</v>
      </c>
      <c r="I1047" s="7" t="s">
        <v>869</v>
      </c>
      <c r="J1047" s="23" t="s">
        <v>4013</v>
      </c>
      <c r="K1047" s="24" t="s">
        <v>4014</v>
      </c>
      <c r="L1047" s="22" t="s">
        <v>4015</v>
      </c>
      <c r="M1047" s="25"/>
      <c r="N1047" s="25"/>
      <c r="O1047" s="26"/>
      <c r="P1047" s="27"/>
      <c r="Q1047" s="28"/>
      <c r="R1047" s="28"/>
      <c r="S1047" s="26"/>
    </row>
    <row r="1048" customFormat="false" ht="15" hidden="false" customHeight="false" outlineLevel="0" collapsed="false">
      <c r="A1048" s="7" t="n">
        <v>1044</v>
      </c>
      <c r="B1048" s="9" t="s">
        <v>37</v>
      </c>
      <c r="C1048" s="22" t="s">
        <v>3991</v>
      </c>
      <c r="D1048" s="9" t="s">
        <v>3781</v>
      </c>
      <c r="E1048" s="9" t="s">
        <v>47</v>
      </c>
      <c r="F1048" s="9" t="s">
        <v>99</v>
      </c>
      <c r="G1048" s="22" t="s">
        <v>7874</v>
      </c>
      <c r="H1048" s="9" t="s">
        <v>4298</v>
      </c>
      <c r="I1048" s="7"/>
      <c r="J1048" s="23" t="s">
        <v>7875</v>
      </c>
      <c r="K1048" s="24" t="s">
        <v>7876</v>
      </c>
      <c r="L1048" s="22" t="s">
        <v>7877</v>
      </c>
      <c r="M1048" s="25"/>
      <c r="N1048" s="25"/>
      <c r="O1048" s="26"/>
      <c r="P1048" s="27"/>
      <c r="Q1048" s="28"/>
      <c r="R1048" s="28"/>
      <c r="S1048" s="26"/>
    </row>
    <row r="1049" customFormat="false" ht="15" hidden="false" customHeight="false" outlineLevel="0" collapsed="false">
      <c r="A1049" s="7" t="n">
        <v>1045</v>
      </c>
      <c r="B1049" s="9" t="s">
        <v>37</v>
      </c>
      <c r="C1049" s="22" t="s">
        <v>3991</v>
      </c>
      <c r="D1049" s="9" t="s">
        <v>3781</v>
      </c>
      <c r="E1049" s="9" t="s">
        <v>47</v>
      </c>
      <c r="F1049" s="9" t="s">
        <v>99</v>
      </c>
      <c r="G1049" s="22" t="s">
        <v>7878</v>
      </c>
      <c r="H1049" s="9" t="s">
        <v>4298</v>
      </c>
      <c r="I1049" s="7"/>
      <c r="J1049" s="23" t="s">
        <v>7879</v>
      </c>
      <c r="K1049" s="24" t="s">
        <v>7880</v>
      </c>
      <c r="L1049" s="22" t="s">
        <v>7881</v>
      </c>
      <c r="M1049" s="25"/>
      <c r="N1049" s="25"/>
      <c r="O1049" s="26"/>
      <c r="P1049" s="27"/>
      <c r="Q1049" s="28"/>
      <c r="R1049" s="28"/>
      <c r="S1049" s="26"/>
    </row>
    <row r="1050" customFormat="false" ht="15" hidden="false" customHeight="false" outlineLevel="0" collapsed="false">
      <c r="A1050" s="7" t="n">
        <v>1046</v>
      </c>
      <c r="B1050" s="9" t="s">
        <v>37</v>
      </c>
      <c r="C1050" s="22" t="s">
        <v>3991</v>
      </c>
      <c r="D1050" s="9" t="s">
        <v>3781</v>
      </c>
      <c r="E1050" s="9" t="s">
        <v>47</v>
      </c>
      <c r="F1050" s="9" t="s">
        <v>99</v>
      </c>
      <c r="G1050" s="22" t="s">
        <v>7882</v>
      </c>
      <c r="H1050" s="9" t="s">
        <v>4298</v>
      </c>
      <c r="I1050" s="7"/>
      <c r="J1050" s="23" t="s">
        <v>7883</v>
      </c>
      <c r="K1050" s="24" t="s">
        <v>7884</v>
      </c>
      <c r="L1050" s="22" t="s">
        <v>7885</v>
      </c>
      <c r="M1050" s="25"/>
      <c r="N1050" s="25"/>
      <c r="O1050" s="26"/>
      <c r="P1050" s="27"/>
      <c r="Q1050" s="28"/>
      <c r="R1050" s="28"/>
      <c r="S1050" s="26"/>
    </row>
    <row r="1051" customFormat="false" ht="15" hidden="false" customHeight="false" outlineLevel="0" collapsed="false">
      <c r="A1051" s="7" t="n">
        <v>1047</v>
      </c>
      <c r="B1051" s="9" t="s">
        <v>37</v>
      </c>
      <c r="C1051" s="22" t="s">
        <v>3991</v>
      </c>
      <c r="D1051" s="9" t="s">
        <v>3781</v>
      </c>
      <c r="E1051" s="9" t="s">
        <v>48</v>
      </c>
      <c r="F1051" s="9" t="s">
        <v>99</v>
      </c>
      <c r="G1051" s="22" t="s">
        <v>7886</v>
      </c>
      <c r="H1051" s="9" t="s">
        <v>4298</v>
      </c>
      <c r="I1051" s="7"/>
      <c r="J1051" s="23" t="s">
        <v>7887</v>
      </c>
      <c r="K1051" s="24" t="s">
        <v>7888</v>
      </c>
      <c r="L1051" s="22" t="s">
        <v>7889</v>
      </c>
      <c r="M1051" s="25"/>
      <c r="N1051" s="25"/>
      <c r="O1051" s="26"/>
      <c r="P1051" s="27"/>
      <c r="Q1051" s="28"/>
      <c r="R1051" s="28"/>
      <c r="S1051" s="26"/>
    </row>
    <row r="1052" customFormat="false" ht="15" hidden="false" customHeight="false" outlineLevel="0" collapsed="false">
      <c r="A1052" s="7" t="n">
        <v>1048</v>
      </c>
      <c r="B1052" s="9" t="s">
        <v>37</v>
      </c>
      <c r="C1052" s="22" t="s">
        <v>3991</v>
      </c>
      <c r="D1052" s="9" t="s">
        <v>3781</v>
      </c>
      <c r="E1052" s="9" t="s">
        <v>48</v>
      </c>
      <c r="F1052" s="9" t="s">
        <v>124</v>
      </c>
      <c r="G1052" s="22" t="s">
        <v>7890</v>
      </c>
      <c r="H1052" s="9" t="s">
        <v>4298</v>
      </c>
      <c r="I1052" s="7"/>
      <c r="J1052" s="23" t="s">
        <v>7891</v>
      </c>
      <c r="K1052" s="24" t="s">
        <v>7892</v>
      </c>
      <c r="L1052" s="22" t="s">
        <v>3784</v>
      </c>
      <c r="M1052" s="25"/>
      <c r="N1052" s="25"/>
      <c r="O1052" s="26"/>
      <c r="P1052" s="27"/>
      <c r="Q1052" s="28"/>
      <c r="R1052" s="28"/>
      <c r="S1052" s="26"/>
    </row>
    <row r="1053" customFormat="false" ht="15" hidden="false" customHeight="false" outlineLevel="0" collapsed="false">
      <c r="A1053" s="7" t="n">
        <v>1049</v>
      </c>
      <c r="B1053" s="9" t="s">
        <v>37</v>
      </c>
      <c r="C1053" s="22" t="s">
        <v>3991</v>
      </c>
      <c r="D1053" s="9" t="s">
        <v>3781</v>
      </c>
      <c r="E1053" s="9" t="s">
        <v>48</v>
      </c>
      <c r="F1053" s="9" t="s">
        <v>99</v>
      </c>
      <c r="G1053" s="22" t="s">
        <v>1773</v>
      </c>
      <c r="H1053" s="9" t="s">
        <v>4298</v>
      </c>
      <c r="I1053" s="7"/>
      <c r="J1053" s="23" t="s">
        <v>7893</v>
      </c>
      <c r="K1053" s="24" t="s">
        <v>7894</v>
      </c>
      <c r="L1053" s="22" t="s">
        <v>7895</v>
      </c>
      <c r="M1053" s="25"/>
      <c r="N1053" s="25"/>
      <c r="O1053" s="26"/>
      <c r="P1053" s="27"/>
      <c r="Q1053" s="28"/>
      <c r="R1053" s="28"/>
      <c r="S1053" s="26"/>
    </row>
    <row r="1054" customFormat="false" ht="15" hidden="false" customHeight="false" outlineLevel="0" collapsed="false">
      <c r="A1054" s="7" t="n">
        <v>1050</v>
      </c>
      <c r="B1054" s="9" t="s">
        <v>37</v>
      </c>
      <c r="C1054" s="22" t="s">
        <v>3991</v>
      </c>
      <c r="D1054" s="9" t="s">
        <v>3781</v>
      </c>
      <c r="E1054" s="9" t="s">
        <v>48</v>
      </c>
      <c r="F1054" s="9" t="s">
        <v>99</v>
      </c>
      <c r="G1054" s="22" t="s">
        <v>7896</v>
      </c>
      <c r="H1054" s="9" t="s">
        <v>4298</v>
      </c>
      <c r="I1054" s="7"/>
      <c r="J1054" s="23" t="s">
        <v>7897</v>
      </c>
      <c r="K1054" s="24" t="s">
        <v>7898</v>
      </c>
      <c r="L1054" s="22" t="s">
        <v>7899</v>
      </c>
      <c r="M1054" s="25"/>
      <c r="N1054" s="25"/>
      <c r="O1054" s="26"/>
      <c r="P1054" s="27"/>
      <c r="Q1054" s="28"/>
      <c r="R1054" s="28"/>
      <c r="S1054" s="26"/>
    </row>
    <row r="1055" customFormat="false" ht="15" hidden="false" customHeight="false" outlineLevel="0" collapsed="false">
      <c r="A1055" s="7" t="n">
        <v>1051</v>
      </c>
      <c r="B1055" s="9" t="s">
        <v>37</v>
      </c>
      <c r="C1055" s="22" t="s">
        <v>3991</v>
      </c>
      <c r="D1055" s="9" t="s">
        <v>3781</v>
      </c>
      <c r="E1055" s="9" t="s">
        <v>48</v>
      </c>
      <c r="F1055" s="9" t="s">
        <v>124</v>
      </c>
      <c r="G1055" s="22" t="s">
        <v>7900</v>
      </c>
      <c r="H1055" s="9" t="s">
        <v>4298</v>
      </c>
      <c r="I1055" s="7"/>
      <c r="J1055" s="23" t="s">
        <v>7901</v>
      </c>
      <c r="K1055" s="24" t="s">
        <v>7902</v>
      </c>
      <c r="L1055" s="22" t="s">
        <v>7903</v>
      </c>
      <c r="M1055" s="25"/>
      <c r="N1055" s="25"/>
      <c r="O1055" s="26"/>
      <c r="P1055" s="27"/>
      <c r="Q1055" s="28"/>
      <c r="R1055" s="28"/>
      <c r="S1055" s="26"/>
    </row>
    <row r="1056" customFormat="false" ht="15" hidden="false" customHeight="false" outlineLevel="0" collapsed="false">
      <c r="A1056" s="7" t="n">
        <v>1052</v>
      </c>
      <c r="B1056" s="9" t="s">
        <v>37</v>
      </c>
      <c r="C1056" s="22" t="s">
        <v>3991</v>
      </c>
      <c r="D1056" s="9" t="s">
        <v>3781</v>
      </c>
      <c r="E1056" s="9" t="s">
        <v>48</v>
      </c>
      <c r="F1056" s="9" t="s">
        <v>99</v>
      </c>
      <c r="G1056" s="22" t="s">
        <v>4016</v>
      </c>
      <c r="H1056" s="9" t="s">
        <v>4298</v>
      </c>
      <c r="I1056" s="7" t="s">
        <v>869</v>
      </c>
      <c r="J1056" s="23" t="s">
        <v>4017</v>
      </c>
      <c r="K1056" s="24" t="s">
        <v>4018</v>
      </c>
      <c r="L1056" s="22" t="s">
        <v>4019</v>
      </c>
      <c r="M1056" s="25"/>
      <c r="N1056" s="25"/>
      <c r="O1056" s="26"/>
      <c r="P1056" s="27"/>
      <c r="Q1056" s="28"/>
      <c r="R1056" s="28"/>
      <c r="S1056" s="26"/>
    </row>
    <row r="1057" customFormat="false" ht="15" hidden="false" customHeight="false" outlineLevel="0" collapsed="false">
      <c r="A1057" s="7" t="n">
        <v>1053</v>
      </c>
      <c r="B1057" s="9" t="s">
        <v>37</v>
      </c>
      <c r="C1057" s="22" t="s">
        <v>3991</v>
      </c>
      <c r="D1057" s="9" t="s">
        <v>3781</v>
      </c>
      <c r="E1057" s="9" t="s">
        <v>48</v>
      </c>
      <c r="F1057" s="9" t="s">
        <v>99</v>
      </c>
      <c r="G1057" s="22" t="s">
        <v>7904</v>
      </c>
      <c r="H1057" s="9" t="s">
        <v>4298</v>
      </c>
      <c r="I1057" s="7"/>
      <c r="J1057" s="23" t="s">
        <v>7905</v>
      </c>
      <c r="K1057" s="24" t="s">
        <v>7906</v>
      </c>
      <c r="L1057" s="22" t="s">
        <v>7907</v>
      </c>
      <c r="M1057" s="25"/>
      <c r="N1057" s="25"/>
      <c r="O1057" s="26"/>
      <c r="P1057" s="27"/>
      <c r="Q1057" s="28"/>
      <c r="R1057" s="28"/>
      <c r="S1057" s="26"/>
    </row>
    <row r="1058" customFormat="false" ht="15" hidden="false" customHeight="false" outlineLevel="0" collapsed="false">
      <c r="A1058" s="7" t="n">
        <v>1054</v>
      </c>
      <c r="B1058" s="9" t="s">
        <v>37</v>
      </c>
      <c r="C1058" s="22" t="s">
        <v>3991</v>
      </c>
      <c r="D1058" s="9" t="s">
        <v>3781</v>
      </c>
      <c r="E1058" s="9" t="s">
        <v>48</v>
      </c>
      <c r="F1058" s="9" t="s">
        <v>124</v>
      </c>
      <c r="G1058" s="22" t="s">
        <v>4024</v>
      </c>
      <c r="H1058" s="9" t="s">
        <v>4298</v>
      </c>
      <c r="I1058" s="7" t="s">
        <v>869</v>
      </c>
      <c r="J1058" s="23" t="s">
        <v>4025</v>
      </c>
      <c r="K1058" s="24" t="s">
        <v>4026</v>
      </c>
      <c r="L1058" s="22" t="s">
        <v>4027</v>
      </c>
      <c r="M1058" s="25"/>
      <c r="N1058" s="25"/>
      <c r="O1058" s="26"/>
      <c r="P1058" s="27"/>
      <c r="Q1058" s="28"/>
      <c r="R1058" s="28"/>
      <c r="S1058" s="26"/>
    </row>
  </sheetData>
  <autoFilter ref="A4:S1058"/>
  <dataValidations count="3">
    <dataValidation allowBlank="true" errorStyle="stop" operator="between" showDropDown="false" showErrorMessage="false" showInputMessage="false" sqref="Q5:Q1058" type="list">
      <formula1>"미접촉,접촉,제안,협의중,계약,보류"</formula1>
      <formula2>0</formula2>
    </dataValidation>
    <dataValidation allowBlank="true" errorStyle="stop" operator="between" showDropDown="false" showErrorMessage="false" showInputMessage="false" sqref="R5:R1058" type="list">
      <formula1>"가입,미가입,확인필요"</formula1>
      <formula2>0</formula2>
    </dataValidation>
    <dataValidation allowBlank="true" errorStyle="stop" operator="between" showDropDown="false" showErrorMessage="false" showInputMessage="false" sqref="P5:P1058" type="date">
      <formula1>0</formula1>
      <formula2>0</formula2>
    </dataValidation>
  </dataValidations>
  <hyperlinks>
    <hyperlink ref="K6" r:id="rId1" display="http://gaehyeon.sen.es.kr"/>
    <hyperlink ref="K7" r:id="rId2" display="http://seouldaegok.sen.es.kr"/>
    <hyperlink ref="K8" r:id="rId3" display="http://seouldoseong.sen.es.kr"/>
    <hyperlink ref="K9" r:id="rId4" display="http://eonbuk.sen.es.kr"/>
    <hyperlink ref="K10" r:id="rId5" display="http://yeoksam.sen.es.kr"/>
    <hyperlink ref="K11" r:id="rId6" display="http://hakdong.sen.es.kr"/>
    <hyperlink ref="K12" r:id="rId7" display="http://daemyeong.sen.ms.kr"/>
    <hyperlink ref="K13" r:id="rId8" display="http://daecheong.sen.ms.kr"/>
    <hyperlink ref="K14" r:id="rId9" display="http://segok.sen.ms.kr"/>
    <hyperlink ref="K15" r:id="rId10" display="http://banwon.sen.es.kr"/>
    <hyperlink ref="K16" r:id="rId11" display="http://wonmyong.sen.es.kr"/>
    <hyperlink ref="K17" r:id="rId12" display="http://gyeongwon.sen.ms.kr"/>
    <hyperlink ref="K18" r:id="rId13" display="http://dongduk.sen.ms.kr"/>
    <hyperlink ref="K19" r:id="rId14" display="http://bangbae.sen.ms.kr"/>
    <hyperlink ref="K20" r:id="rId15" display="http://shinbanpo.sen.ms.kr"/>
    <hyperlink ref="K21" r:id="rId16" display="http://wonchon.sen.ms.kr"/>
    <hyperlink ref="K22" r:id="rId17" display="http://isu.sen.ms.kr"/>
    <hyperlink ref="K23" r:id="rId18" display="http://gomyung.sen.es.kr"/>
    <hyperlink ref="K24" r:id="rId19" display="http://daemyeong.sen.es.kr"/>
    <hyperlink ref="K25" r:id="rId20" display="http://doonchon.sen.es.kr"/>
    <hyperlink ref="K26" r:id="rId21" display="http://myungduk.sen.es.kr"/>
    <hyperlink ref="K27" r:id="rId22" display="http://myongwon.sen.es.kr"/>
    <hyperlink ref="K28" r:id="rId23" display="http://myogok.sen.es.kr"/>
    <hyperlink ref="K29" r:id="rId24" display="http://hansan.sen.es.kr"/>
    <hyperlink ref="K30" r:id="rId25" display="http://dongshin.sen.ms.kr"/>
    <hyperlink ref="K31" r:id="rId26" display="http://sinmyung.sen.ms.kr"/>
    <hyperlink ref="K32" r:id="rId27" display="http://hanyoung.sen.ms.kr"/>
    <hyperlink ref="K33" r:id="rId28" display="http://gadong.sen.es.kr"/>
    <hyperlink ref="K34" r:id="rId29" display="http://guhwon.sen.es.kr"/>
    <hyperlink ref="K35" r:id="rId30" display="http://samjeon.sen.es.kr"/>
    <hyperlink ref="K36" r:id="rId31" display="http://seokchon.sen.es.kr"/>
    <hyperlink ref="K37" r:id="rId32" display="http://songrye.sen.ms.kr"/>
    <hyperlink ref="K38" r:id="rId33" display="http://scm.sen.ms.kr"/>
    <hyperlink ref="K39" r:id="rId34" display="http://youngpa.sen.ms.kr"/>
    <hyperlink ref="K40" r:id="rId35" display="http://oryun.sen.ms.kr"/>
    <hyperlink ref="K41" r:id="rId36" display="http://jamsil.sen.ms.kr"/>
    <hyperlink ref="K42" r:id="rId37" display="http://dma.sen.es.kr"/>
    <hyperlink ref="K43" r:id="rId38" display="http://deunghyun.sen.es.kr"/>
    <hyperlink ref="K44" r:id="rId39" display="http://balsan.sen.es.kr"/>
    <hyperlink ref="K45" r:id="rId40" display="http://bsbs.sen.es.kr"/>
    <hyperlink ref="K46" r:id="rId41" display="http://sjes.sen.es.kr"/>
    <hyperlink ref="K47" r:id="rId42" display="http://sg.sen.es.kr"/>
    <hyperlink ref="K48" r:id="rId43" display="http://ssinwol.sen.es.kr"/>
    <hyperlink ref="K49" r:id="rId44" display="http://ujang.sen.es.kr"/>
    <hyperlink ref="K50" r:id="rId45" display="http://deungwon.sen.ms.kr"/>
    <hyperlink ref="K51" r:id="rId46" display="http://sumyeong.sen.ms.kr"/>
    <hyperlink ref="K52" r:id="rId47" display="http://yumchang.sen.ms.kr"/>
    <hyperlink ref="K53" r:id="rId48" display="http://kyongin.sen.es.kr"/>
    <hyperlink ref="K54" r:id="rId49" display="http://sinmoc.sen.es.kr"/>
    <hyperlink ref="K55" r:id="rId50" display="http://yangmyung.sen.es.kr"/>
    <hyperlink ref="K56" r:id="rId51" display="http://yanghwa.sen.es.kr"/>
    <hyperlink ref="K57" r:id="rId52" display="http://shinmok.sen.ms.kr"/>
    <hyperlink ref="K58" r:id="rId53" display="http://yangkang.sen.ms.kr"/>
    <hyperlink ref="K59" r:id="rId54" display="http://sangil.sen.hs.kr"/>
    <hyperlink ref="K60" r:id="rId55" display="http://younggong.sen.hs.kr"/>
    <hyperlink ref="K61" r:id="rId56" display="http://ksmedia.sen.hs.kr"/>
    <hyperlink ref="K62" r:id="rId57" display="http://www.e-mirim.hs.kr"/>
    <hyperlink ref="K63" r:id="rId58" display="http://seoul-tour.sen.hs.kr"/>
    <hyperlink ref="K64" r:id="rId59" display="http://youngnak-c.sen.hs.kr"/>
    <hyperlink ref="K65" r:id="rId60" display="http://konkuk.sen.hs.kr"/>
    <hyperlink ref="K66" r:id="rId61" display="http://daewon.sen.hs.kr"/>
    <hyperlink ref="K67" r:id="rId62" display="http://ssls.sen.hs.kr"/>
    <hyperlink ref="K68" r:id="rId63" display="http://yerim.sen.hs.kr"/>
    <hyperlink ref="K69" r:id="rId64" display="http://wooshin.sen.hs.kr"/>
    <hyperlink ref="K70" r:id="rId65" display="http://geumcheon.sen.hs.kr"/>
    <hyperlink ref="K71" r:id="rId66" display="http://seoulmagnet.sen.hs.kr"/>
    <hyperlink ref="K72" r:id="rId67" display="http://kwangwoon.sen.hs.kr"/>
    <hyperlink ref="K73" r:id="rId68" display="http://daejin.sen.hs.kr"/>
    <hyperlink ref="K74" r:id="rId69" display="http://seoulit.sen.hs.kr"/>
    <hyperlink ref="K75" r:id="rId70" display="http://yumkwang.sen.hs.kr"/>
    <hyperlink ref="K76" r:id="rId71" display="http://jaehyun.sen.hs.kr"/>
    <hyperlink ref="K77" r:id="rId72" display="http://cheongwon.sen.hs.kr"/>
    <hyperlink ref="K78" r:id="rId73" display="http://sahmyook.sen.hs.kr"/>
    <hyperlink ref="K79" r:id="rId74" display="http://www.dgh.hs.kr"/>
    <hyperlink ref="K80" r:id="rId75" display="http://haesung.sen.hs.kr"/>
    <hyperlink ref="K81" r:id="rId76" display="http://gyeongseong.sen.hs.kr"/>
    <hyperlink ref="K82" r:id="rId77" display="http://hansungsh.sen.hs.kr"/>
    <hyperlink ref="K83" r:id="rId78" display="http://seocho.sen.hs.kr"/>
    <hyperlink ref="K84" r:id="rId79" display="http://yangjae.sen.hs.kr"/>
    <hyperlink ref="K85" r:id="rId80" display="http://komyung.sen.hs.kr"/>
    <hyperlink ref="K86" r:id="rId81" display="http://sungshin.sen.hs.kr"/>
    <hyperlink ref="K87" r:id="rId82" display="http://hansung-g.sen.hs.kr"/>
    <hyperlink ref="K88" r:id="rId83" display="http://seoulai.sen.hs.kr"/>
    <hyperlink ref="K89" r:id="rId84" display="http://chungshin.sen.hs.kr"/>
    <hyperlink ref="K90" r:id="rId85" display="http://seoulfc.sen.hs.kr"/>
    <hyperlink ref="K91" r:id="rId86" display="http://jm.sen.hs.kr"/>
    <hyperlink ref="K92" r:id="rId87" display="http://sunrint.sen.hs.kr"/>
    <hyperlink ref="K93" r:id="rId88" display="http://sacredheart.sen.hs.kr"/>
    <hyperlink ref="K94" r:id="rId89" display="http://jungkyung.sen.hs.kr"/>
    <hyperlink ref="K95" r:id="rId90" display="http://bigdata.sen.hs.kr"/>
    <hyperlink ref="K96" r:id="rId91" display="http://soongsil.sen.hs.kr"/>
    <hyperlink ref="K97" r:id="rId92" display="http://sindo.sen.hs.kr"/>
    <hyperlink ref="K98" r:id="rId93" display="http://sdglobal.sen.hs.kr"/>
    <hyperlink ref="K99" r:id="rId94" display="http://jangchung.sen.hs.kr"/>
    <hyperlink ref="K100" r:id="rId95" display="http://jung-hwa.sen.hs.kr"/>
    <hyperlink ref="K101" r:id="rId96" display="http://snueps.sen.es.kr"/>
    <hyperlink ref="K102" r:id="rId97" display="http://gaebong.sen.es.kr"/>
    <hyperlink ref="K103" r:id="rId98" display="http://guro.sen.es.kr"/>
    <hyperlink ref="K104" r:id="rId99" display="http://dukeui.sen.es.kr"/>
    <hyperlink ref="K105" r:id="rId100" display="http://dongguro.sen.es.kr"/>
    <hyperlink ref="K106" r:id="rId101" display="http://yeongseo.sen.ms.kr"/>
    <hyperlink ref="K107" r:id="rId102" display="http://oryu.sen.ms.kr"/>
    <hyperlink ref="K108" r:id="rId103" display="http://donggwang.sen.es.kr"/>
    <hyperlink ref="K109" r:id="rId104" display="http://gasan.sen.es.kr"/>
    <hyperlink ref="K110" r:id="rId105" display="http://ancheon.sen.es.kr"/>
    <hyperlink ref="K111" r:id="rId106" display="http://yunjung.sen.es.kr"/>
    <hyperlink ref="K112" r:id="rId107" display="http://dapsimni.sen.es.kr"/>
    <hyperlink ref="K113" r:id="rId108" display="http://shindap.sen.es.kr"/>
    <hyperlink ref="K114" r:id="rId109" display="http://anpyeong.sen.es.kr"/>
    <hyperlink ref="K115" r:id="rId110" display="http://chongryang.sen.es.kr"/>
    <hyperlink ref="K116" r:id="rId111" display="http://kyungheegls.sen.ms.kr"/>
    <hyperlink ref="K117" r:id="rId112" display="http://dongguk.sen.ms.kr"/>
    <hyperlink ref="K118" r:id="rId113" display="http://hwikyung.sen.ms.kr"/>
    <hyperlink ref="K119" r:id="rId114" display="http://youngran.sen.ms.kr"/>
    <hyperlink ref="K120" r:id="rId115" display="http://wonmook.sen.ms.kr"/>
    <hyperlink ref="K121" r:id="rId116" display="http://seoulguam.sen.es.kr"/>
    <hyperlink ref="K122" r:id="rId117" display="http://bonghyun.sen.es.kr"/>
    <hyperlink ref="K123" r:id="rId118" display="http://guahm.sen.ms.kr"/>
    <hyperlink ref="K124" r:id="rId119" display="http://bongwon.sen.ms.kr"/>
    <hyperlink ref="K125" r:id="rId120" display="http://seouldaelim.sen.es.kr"/>
    <hyperlink ref="K126" r:id="rId121" display="http://samil.sen.es.kr"/>
    <hyperlink ref="K127" r:id="rId122" display="http://shinsangdo.sen.es.kr"/>
    <hyperlink ref="K128" r:id="rId123" display="http://yeongbon.sen.es.kr"/>
    <hyperlink ref="K129" r:id="rId124" display="http://younghwa.sen.es.kr"/>
    <hyperlink ref="K130" r:id="rId125" display="http://cau.sen.es.kr"/>
    <hyperlink ref="K131" r:id="rId126" display="http://sungnam.sen.ms.kr"/>
    <hyperlink ref="K132" r:id="rId127" display="http://sangmyeong.net"/>
    <hyperlink ref="K133" r:id="rId128" display="http://gongyeon.sen.es.kr"/>
    <hyperlink ref="K134" r:id="rId129" display="http://danghyeon.sen.es.kr"/>
    <hyperlink ref="K135" r:id="rId130" display="http://deokam.sen.es.kr"/>
    <hyperlink ref="K136" r:id="rId131" display="http://dongil.sen.es.kr"/>
    <hyperlink ref="K137" r:id="rId132" display="http://singye.sen.es.kr"/>
    <hyperlink ref="K138" r:id="rId133" display="http://wonkwang.sen.es.kr"/>
    <hyperlink ref="K139" r:id="rId134" display="http://sangwon.sen.ms.kr"/>
    <hyperlink ref="K140" r:id="rId135" display="http://yumkwang.sen.ms.kr"/>
    <hyperlink ref="K141" r:id="rId136" display="http://joongwon.sen.ms.kr"/>
    <hyperlink ref="K142" r:id="rId137" display="http://dongbuk.sen.es.kr"/>
    <hyperlink ref="K143" r:id="rId138" display="http://s-baegun.sen.es.kr"/>
    <hyperlink ref="K144" r:id="rId139" display="http://sungmi.sen.es.kr"/>
    <hyperlink ref="K145" r:id="rId140" display="http://changil.sen.es.kr"/>
    <hyperlink ref="K146" r:id="rId141" display="http://chodang.sen.es.kr"/>
    <hyperlink ref="K147" r:id="rId142" display="http://changil.sen.ms.kr"/>
    <hyperlink ref="K148" r:id="rId143" display="http://seogang.sen.es.kr"/>
    <hyperlink ref="K149" r:id="rId144" display="http://sky.sen.es.kr"/>
    <hyperlink ref="K150" r:id="rId145" display="http://hongje.sen.es.kr"/>
    <hyperlink ref="K151" r:id="rId146" display="http://ewha.sen.es.kr"/>
    <hyperlink ref="K152" r:id="rId147" display="http://myongji.sen.ms.kr"/>
    <hyperlink ref="K153" r:id="rId148" display="http://yonhi.sen.ms.kr"/>
    <hyperlink ref="K154" r:id="rId149" display="http://nokbun.sen.es.kr"/>
    <hyperlink ref="K155" r:id="rId150" display="http://daejo.sen.es.kr"/>
    <hyperlink ref="K156" r:id="rId151" display="http://susaek.sen.es.kr"/>
    <hyperlink ref="K157" r:id="rId152" display="http://em.sen.es.kr"/>
    <hyperlink ref="K158" r:id="rId153" display="http://sunil.sen.es.kr"/>
    <hyperlink ref="K159" r:id="rId154" display="http://dsms.sen.ms.kr"/>
    <hyperlink ref="K160" r:id="rId155" display="http://duksan.sen.ms.kr"/>
    <hyperlink ref="K161" r:id="rId156" display="http://sunjung.sen.ms.kr"/>
    <hyperlink ref="K162" r:id="rId157" display="http://jeungsan.sen.ms.kr"/>
    <hyperlink ref="K163" r:id="rId158" display="http://kwangjang.sen.es.kr"/>
    <hyperlink ref="K164" r:id="rId159" display="http://gunam.sen.es.kr"/>
    <hyperlink ref="K165" r:id="rId160" display="http://s-yangnam.sen.es.kr"/>
    <hyperlink ref="K166" r:id="rId161" display="http://sungdong.sen.es.kr"/>
    <hyperlink ref="K167" r:id="rId162" display="http://konkuk.sen.ms.kr"/>
    <hyperlink ref="K168" r:id="rId163" display="http://daewon.ms.kr"/>
    <hyperlink ref="K169" r:id="rId164" display="http://garam.sen.ms.kr"/>
    <hyperlink ref="K170" r:id="rId165" display="http://jayang.sen.ms.kr"/>
    <hyperlink ref="K171" r:id="rId166" display="http://eb.sen.es.kr"/>
    <hyperlink ref="K172" r:id="rId167" display="http://hd.sen.es.kr"/>
    <hyperlink ref="K173" r:id="rId168" display="http://hyu.sen.ms.kr"/>
    <hyperlink ref="K174" r:id="rId169" display="http://mi-yang.sen.es.kr"/>
    <hyperlink ref="K175" r:id="rId170" display="http://song-cheon.sen.es.kr"/>
    <hyperlink ref="K176" r:id="rId171" display="http://samgaksan.sen.ms.kr"/>
    <hyperlink ref="K177" r:id="rId172" display="http://hwagye.sen.ms.kr"/>
    <hyperlink ref="K178" r:id="rId173" display="http://gaewoon.sen.es.kr"/>
    <hyperlink ref="K179" r:id="rId174" display="http://soonggok.sen.es.kr"/>
    <hyperlink ref="K180" r:id="rId175" display="http://soongduck.sen.es.kr"/>
    <hyperlink ref="K181" r:id="rId176" display="http://jangwicho.sen.es.kr"/>
    <hyperlink ref="K182" r:id="rId177" display="http://jeongdeok.sen.es.kr"/>
    <hyperlink ref="K183" r:id="rId178" display="http://uchon.sen.es.kr"/>
    <hyperlink ref="K184" r:id="rId179" display="http://wolgok.sen.ms.kr"/>
    <hyperlink ref="K185" r:id="rId180" display="http://jongam.sen.ms.kr"/>
    <hyperlink ref="K186" r:id="rId181" display="http://hongik.sen.ms.kr"/>
    <hyperlink ref="K187" r:id="rId182" display="http://yongam.sen.es.kr"/>
    <hyperlink ref="K188" r:id="rId183" display="http://hangang.sen.es.kr"/>
    <hyperlink ref="K189" r:id="rId184" display="http://yonggang.sen.ms.kr"/>
    <hyperlink ref="K190" r:id="rId185" display="http://hangang.sen.ms.kr"/>
    <hyperlink ref="K191" r:id="rId186" display="http://unhyun.sen.es.kr"/>
    <hyperlink ref="K192" r:id="rId187" display="http://duksung.sen.ms.kr"/>
    <hyperlink ref="K193" r:id="rId188" display="http://cheonggu.sen.es.kr"/>
    <hyperlink ref="K194" r:id="rId189" display="http://geumho.sen.ms.kr"/>
    <hyperlink ref="K195" r:id="rId190" display="http://www.pdj.hs.kr"/>
    <hyperlink ref="K196" r:id="rId191" display="http://www.pusan-ith.hs.kr"/>
    <hyperlink ref="K197" r:id="rId192" display="http://school.busanedu.net"/>
    <hyperlink ref="K198" r:id="rId193" display="http://sungwoo.sc.kr"/>
    <hyperlink ref="K199" r:id="rId194" display="http://haemaru.sc.kr"/>
    <hyperlink ref="K200" r:id="rId195" display="http://tm.hs.kr"/>
    <hyperlink ref="K201" r:id="rId196" display="http://mr.hs.kr"/>
    <hyperlink ref="K202" r:id="rId197" display="http://seyeon.hs.kr"/>
    <hyperlink ref="K203" r:id="rId198" display="http://www.pcs.hs.kr"/>
    <hyperlink ref="K204" r:id="rId199" display="http://psyongin.hs.kr"/>
    <hyperlink ref="K205" r:id="rId200" display="http://school.busanedu.net/psdongsung-h"/>
    <hyperlink ref="K206" r:id="rId201" display="http://www.marketing.hs.kr"/>
    <hyperlink ref="K207" r:id="rId202" display="http://www.sejeong.hs.kr"/>
    <hyperlink ref="K208" r:id="rId203" display="http://daeduk.hs.kr"/>
    <hyperlink ref="K209" r:id="rId204" display="http://www.daegwang.hs.kr"/>
    <hyperlink ref="K210" r:id="rId205" display="http://www.ddhs.hs.kr"/>
    <hyperlink ref="K211" r:id="rId206" display="http://dong-a.hs.kr"/>
    <hyperlink ref="K212" r:id="rId207" display="http://www.kse.hs.kr"/>
    <hyperlink ref="K213" r:id="rId208" display="http://www.dukmoon.hs.kr"/>
    <hyperlink ref="K214" r:id="rId209" display="http://school.busanedu.net/gyeseong-gc-h"/>
    <hyperlink ref="K215" r:id="rId210" display="http://www.isabelle.hs.kr"/>
    <hyperlink ref="K216" r:id="rId211" display="http://busanhc.com"/>
    <hyperlink ref="K217" r:id="rId212" display="http://visual.hs.kr"/>
    <hyperlink ref="K218" r:id="rId213" display="http://bs-moonhwa.hs.kr"/>
    <hyperlink ref="K219" r:id="rId214" display="http://school.busanedu.net/busan-cg-h/main.do"/>
    <hyperlink ref="K220" r:id="rId215" display="http://ysh.hs.kr"/>
    <hyperlink ref="K221" r:id="rId216" display="http://www.h-tour.hs.kr"/>
    <hyperlink ref="K222" r:id="rId217" display="http://school.busanedu.net/moonhyun-e"/>
    <hyperlink ref="K223" r:id="rId218" display="http://www.daecheon.ms.kr"/>
    <hyperlink ref="K224" r:id="rId219" display="http://www.haeyeon.ms.kr"/>
    <hyperlink ref="K225" r:id="rId220" display="http://seonhwa-gm.ms.kr"/>
    <hyperlink ref="K227" r:id="rId221" display="http://www.hangdo.ms.kr"/>
    <hyperlink ref="K228" r:id="rId222" display="http://www.dongrae.es.kr"/>
    <hyperlink ref="K229" r:id="rId223" display="http://www.jangseo.es.kr"/>
    <hyperlink ref="K230" r:id="rId224" display="http://school.busanedu.net/pusanarts-m"/>
    <hyperlink ref="K231" r:id="rId225" display="http://www.naesung.es.kr"/>
    <hyperlink ref="K232" r:id="rId226" display="http://www.myongseo.es.kr"/>
    <hyperlink ref="K233" r:id="rId227" display="http://www.sajik.es.kr"/>
    <hyperlink ref="K234" r:id="rId228" display="http://www.onsaem.es.kr"/>
    <hyperlink ref="K235" r:id="rId229" display="http://www.onchun.es.kr"/>
    <hyperlink ref="K236" r:id="rId230" display="http://yondong.es.kr"/>
    <hyperlink ref="K237" r:id="rId231" display="http://www.yonsan.es.kr"/>
    <hyperlink ref="K238" r:id="rId232" display="http://school.busanedu.net/yeonseo-e/main.do"/>
    <hyperlink ref="K239" r:id="rId233" display="http://school.busanedu.net/isabelle-m"/>
    <hyperlink ref="K240" r:id="rId234" display="http://gangseoe.es.kr"/>
    <hyperlink ref="K241" r:id="rId235" display="http://noksan.es.kr"/>
    <hyperlink ref="K242" r:id="rId236" display="http://dj-ja.es.kr"/>
    <hyperlink ref="K243" r:id="rId237" display="http://myeongmun.es.kr"/>
    <hyperlink ref="K244" r:id="rId238" display="http://bssm.es.kr"/>
    <hyperlink ref="K245" r:id="rId239" display="http://ocean.ms.kr"/>
    <hyperlink ref="K246" r:id="rId240" display="http://myd.es.kr"/>
    <hyperlink ref="K247" r:id="rId241" display="http://myungjin.es.kr"/>
    <hyperlink ref="K248" r:id="rId242" display="http://school.busanedu.net/haksa-e"/>
    <hyperlink ref="K249" r:id="rId243" display="http://www.bshj.es.kr"/>
    <hyperlink ref="K250" r:id="rId244" display="http://www.guhag.es.kr"/>
    <hyperlink ref="K251" r:id="rId245" display="http://school.busanedu.net/modeok-e"/>
    <hyperlink ref="K252" r:id="rId246" display="http://www.omgung.es.kr"/>
    <hyperlink ref="K253" r:id="rId247" display="http://www.jugam.es.kr"/>
    <hyperlink ref="K254" r:id="rId248" display="http://okchun.es.kr"/>
    <hyperlink ref="K255" r:id="rId249" display="http://hyorim.es.kr"/>
    <hyperlink ref="K256" r:id="rId250" display="http://saha.ms.kr"/>
    <hyperlink ref="K257" r:id="rId251" display="http://www.bumin.es.kr"/>
    <hyperlink ref="K258" r:id="rId252" display="http://toseong.es.kr"/>
    <hyperlink ref="K259" r:id="rId253" display="http://namhang.es.kr"/>
    <hyperlink ref="K260" r:id="rId254" display="http://ses.es.kr"/>
    <hyperlink ref="K261" r:id="rId255" display="http://www.nisb.kr"/>
    <hyperlink ref="K262" r:id="rId256" display="http://www.deogweon.ms.kr"/>
    <hyperlink ref="K263" r:id="rId257" display="http://bsdalsan.es.kr"/>
    <hyperlink ref="K264" r:id="rId258" display="http://www.daechung.es.kr"/>
    <hyperlink ref="K265" r:id="rId259" display="http://sinjeong.kr"/>
    <hyperlink ref="K266" r:id="rId260" display="http://haebit.es.kr"/>
    <hyperlink ref="K267" r:id="rId261" display="http://www.kwangan.es.kr"/>
    <hyperlink ref="K268" r:id="rId262" display="http://hanbada.ms.kr"/>
    <hyperlink ref="K269" r:id="rId263" display="http://www.bansan.es.kr"/>
    <hyperlink ref="K270" r:id="rId264" display="http://sameo.es.kr"/>
    <hyperlink ref="K271" r:id="rId265" display="http://songun.es.kr"/>
    <hyperlink ref="K272" r:id="rId266" display="http://school.busanedu.net/yangun-m/main.do"/>
    <hyperlink ref="K273" r:id="rId267" display="http://g-il.dge.hs.kr"/>
    <hyperlink ref="K274" r:id="rId268" display="http://hyupsung.dge.hs.kr"/>
    <hyperlink ref="K275" r:id="rId269" display="http://www.kwh.dge.hs.kr"/>
    <hyperlink ref="K276" r:id="rId270" display="http://kyonghwa.dge.hs.kr"/>
    <hyperlink ref="K277" r:id="rId271" display="http://daegun.dge.hs.kr"/>
    <hyperlink ref="K278" r:id="rId272" display="http://daegok.dge.hs.kr"/>
    <hyperlink ref="K279" r:id="rId273" display="http://dg-health.dge.hs.kr"/>
    <hyperlink ref="K280" r:id="rId274" display="http://www.dj.dge.hs.kr"/>
    <hyperlink ref="K281" r:id="rId275" display="http://dowon.dge.hs.kr"/>
    <hyperlink ref="K282" r:id="rId276" display="http://sangsuh.dge.hs.kr"/>
    <hyperlink ref="K283" r:id="rId277" display="http://songhyun.dge.hs.kr"/>
    <hyperlink ref="K284" r:id="rId278" display="http://hyo-sung.dge.hs.kr"/>
    <hyperlink ref="K285" r:id="rId279" display="http://dalseo.dge.hs.kr"/>
    <hyperlink ref="K286" r:id="rId280" display="http://www.dgsw.hs.kr"/>
    <hyperlink ref="K287" r:id="rId281" display="http://daewon.dge.hs.kr"/>
    <hyperlink ref="K288" r:id="rId282" display="http://simin.dge.hs.kr"/>
    <hyperlink ref="K289" r:id="rId283" display="http://hyunpung.dge.hs.kr"/>
    <hyperlink ref="K290" r:id="rId284" display="http://choil.dge.hs.kr"/>
    <hyperlink ref="K291" r:id="rId285" display="http://gyeongsang.dge.hs.kr"/>
    <hyperlink ref="K292" r:id="rId286" display="http://guam.dge.hs.kr"/>
    <hyperlink ref="K293" r:id="rId287" display="http://seonggwang.dge.hs.kr"/>
    <hyperlink ref="K294" r:id="rId288" display="http://youngsong.dge.hs.kr"/>
    <hyperlink ref="K295" r:id="rId289" display="http://yeungjin.dge.hs.kr"/>
    <hyperlink ref="K296" r:id="rId290" display="http://chilseong.dge.hs.kr"/>
    <hyperlink ref="K297" r:id="rId291" display="http://haknam.dge.hs.kr"/>
    <hyperlink ref="K298" r:id="rId292" display="http://www.hamji.dge.hs.kr"/>
    <hyperlink ref="K299" r:id="rId293" display="http://dgjeil.dge.hs.kr"/>
    <hyperlink ref="K300" r:id="rId294" display="http://gyeongsin.dge.hs.kr"/>
    <hyperlink ref="K301" r:id="rId295" display="http://neungin.dge.hs.kr"/>
    <hyperlink ref="K302" r:id="rId296" display="http://daeryun.dge.hs.kr"/>
    <hyperlink ref="K303" r:id="rId297" display="http://ynth.dge.hs.kr"/>
    <hyperlink ref="K304" r:id="rId298" display="http://osung.dge.hs.kr"/>
    <hyperlink ref="K305" r:id="rId299" display="http://www.junghwa.dge.hs.kr"/>
    <hyperlink ref="K306" r:id="rId300" display="http://sm.dge.hs.kr"/>
    <hyperlink ref="K307" r:id="rId301" display="http://gunwi.dge.es.kr"/>
    <hyperlink ref="K308" r:id="rId302" display="http://www.ndg.dge.es.kr"/>
    <hyperlink ref="K309" r:id="rId303" display="http://youngsun.dge.es.kr"/>
    <hyperlink ref="K310" r:id="rId304" display="http://gi.dge.ms.kr"/>
    <hyperlink ref="K311" r:id="rId305" display="http://daenam.dge.es.kr"/>
    <hyperlink ref="K312" r:id="rId306" display="http://seongdang.dge.es.kr"/>
    <hyperlink ref="K313" r:id="rId307" display="http://sungsan.dge.es.kr"/>
    <hyperlink ref="K314" r:id="rId308" display="http://shinseo.dge.es.kr"/>
    <hyperlink ref="K315" r:id="rId309" display="http://sinwol.dge.es.kr"/>
    <hyperlink ref="K316" r:id="rId310" display="http://wolbae.dge.es.kr"/>
    <hyperlink ref="K317" r:id="rId311" display="http://yucheon.dge.es.kr"/>
    <hyperlink ref="K318" r:id="rId312" display="http://jinwol.dge.es.kr"/>
    <hyperlink ref="K319" r:id="rId313" display="http://hansil.dge.es.kr"/>
    <hyperlink ref="K320" r:id="rId314" display="http://hosan.dge.es.kr"/>
    <hyperlink ref="K321" r:id="rId315" display="http://hyoseong.dge.es.kr"/>
    <hyperlink ref="K322" r:id="rId316" display="http://ka.dge.ms.kr"/>
    <hyperlink ref="K323" r:id="rId317" display="http://dowon.dge.ms.kr"/>
    <hyperlink ref="K324" r:id="rId318" display="http://sangsuh.dge.ms.kr"/>
    <hyperlink ref="K325" r:id="rId319" display="http://songhyun.dge.ms.kr"/>
    <hyperlink ref="K326" r:id="rId320" display="http://yn.dge.ms.kr"/>
    <hyperlink ref="K327" r:id="rId321" display="http://wonhwa.dge.ms.kr"/>
    <hyperlink ref="K328" r:id="rId322" display="http://hyosung.dge.ms.kr"/>
    <hyperlink ref="K329" r:id="rId323" display="http://guji.dge.es.kr"/>
    <hyperlink ref="K330" r:id="rId324" display="http://kumpo.dge.es.kr"/>
    <hyperlink ref="K331" r:id="rId325" display="http://namdong.dge.es.kr"/>
    <hyperlink ref="K332" r:id="rId326" display="http://www.daesil.dge.es.kr"/>
    <hyperlink ref="K333" r:id="rId327" display="http://dorim.dge.es.kr"/>
    <hyperlink ref="K334" r:id="rId328" display="http://donggok.dge.es.kr"/>
    <hyperlink ref="K335" r:id="rId329" display="http://maegok.dge.es.kr"/>
    <hyperlink ref="K336" r:id="rId330" display="http://bansong.dge.es.kr"/>
    <hyperlink ref="K337" r:id="rId331" display="http://biseul.dge.es.kr"/>
    <hyperlink ref="K338" r:id="rId332" display="http://seodong.dge.es.kr"/>
    <hyperlink ref="K339" r:id="rId333" display="http://secheon.dge.es.kr"/>
    <hyperlink ref="K340" r:id="rId334" display="http://okpo.dge.es.kr"/>
    <hyperlink ref="K341" r:id="rId335" display="http://wangseon.dge.es.kr"/>
    <hyperlink ref="K342" r:id="rId336" display="http://yonggye.dge.es.kr"/>
    <hyperlink ref="K343" r:id="rId337" display="http://techno.dge.es.kr"/>
    <hyperlink ref="K344" r:id="rId338" display="http://gachang.dge.ms.kr"/>
    <hyperlink ref="K345" r:id="rId339" display="http://guji.dge.ms.kr"/>
    <hyperlink ref="K346" r:id="rId340" display="http://dalseo.dge.ms.kr"/>
    <hyperlink ref="K347" r:id="rId341" display="http://seodong.dge.ms.kr"/>
    <hyperlink ref="K348" r:id="rId342" display="http://simin.dge.ms.kr"/>
    <hyperlink ref="K349" r:id="rId343" display="http://dongshin.dge.es.kr"/>
    <hyperlink ref="K350" r:id="rId344" display="http://songjung.dge.es.kr"/>
    <hyperlink ref="K351" r:id="rId345" display="http://sukcheon.dge.es.kr"/>
    <hyperlink ref="K352" r:id="rId346" display="http://tg-yongho.dge.es.kr"/>
    <hyperlink ref="K353" r:id="rId347" display="http://www.palgong.es.kr"/>
    <hyperlink ref="K354" r:id="rId348" display="http://hyomok.dge.es.kr"/>
    <hyperlink ref="K355" r:id="rId349" display="http://youngshin.dge.es.kr"/>
    <hyperlink ref="K356" r:id="rId350" display="http://saeron.dge.ms.kr"/>
    <hyperlink ref="K357" r:id="rId351" display="http://gyeongdong.dge.es.kr"/>
    <hyperlink ref="K358" r:id="rId352" display="http://gsn.dge.es.kr"/>
    <hyperlink ref="K359" r:id="rId353" display="http://dongdo.dge.es.kr"/>
    <hyperlink ref="K360" r:id="rId354" display="http://www.dongsan.dge.es.kr"/>
    <hyperlink ref="K361" r:id="rId355" display="http://dongwon.dge.es.kr"/>
    <hyperlink ref="K362" r:id="rId356" display="http://mcn.dge.es.kr"/>
    <hyperlink ref="K363" r:id="rId357" display="http://maedong.dge.es.kr"/>
    <hyperlink ref="K364" r:id="rId358" display="http://ugsu.dge.es.kr"/>
    <hyperlink ref="K365" r:id="rId359" display="http://hwanggum.dge.es.kr"/>
    <hyperlink ref="K366" r:id="rId360" display="http://www.neungin.dge.ms.kr"/>
    <hyperlink ref="K367" r:id="rId361" display="http://www.daeryun.dge.ms.kr"/>
    <hyperlink ref="K368" r:id="rId362" display="http://dukwon.dge.ms.kr"/>
    <hyperlink ref="K369" r:id="rId363" display="http://dukhwa.dge.ms.kr"/>
    <hyperlink ref="K370" r:id="rId364" display="http://soseon.dge.ms.kr"/>
    <hyperlink ref="K371" r:id="rId365" display="http://suseong.dge.ms.kr"/>
    <hyperlink ref="K372" r:id="rId366" display="http://osung.dge.ms.kr"/>
    <hyperlink ref="K373" r:id="rId367" display="http://jeonghwa.dge.ms.kr"/>
    <hyperlink ref="K374" r:id="rId368" display="http://keisung.dge.es.kr"/>
    <hyperlink ref="K375" r:id="rId369" display="http://dongduk.dge.es.kr"/>
    <hyperlink ref="K376" r:id="rId370" display="http://samdeok.dge.es.kr"/>
    <hyperlink ref="K377" r:id="rId371" display="http://suchang.dge.es.kr"/>
    <hyperlink ref="K378" r:id="rId372" display="http://dongbyun.dge.es.kr"/>
    <hyperlink ref="K379" r:id="rId373" display="http://dongpyung.dge.es.kr"/>
    <hyperlink ref="K380" r:id="rId374" display="http://munsung.dge.es.kr"/>
    <hyperlink ref="K381" r:id="rId375" display="http://samyoung.dge.es.kr"/>
    <hyperlink ref="K382" r:id="rId376" display="http://seobyun.dge.es.kr"/>
    <hyperlink ref="K383" r:id="rId377" display="http://chimsan.dge.es.kr"/>
    <hyperlink ref="K384" r:id="rId378" display="http://www.hagnam.dge.es.kr"/>
    <hyperlink ref="K385" r:id="rId379" display="http://gangbuk.dge.ms.kr"/>
    <hyperlink ref="K386" r:id="rId380" display="http://www.tgil.ms.kr"/>
    <hyperlink ref="K387" r:id="rId381" display="http://www.sasu.dge.ms.kr"/>
    <hyperlink ref="K388" r:id="rId382" display="http://seonggwang.dge.ms.kr"/>
    <hyperlink ref="K389" r:id="rId383" display="http://sunghwa.dge.ms.kr"/>
    <hyperlink ref="K390" r:id="rId384" display="http://woonam.dge.ms.kr"/>
    <hyperlink ref="K391" r:id="rId385" display="http://paldal.dge.ms.kr"/>
    <hyperlink ref="K392" r:id="rId386" display="http://naeseo.dge.es.kr"/>
    <hyperlink ref="K393" r:id="rId387" display="http://dalseong.dge.es.kr"/>
    <hyperlink ref="K394" r:id="rId388" display="http://www.e-kyungil.dge.ms.kr"/>
    <hyperlink ref="K395" r:id="rId389" display="http://cn.dge.ms.kr"/>
    <hyperlink ref="K396" r:id="rId390" display="http://seodaegu.dge.ms.kr"/>
    <hyperlink ref="K397" r:id="rId391" display="http://pyeongri.dge.ms.kr"/>
    <hyperlink ref="K398" r:id="rId392" display="http://ghg.icems.kr"/>
    <hyperlink ref="K399" r:id="rId393" display="http://i-baekseok.icehs.kr"/>
    <hyperlink ref="K400" r:id="rId394" display="http://ara.icehs.kr"/>
    <hyperlink ref="K401" r:id="rId395" display="http://seowoon.icehs.kr"/>
    <hyperlink ref="K402" r:id="rId396" display="http://inje.icehs.kr"/>
    <hyperlink ref="K403" r:id="rId397" display="http://nh.icehs.kr"/>
    <hyperlink ref="K404" r:id="rId398" display="http://ics.icesc.kr"/>
    <hyperlink ref="K405" r:id="rId399" display="http://ibg.icehs.kr"/>
    <hyperlink ref="K406" r:id="rId400" display="http://inha.icehs.kr"/>
    <hyperlink ref="K407" r:id="rId401" display="http://inhwa.icehs.kr"/>
    <hyperlink ref="K408" r:id="rId402" display="http://bg.icehs.kr"/>
    <hyperlink ref="K409" r:id="rId403" display="http://incheonsangjeong.icehs.kr"/>
    <hyperlink ref="K410" r:id="rId404" display="http://daein.icehs.kr"/>
    <hyperlink ref="K411" r:id="rId405" display="http://indigo.icehs.kr"/>
    <hyperlink ref="K412" r:id="rId406" display="http://shinsong-h.icehs.kr"/>
    <hyperlink ref="K413" r:id="rId407" display="http://yeonsug.icehs.kr"/>
    <hyperlink ref="K414" r:id="rId408" display="http://ongnyeon-gh.icehs.kr"/>
    <hyperlink ref="K415" r:id="rId409" display="http://idg.icehs.kr"/>
    <hyperlink ref="K416" r:id="rId410" display="http://bio.icehs.kr"/>
    <hyperlink ref="K417" r:id="rId411" display="http://ibas.icehs.kr"/>
    <hyperlink ref="K418" r:id="rId412" display="http://ihs.icehs.kr"/>
    <hyperlink ref="K419" r:id="rId413" display="http://yonil.icesc.kr"/>
    <hyperlink ref="K420" r:id="rId414" display="http://ks.icehs.kr"/>
    <hyperlink ref="K421" r:id="rId415" display="http://dongsan.icehs.kr"/>
    <hyperlink ref="K422" r:id="rId416" display="http://insunghs.icehs.kr"/>
    <hyperlink ref="K423" r:id="rId417" display="http://jn.icehs.kr"/>
    <hyperlink ref="K424" r:id="rId418" display="http://juannam.icees.kr"/>
    <hyperlink ref="K425" r:id="rId419" display="http://hagik.icees.kr"/>
    <hyperlink ref="K426" r:id="rId420" display="http://namincheon.icems.kr"/>
    <hyperlink ref="K427" r:id="rId421" display="http://sunhwa.icems.kr"/>
    <hyperlink ref="K428" r:id="rId422" display="http://yhg.icems.kr"/>
    <hyperlink ref="K429" r:id="rId423" display="http://icnamjung.icems.kr"/>
    <hyperlink ref="K430" r:id="rId424" display="http://unseo.icems.kr"/>
    <hyperlink ref="K431" r:id="rId425" display="http://haneul.icems.kr"/>
    <hyperlink ref="K432" r:id="rId426" display="http://deokjeok.icehs.kr"/>
    <hyperlink ref="K433" r:id="rId427" display="http://yonan.icees.kr/main.do"/>
    <hyperlink ref="K434" r:id="rId428" display="http://jei.icems.kr"/>
    <hyperlink ref="K435" r:id="rId429" display="http://dambang.icees.kr"/>
    <hyperlink ref="K436" r:id="rId430" display="http://sang-a.icees.kr"/>
    <hyperlink ref="K437" r:id="rId431" display="http://saemal.icees.kr"/>
    <hyperlink ref="K438" r:id="rId432" display="http://icsj.icees.kr"/>
    <hyperlink ref="K439" r:id="rId433" display="http://yaksan.icees.kr"/>
    <hyperlink ref="K440" r:id="rId434" display="http://soongduk.icems.kr"/>
    <hyperlink ref="K441" r:id="rId435" display="http://munnam.icees.kr"/>
    <hyperlink ref="K442" r:id="rId436" display="http://seonhak.icees.kr"/>
    <hyperlink ref="K443" r:id="rId437" display="http://songwon.icees.kr"/>
    <hyperlink ref="K444" r:id="rId438" display="http://yesong.icems.kr"/>
    <hyperlink ref="K445" r:id="rId439" display="http://dangsan.icees.kr"/>
    <hyperlink ref="K446" r:id="rId440" display="http://i-mh.icees.kr"/>
    <hyperlink ref="K447" r:id="rId441" display="http://seowoon.icees.kr"/>
    <hyperlink ref="K448" r:id="rId442" display="http://gulpo.icees.kr"/>
    <hyperlink ref="K449" r:id="rId443" display="http://dongam.icees.kr/main.do"/>
    <hyperlink ref="K450" r:id="rId444" display="http://bugaeseo.icees.kr"/>
    <hyperlink ref="K451" r:id="rId445" display="http://bunae.icees.kr/main.do"/>
    <hyperlink ref="K452" r:id="rId446" display="http://bh.icees.kr"/>
    <hyperlink ref="K453" r:id="rId447" display="http://isamsan.icees.kr"/>
    <hyperlink ref="K454" r:id="rId448" display="http://hj.icees.kr"/>
    <hyperlink ref="K455" r:id="rId449" display="http://hujeong.icees.kr"/>
    <hyperlink ref="K456" r:id="rId450" display="http://buwon.icems.kr"/>
    <hyperlink ref="K457" r:id="rId451" display="http://gumdan.icees.kr"/>
    <hyperlink ref="K458" r:id="rId452" display="http://shin.icees.kr"/>
    <hyperlink ref="K459" r:id="rId453" display="http://hanbyeol.icees.kr"/>
    <hyperlink ref="K460" r:id="rId454" display="http://igarim.icees.kr"/>
    <hyperlink ref="K461" r:id="rId455" display="http://gjw.icees.kr"/>
    <hyperlink ref="K462" r:id="rId456" display="http://igy.icees.kr"/>
    <hyperlink ref="K463" r:id="rId457" display="http://sinseok.icees.kr"/>
    <hyperlink ref="K464" r:id="rId458" display="http://simgok.icees.kr"/>
    <hyperlink ref="K465" r:id="rId459" display="http://choeun.icees.kr"/>
    <hyperlink ref="K466" r:id="rId460" display="http://haewon.icees.kr"/>
    <hyperlink ref="K467" r:id="rId461" display="http://ganjaeul.icems.kr/main.do"/>
    <hyperlink ref="K468" r:id="rId462" display="http://icr.icems.kr"/>
    <hyperlink ref="K469" r:id="rId463" display="http://choeun.icems.kr"/>
    <hyperlink ref="K470" r:id="rId464" display="http://jemulpo.icems.kr"/>
    <hyperlink ref="K471" r:id="rId465" display="http://chosun-g.gen.ms.kr"/>
    <hyperlink ref="K472" r:id="rId466" display="http://kseosan.gen.es.kr"/>
    <hyperlink ref="K473" r:id="rId467" display="http://woosan.gen.es.kr"/>
    <hyperlink ref="K474" r:id="rId468" display="http://punghyang.gen.es.kr"/>
    <hyperlink ref="K475" r:id="rId469" display="http://dongrim.gen.es.kr"/>
    <hyperlink ref="K476" r:id="rId470" display="http://kdsg.gen.ms.kr"/>
    <hyperlink ref="K477" r:id="rId471" display="http://soongil.gen.ms.kr"/>
    <hyperlink ref="K478" r:id="rId472" display="http://kumho-jungang.gen.ms.kr"/>
    <hyperlink ref="K479" r:id="rId473" display="http://kms.gen.ms.kr"/>
    <hyperlink ref="K480" r:id="rId474" display="http://sanwol.gen.es.kr"/>
    <hyperlink ref="K481" r:id="rId475" display="http://sanjeong.jge.es.kr"/>
    <hyperlink ref="K482" r:id="rId476" display="http://sjc.gen.es.kr"/>
    <hyperlink ref="K483" r:id="rId477" display="http://k-wolbong.gen.es.kr"/>
    <hyperlink ref="K484" r:id="rId478" display="http://jinman.gen.es.kr"/>
    <hyperlink ref="K485" r:id="rId479" display="http://pdong.gen.es.kr"/>
    <hyperlink ref="K486" r:id="rId480" display="http://hnja.gen.es.kr"/>
    <hyperlink ref="K487" r:id="rId481" display="http://jinheung.gen.ms.kr"/>
    <hyperlink ref="K488" r:id="rId482" display="http://suwanhana.jge.ms.kr"/>
    <hyperlink ref="K489" r:id="rId483" display="http://cheomdan.gen.ms.kr"/>
    <hyperlink ref="K490" r:id="rId484" display="http://nongsung.gen.es.kr"/>
    <hyperlink ref="K491" r:id="rId485" display="http://k-jangsan.gen.es.kr"/>
    <hyperlink ref="K492" r:id="rId486" display="http://gyesu.gen.es.kr"/>
    <hyperlink ref="K493" r:id="rId487" display="http://seo-gwang.jge.es.kr"/>
    <hyperlink ref="K494" r:id="rId488" display="http://songhak.gen.es.kr"/>
    <hyperlink ref="K495" r:id="rId489" display="http://kdm.gen.ms.kr"/>
    <hyperlink ref="K496" r:id="rId490" display="http://seoseok.gen.ms.kr"/>
    <hyperlink ref="K497" r:id="rId491" display="http://sangmu.gen.ms.kr"/>
    <hyperlink ref="K498" r:id="rId492" display="http://suwan.gen.hs.kr"/>
    <hyperlink ref="K499" r:id="rId493" display="http://sdok.gen.hs.kr"/>
    <hyperlink ref="K500" r:id="rId494" display="http://sunye.gen.sc.kr"/>
    <hyperlink ref="K501" r:id="rId495" display="http://inseong.gen.hs.kr"/>
    <hyperlink ref="K502" r:id="rId496" display="http://daesung.gen.hs.kr"/>
    <hyperlink ref="K503" r:id="rId497" display="http://k-dongil.jge.hs.kr"/>
    <hyperlink ref="K504" r:id="rId498" display="http://sunmyong.gen.sc.kr"/>
    <hyperlink ref="K505" r:id="rId499" display="http://chosun-g.gen.hs.kr"/>
    <hyperlink ref="K506" r:id="rId500" display="http://gshin.gen.hs.kr"/>
    <hyperlink ref="K507" r:id="rId501" display="http://soongil.gen.hs.kr"/>
    <hyperlink ref="K508" r:id="rId502" display="http://kumho.gen.hs.kr"/>
    <hyperlink ref="K509" r:id="rId503" display="http://kwangju-g.gen.hs.kr"/>
    <hyperlink ref="K510" r:id="rId504" display="http://pungam.gen.hs.kr"/>
    <hyperlink ref="K511" r:id="rId505" display="http://imunhs.djsch.kr"/>
    <hyperlink ref="K512" r:id="rId506" display="http://goejeonghs.djsch.kr"/>
    <hyperlink ref="K513" r:id="rId507" display="http://djdunsan-ghs.djsch.kr"/>
    <hyperlink ref="K514" r:id="rId508" display="http://mannyonhs.djsch.kr"/>
    <hyperlink ref="K515" r:id="rId509" display="http://boksuhs.djsch.kr"/>
    <hyperlink ref="K516" r:id="rId510" display="http://sdjhs.djsch.kr"/>
    <hyperlink ref="K517" r:id="rId511" display="http://seodaejeonhs.djsch.kr"/>
    <hyperlink ref="K518" r:id="rId512" display="http://seoil-ghs.djsch.kr"/>
    <hyperlink ref="K519" r:id="rId513" display="http://daedeokhs.djsch.kr"/>
    <hyperlink ref="K520" r:id="rId514" display="http://noeunhs.djsch.kr"/>
    <hyperlink ref="K521" r:id="rId515" display="http://djcheyukhs.djsch.kr"/>
    <hyperlink ref="K522" r:id="rId516" display="http://ndjhs.djsch.kr"/>
    <hyperlink ref="K523" r:id="rId517" display="http://dimhs.djsch.kr"/>
    <hyperlink ref="K524" r:id="rId518" display="http://seongmohs.djsch.kr"/>
    <hyperlink ref="K525" r:id="rId519" display="http://shinilhs.djsch.kr"/>
    <hyperlink ref="K526" r:id="rId520" display="http://chranhs.djsch.kr"/>
    <hyperlink ref="K527" r:id="rId521" display="http://beopdongms.djsch.kr"/>
    <hyperlink ref="K528" r:id="rId522" display="http://sintanjungangms.djsch.kr"/>
    <hyperlink ref="K529" r:id="rId523" display="http://stjms.djsch.kr"/>
    <hyperlink ref="K530" r:id="rId524" display="http://daeames.djsch.kr"/>
    <hyperlink ref="K531" r:id="rId525" display="http://ddjes.djsch.kr"/>
    <hyperlink ref="K532" r:id="rId526" display="http://hanbatms.djsch.kr"/>
    <hyperlink ref="K533" r:id="rId527" display="http://djdaesines.djsch.kr"/>
    <hyperlink ref="K534" r:id="rId528" display="http://boses.djsch.kr"/>
    <hyperlink ref="K535" r:id="rId529" display="http://djsanseoes.djsch.kr"/>
    <hyperlink ref="K536" r:id="rId530" display="http://shinilms.djsch.kr"/>
    <hyperlink ref="K537" r:id="rId531" display="http://tp02ms.djsch.kr"/>
    <hyperlink ref="K538" r:id="rId532" display="http://dunsanes.djsch.kr"/>
    <hyperlink ref="K539" r:id="rId533" display="http://gubongms.djsch.kr"/>
    <hyperlink ref="K540" r:id="rId534" display="http://bdnms.djsch.kr"/>
    <hyperlink ref="K541" r:id="rId535" display="http://bdms.djsch.kr"/>
    <hyperlink ref="K542" r:id="rId536" display="http://daedeokes.djsch.kr"/>
    <hyperlink ref="K543" r:id="rId537" display="http://hagies.djsch.kr"/>
    <hyperlink ref="K544" r:id="rId538" display="http://djjmms.djsch.kr"/>
    <hyperlink ref="K545" r:id="rId539" display="http://yuseongms.djsch.kr"/>
    <hyperlink ref="K546" r:id="rId540" display="http://www.dp.es.kr"/>
    <hyperlink ref="K547" r:id="rId541" display="http://www.daihyun.ms.kr"/>
    <hyperlink ref="K548" r:id="rId542" display="http://www.haksung.ms.kr"/>
    <hyperlink ref="K549" r:id="rId543" display="http://samjeong.es.kr"/>
    <hyperlink ref="K550" r:id="rId544" display="http://www.chukkwa.es.kr"/>
    <hyperlink ref="K551" r:id="rId545" display="http://school.use.go.kr/isamnam-m"/>
    <hyperlink ref="K552" r:id="rId546" display="http://school.use.go.kr/noksu-e"/>
    <hyperlink ref="K553" r:id="rId547" display="http://www.jujeon.es.kr"/>
    <hyperlink ref="K554" r:id="rId548" display="http://hd.ms.kr"/>
    <hyperlink ref="K555" r:id="rId549" display="http://hcu.ms.kr"/>
    <hyperlink ref="K556" r:id="rId550" display="http://www.nongseo.es.kr"/>
    <hyperlink ref="K557" r:id="rId551" display="http://school.use.go.kr/nongso-e"/>
    <hyperlink ref="K558" r:id="rId552" display="http://www.ihwa.ms.kr"/>
    <hyperlink ref="K559" r:id="rId553" display="http://school.use.go.kr/jinjang-m"/>
    <hyperlink ref="K560" r:id="rId554" display="http://hwabong.ms.kr"/>
    <hyperlink ref="K561" r:id="rId555" display="http://hyojung.ms.kr"/>
    <hyperlink ref="K562" r:id="rId556" display="http://naehwang.es.kr"/>
    <hyperlink ref="K563" r:id="rId557" display="http://www.oesol.es.kr"/>
    <hyperlink ref="K564" r:id="rId558" display="http://school.use.go.kr/hamwol-e"/>
    <hyperlink ref="K565" r:id="rId559" display="http://school.use.go.kr/namoe-m"/>
    <hyperlink ref="K566" r:id="rId560" display="http://daun.ms.kr"/>
    <hyperlink ref="K567" r:id="rId561" display="http://www.ulsanjeil.hs.kr"/>
    <hyperlink ref="K568" r:id="rId562" display="http://www.uvhe.hs.kr"/>
    <hyperlink ref="K569" r:id="rId563" display="http://www.hdhs.or.kr"/>
    <hyperlink ref="K570" r:id="rId564" display="http://dalcheon.hs.kr"/>
    <hyperlink ref="K571" r:id="rId565" display="http://www.ufl.hs.kr"/>
    <hyperlink ref="K572" r:id="rId566" display="http://school.use.go.kr/eonyang-h"/>
    <hyperlink ref="K573" r:id="rId567" display="http://www.ushs.hs.kr"/>
    <hyperlink ref="K574" r:id="rId568" display="http://school.cbe.go.kr/dongin-e"/>
    <hyperlink ref="K575" r:id="rId569" display="http://school.cbe.go.kr/goesan-m"/>
    <hyperlink ref="K576" r:id="rId570" display="http://school.cbe.go.kr/doan-e/M01"/>
    <hyperlink ref="K577" r:id="rId571" display="http://school.cbe.go.kr/sambo-e"/>
    <hyperlink ref="K578" r:id="rId572" display="http://school.cbe.go.kr/jp-e"/>
    <hyperlink ref="K579" r:id="rId573" display="http://school.cbe.go.kr/hsms-m"/>
    <hyperlink ref="K580" r:id="rId574" display="http://school.cbe.go.kr/mokdonaru-h"/>
    <hyperlink ref="K581" r:id="rId575" display="http://school.cbe.go.kr/danyang-h/M01"/>
    <hyperlink ref="K582" r:id="rId576" display="http://school.cbe.go.kr/ydmirae-h/M01"/>
    <hyperlink ref="K583" r:id="rId577" display="http://school.cbe.go.kr/hgn-h/M01"/>
    <hyperlink ref="K584" r:id="rId578" display="http://school.cbe.go.kr/ds-h"/>
    <hyperlink ref="K585" r:id="rId579" display="http://school.cbe.go.kr/eumseong-h/M01"/>
    <hyperlink ref="K586" r:id="rId580" display="http://school.cbe.go.kr/cbsemi-h"/>
    <hyperlink ref="K587" r:id="rId581" display="http://school.cbe.go.kr/kkot-s"/>
    <hyperlink ref="K588" r:id="rId582" display="http://school.cbe.go.kr/jde-h"/>
    <hyperlink ref="K589" r:id="rId583" display="http://school.cbe.go.kr/jcc-h"/>
    <hyperlink ref="K590" r:id="rId584" display="http://school.cbe.go.kr/cheongam-s"/>
    <hyperlink ref="K591" r:id="rId585" display="http://school.cbe.go.kr/seojeon-h"/>
    <hyperlink ref="K592" r:id="rId586" display="http://school.cbe.go.kr/jcch-h"/>
    <hyperlink ref="K593" r:id="rId587" display="http://school.cbe.go.kr/kch-h"/>
    <hyperlink ref="K594" r:id="rId588" display="http://school.cbe.go.kr/danjae-h"/>
    <hyperlink ref="K595" r:id="rId589" display="http://school.cbe.go.kr/cds-h/M01"/>
    <hyperlink ref="K596" r:id="rId590" display="http://school.cbe.go.kr/cbm-h/M01"/>
    <hyperlink ref="K597" r:id="rId591" display="http://school.cbe.go.kr/sannam-h"/>
    <hyperlink ref="K598" r:id="rId592" display="http://school.cbe.go.kr/seowongo-h"/>
    <hyperlink ref="K599" r:id="rId593" display="http://www.yangeob.hs.kr"/>
    <hyperlink ref="K600" r:id="rId594" display="http://school.cbe.go.kr/os-h"/>
    <hyperlink ref="K601" r:id="rId595" display="http://school.cbe.go.kr/unho-h"/>
    <hyperlink ref="K602" r:id="rId596" display="http://www.cjis.hs.kr"/>
    <hyperlink ref="K603" r:id="rId597" display="http://school.cbe.go.kr/cs-h"/>
    <hyperlink ref="K604" r:id="rId598" display="http://school.cbe.go.kr/cjits-h"/>
    <hyperlink ref="K605" r:id="rId599" display="http://school.cbe.go.kr/cjds-h"/>
    <hyperlink ref="K606" r:id="rId600" display="http://shinheung.sc.kr"/>
    <hyperlink ref="K607" r:id="rId601" display="http://3croba.hs.kr"/>
    <hyperlink ref="K608" r:id="rId602" display="http://cjh.hs.kr"/>
    <hyperlink ref="K609" r:id="rId603" display="http://school.cbe.go.kr/chungbukgo-h"/>
    <hyperlink ref="K610" r:id="rId604" display="http://school.cbe.go.kr/cbs-h/M01"/>
    <hyperlink ref="K611" r:id="rId605" display="http://www.cbenergy.hs.kr"/>
    <hyperlink ref="K612" r:id="rId606" display="http://www.chungbuk-g.kr"/>
    <hyperlink ref="K613" r:id="rId607" display="http://school.cbe.go.kr/hds-h"/>
    <hyperlink ref="K614" r:id="rId608" display="http://school.cbe.go.kr/eeun-s"/>
    <hyperlink ref="K615" r:id="rId609" display="http://school.cbe.go.kr/cjss"/>
    <hyperlink ref="K616" r:id="rId610" display="http://school.cbe.go.kr/cjhyewon-s"/>
    <hyperlink ref="K617" r:id="rId611" display="http://school.cbe.go.kr/cjhyehwa-s"/>
    <hyperlink ref="K618" r:id="rId612" display="http://www.gukwon.hs.kr"/>
    <hyperlink ref="K619" r:id="rId613" display="http://school.cbe.go.kr/chungju-h/M01"/>
    <hyperlink ref="K620" r:id="rId614" display="http://www.cjth.hs.kr"/>
    <hyperlink ref="K621" r:id="rId615" display="http://school.cbe.go.kr/daewon-h/M01"/>
    <hyperlink ref="K622" r:id="rId616" display="http://chungju-ch.hs.kr"/>
    <hyperlink ref="K623" r:id="rId617" display="http://school.cbe.go.kr/chungjugirl-h"/>
    <hyperlink ref="K624" r:id="rId618" display="http://school.cbe.go.kr/yesung-h"/>
    <hyperlink ref="K625" r:id="rId619" display="http://www.joongsan.hs.kr"/>
    <hyperlink ref="K626" r:id="rId620" display="http://school.cbe.go.kr/had-h"/>
    <hyperlink ref="K627" r:id="rId621" display="http://school.cbe.go.kr/sungdeok-s/M01"/>
    <hyperlink ref="K628" r:id="rId622" display="http://www.chungjusm.sc.kr"/>
    <hyperlink ref="K629" r:id="rId623" display="http://school.cbe.go.kr/sungsim-s"/>
    <hyperlink ref="K630" r:id="rId624" display="http://school.cbe.go.kr/cjhs-s"/>
    <hyperlink ref="K631" r:id="rId625" display="http://cje.es.kr"/>
    <hyperlink ref="K632" r:id="rId626" display="http://school.cbe.go.kr/wallgok-e/M01"/>
    <hyperlink ref="K633" r:id="rId627" display="http://school.cbe.go.kr/cbnu-h"/>
    <hyperlink ref="K634" r:id="rId628" display="http://school.cbe.go.kr/danyang-e"/>
    <hyperlink ref="K635" r:id="rId629" display="http://school.cbe.go.kr/taega-e/M01"/>
    <hyperlink ref="K636" r:id="rId630" display="http://school.cbe.go.kr/dansung-m/M01"/>
    <hyperlink ref="K637" r:id="rId631" display="http://school.cbe.go.kr/sobaeksan-m"/>
    <hyperlink ref="K638" r:id="rId632" display="http://school.cbe.go.kr/danyang-m"/>
    <hyperlink ref="K639" r:id="rId633" display="http://school.cbe.go.kr/maepo-m"/>
    <hyperlink ref="K640" r:id="rId634" display="http://school.cbe.go.kr/boeundonggwang-e"/>
    <hyperlink ref="K641" r:id="rId635" display="http://school.cbe.go.kr/samsan-e"/>
    <hyperlink ref="K642" r:id="rId636" display="http://school.cbe.go.kr/pandong-e"/>
    <hyperlink ref="K643" r:id="rId637" display="http://school.cbe.go.kr/yde-e"/>
    <hyperlink ref="K644" r:id="rId638" display="http://school.cbe.go.kr/isu-e"/>
    <hyperlink ref="K645" r:id="rId639" display="http://school.cbe.go.kr/yeongdong-m/M01"/>
    <hyperlink ref="K646" r:id="rId640" display="http://school.cbe.go.kr/yongshin-m"/>
    <hyperlink ref="K647" r:id="rId641" display="http://school.cbe.go.kr/jukhyang-e"/>
    <hyperlink ref="K648" r:id="rId642" display="http://school.cbe.go.kr/ocg-m"/>
    <hyperlink ref="K649" r:id="rId643" display="http://school.cbe.go.kr/gamgok-e"/>
    <hyperlink ref="K650" r:id="rId644" display="http://school.cbe.go.kr/hadang-e/M01"/>
    <hyperlink ref="K651" r:id="rId645" display="http://school.cbe.go.kr/dongseong-m"/>
    <hyperlink ref="K652" r:id="rId646" display="http://school.cbe.go.kr/mugeuk-m/M01"/>
    <hyperlink ref="K653" r:id="rId647" display="http://school.cbe.go.kr/saenggeuk-m"/>
    <hyperlink ref="K654" r:id="rId648" display="http://school.cbe.go.kr/eumseong-m"/>
    <hyperlink ref="K655" r:id="rId649" display="http://school.cbe.go.kr/hanil-m"/>
    <hyperlink ref="K656" r:id="rId650" display="http://school.cbe.go.kr/namchon-e/M01"/>
    <hyperlink ref="K657" r:id="rId651" display="http://school.cbe.go.kr/yongdu-e"/>
    <hyperlink ref="K658" r:id="rId652" display="http://school.cbe.go.kr/jangnak-e/M01"/>
    <hyperlink ref="K659" r:id="rId653" display="http://school.cbe.go.kr/naeto-m"/>
    <hyperlink ref="K660" r:id="rId654" display="http://school.cbe.go.kr/daeje-m"/>
    <hyperlink ref="K661" r:id="rId655" display="http://school.cbe.go.kr/kumgu-e"/>
    <hyperlink ref="K662" r:id="rId656" display="http://school.cbe.go.kr/munbaek-e"/>
    <hyperlink ref="K663" r:id="rId657" display="http://www.munsang.es.kr"/>
    <hyperlink ref="K664" r:id="rId658" display="http://school.cbe.go.kr/baekgok-e"/>
    <hyperlink ref="K665" r:id="rId659" display="http://school.cbe.go.kr/sungam-e"/>
    <hyperlink ref="K666" r:id="rId660" display="http://school.cbe.go.kr/oktong-e"/>
    <hyperlink ref="K667" r:id="rId661" display="http://school.cbe.go.kr/samsu-e"/>
    <hyperlink ref="K668" r:id="rId662" display="http://school.cbe.go.kr/jcsangsan-e"/>
    <hyperlink ref="K669" r:id="rId663" display="http://school.cbe.go.kr/jcsangsin-e"/>
    <hyperlink ref="K670" r:id="rId664" display="http://school.cbe.go.kr/chopyong-e"/>
    <hyperlink ref="K671" r:id="rId665" display="http://school.cbe.go.kr/ghw-m"/>
    <hyperlink ref="K672" r:id="rId666" display="http://www.gangseo.es.kr"/>
    <hyperlink ref="K673" r:id="rId667" display="http://school.cbe.go.kr/kyongsan-e"/>
    <hyperlink ref="K674" r:id="rId668" display="http://school.cbe.go.kr/gyodong-e/M01"/>
    <hyperlink ref="K675" r:id="rId669" display="http://school.cbe.go.kr/namseong-e"/>
    <hyperlink ref="K676" r:id="rId670" display="http://school.cbe.go.kr/nami-e"/>
    <hyperlink ref="K677" r:id="rId671" display="http://school.cbe.go.kr/namil-e"/>
    <hyperlink ref="K678" r:id="rId672" display="http://school.cbe.go.kr/nampyeong-e"/>
    <hyperlink ref="K679" r:id="rId673" display="http://school.cbe.go.kr/danjae-e"/>
    <hyperlink ref="K680" r:id="rId674" display="http://school.cbe.go.kr/deokseong-e"/>
    <hyperlink ref="K681" r:id="rId675" display="http://school.cbe.go.kr/mansue-e"/>
    <hyperlink ref="K682" r:id="rId676" display="http://school.cbe.go.kr/bokdae-e"/>
    <hyperlink ref="K683" r:id="rId677" display="http://school.cbe.go.kr/pongmyong-e"/>
    <hyperlink ref="K684" r:id="rId678" display="http://www.bongjeong.es.kr"/>
    <hyperlink ref="K685" r:id="rId679" display="http://school.cbe.go.kr/sajig-e"/>
    <hyperlink ref="K686" r:id="rId680" display="http://school.cbe.go.kr/sangdangcho-e"/>
    <hyperlink ref="K687" r:id="rId681" display="http://school.cbe.go.kr/saeteo-e"/>
    <hyperlink ref="K688" r:id="rId682" display="http://school.cbe.go.kr/newstar-e"/>
    <hyperlink ref="K689" r:id="rId683" display="http://school.cbe.go.kr/cjseohyun-e"/>
    <hyperlink ref="K690" r:id="rId684" display="http://school.cbe.go.kr/solgang-e"/>
    <hyperlink ref="K691" r:id="rId685" display="http://school.cbe.go.kr/osongsolmi-e"/>
    <hyperlink ref="K692" r:id="rId686" display="http://school.cbe.go.kr/yongah-e"/>
    <hyperlink ref="K693" r:id="rId687" display="http://school.cbe.go.kr/undong-e/M01"/>
    <hyperlink ref="K694" r:id="rId688" display="http://school.cbe.go.kr/joojoong-e"/>
    <hyperlink ref="K695" r:id="rId689" display="http://school.cbe.go.kr/jukrim-e"/>
    <hyperlink ref="K696" r:id="rId690" display="http://school.cbe.go.kr/jeungan-e"/>
    <hyperlink ref="K697" r:id="rId691" display="http://school.cbe.go.kr/changri-e"/>
    <hyperlink ref="K698" r:id="rId692" display="http://school.cbe.go.kr/chnam-e"/>
    <hyperlink ref="K699" r:id="rId693" display="http://school.cbe.go.kr/cw-e"/>
    <hyperlink ref="K700" r:id="rId694" display="http://school.cbe.go.kr/cjsoro"/>
    <hyperlink ref="K701" r:id="rId695" display="http://school.cbe.go.kr/kyongdug-m/M01"/>
    <hyperlink ref="K702" r:id="rId696" display="http://school.cbe.go.kr/cjnamseong-m/M01"/>
    <hyperlink ref="K703" r:id="rId697" display="http://210.106.100.174/dsg-m/M01"/>
    <hyperlink ref="K704" r:id="rId698" display="http://school.cbe.go.kr/cjdaeseong-m"/>
    <hyperlink ref="K705" r:id="rId699" display="http://school.cbe.go.kr/sekwang-m"/>
    <hyperlink ref="K706" r:id="rId700" display="http://school.cbe.go.kr/solgang-m"/>
    <hyperlink ref="K707" r:id="rId701" display="http://school.cbe.go.kr/cbyc-m"/>
    <hyperlink ref="K708" r:id="rId702" display="http://www.osong.ms.kr"/>
    <hyperlink ref="K709" r:id="rId703" display="http://school.cbe.go.kr/ochang-m"/>
    <hyperlink ref="K710" r:id="rId704" display="http://school.cbe.go.kr/yongah-m"/>
    <hyperlink ref="K711" r:id="rId705" display="http://school.cbe.go.kr/yongam-m"/>
    <hyperlink ref="K712" r:id="rId706" display="http://school.cbe.go.kr/unho-m/M01"/>
    <hyperlink ref="K713" r:id="rId707" display="http://school.cbe.go.kr/ilshin-m"/>
    <hyperlink ref="K714" r:id="rId708" display="http://school.cbe.go.kr/cheongun-m"/>
    <hyperlink ref="K715" r:id="rId709" display="http://school.cbe.go.kr/cms-m"/>
    <hyperlink ref="K716" r:id="rId710" display="http://school.cbe.go.kr/chungbuk-m"/>
    <hyperlink ref="K717" r:id="rId711" display="http://school.cbe.go.kr/deoksin-e"/>
    <hyperlink ref="K718" r:id="rId712" display="http://school.cbe.go.kr/cjdaesowon-e"/>
    <hyperlink ref="K719" r:id="rId713" display="http://school.cbe.go.kr/cjsungnam-e"/>
    <hyperlink ref="K720" r:id="rId714" display="http://www.chungjuja.es.kr"/>
    <hyperlink ref="K721" r:id="rId715" display="http://school.cbe.go.kr/cjjungangtap-e"/>
    <hyperlink ref="K722" r:id="rId716" display="http://school.cbe.go.kr/cjjungangtap-m"/>
    <hyperlink ref="K723" r:id="rId717" display="http://school.cbe.go.kr/meeduck-m"/>
    <hyperlink ref="K724" r:id="rId718" display="http://www.gosu.es.kr"/>
    <hyperlink ref="K725" r:id="rId719" display="http://www.gcm.ms.kr"/>
    <hyperlink ref="K726" r:id="rId720" display="http://www.ysite.ms.kr"/>
    <hyperlink ref="K727" r:id="rId721" display="http://www.gunsan-mh.hs.kr"/>
    <hyperlink ref="K728" r:id="rId722" display="http://school.jbedu.kr/higlory"/>
    <hyperlink ref="K729" r:id="rId723" display="http://www.deogamgo.hs.kr"/>
    <hyperlink ref="K730" r:id="rId724" display="http://www.deogam.hs.kr"/>
    <hyperlink ref="K731" r:id="rId725" display="http://school.jbedu.kr/ksch"/>
    <hyperlink ref="K732" r:id="rId726" display="http://mankyung.hs.kr"/>
    <hyperlink ref="K733" r:id="rId727" display="http://www.nwit.hs.kr"/>
    <hyperlink ref="K734" r:id="rId728" display="http://seojin.hs.kr"/>
    <hyperlink ref="K735" r:id="rId729" display="http://www.backsan.hs.kr"/>
    <hyperlink ref="K736" r:id="rId730" display="http://buan.hs.kr"/>
    <hyperlink ref="K737" r:id="rId731" display="http://sunchang.hs.kr"/>
    <hyperlink ref="K738" r:id="rId732" display="http://school.jbedu.kr/namsung"/>
    <hyperlink ref="K739" r:id="rId733" display="http://www.21.hs.kr"/>
    <hyperlink ref="K740" r:id="rId734" display="http://jbjeil.hs.kr"/>
    <hyperlink ref="K741" r:id="rId735" display="http://www.jangsu.hs.kr"/>
    <hyperlink ref="K742" r:id="rId736" display="http://www.yanghyeon.hs.kr"/>
    <hyperlink ref="K743" r:id="rId737" display="http://school.jbedu.kr/yuil"/>
    <hyperlink ref="K744" r:id="rId738" display="http://kijun.hs.kr"/>
    <hyperlink ref="K745" r:id="rId739" display="http://www.jjbugo.hs.kr"/>
    <hyperlink ref="K746" r:id="rId740" display="http://www.jls.hs.kr"/>
    <hyperlink ref="K747" r:id="rId741" display="http://www.solnae.hs.kr"/>
    <hyperlink ref="K748" r:id="rId742" display="http://school.jbedu.kr/no1"/>
    <hyperlink ref="K749" r:id="rId743" display="http://school.jbedu.kr/eunhwa"/>
    <hyperlink ref="K750" r:id="rId744" display="http://www.baeyoung.hs.kr"/>
    <hyperlink ref="K751" r:id="rId745" display="http://www.wsh.hs.kr"/>
    <hyperlink ref="K752" r:id="rId746" display="http://www.chongup-gh.hs.kr"/>
    <hyperlink ref="K753" r:id="rId747" display="http://www.honam.hs.kr"/>
    <hyperlink ref="K754" r:id="rId748" display="http://school.jbedu.kr/dasom"/>
    <hyperlink ref="K755" r:id="rId749" display="http://www.ksjigok.es.kr"/>
    <hyperlink ref="K756" r:id="rId750" display="http://www.kschango.es.kr"/>
    <hyperlink ref="K757" r:id="rId751" display="http://school.jbedu.kr/hoehyun"/>
    <hyperlink ref="K758" r:id="rId752" display="http://dw.ms.kr"/>
    <hyperlink ref="K759" r:id="rId753" display="http://ksjeil.ms.kr"/>
    <hyperlink ref="K760" r:id="rId754" display="http://geumgu.kr"/>
    <hyperlink ref="K761" r:id="rId755" display="http://www.geomsan.es.kr"/>
    <hyperlink ref="K762" r:id="rId756" display="http://school.jbedu.kr/kimje"/>
    <hyperlink ref="K763" r:id="rId757" display="http://jb-wolchon.es.kr"/>
    <hyperlink ref="K764" r:id="rId758" display="http://school.jbedu.kr/kumsan"/>
    <hyperlink ref="K765" r:id="rId759" display="http://oksan.ms.kr"/>
    <hyperlink ref="K766" r:id="rId760" display="http://school.jbedu.kr/jipyeongseon-m"/>
    <hyperlink ref="K767" r:id="rId761" display="http://school.jbedu.kr/kyoryong"/>
    <hyperlink ref="K768" r:id="rId762" display="http://dotong.es.kr"/>
    <hyperlink ref="K769" r:id="rId763" display="http://deokgwa.es.kr"/>
    <hyperlink ref="K770" r:id="rId764" display="http://jusaeng.es.kr"/>
    <hyperlink ref="K771" r:id="rId765" display="http://jb-baeksan.es.kr"/>
    <hyperlink ref="K772" r:id="rId766" display="http://school.jbedu.kr/buandong"/>
    <hyperlink ref="K773" r:id="rId767" display="http://school.jbedu.kr/nangju-m"/>
    <hyperlink ref="K774" r:id="rId768" display="http://bss.ms.kr"/>
    <hyperlink ref="K775" r:id="rId769" display="http://www.sucbuk.ms.kr"/>
    <hyperlink ref="K776" r:id="rId770" display="http://school.jbedu.kr/samrye"/>
    <hyperlink ref="K777" r:id="rId771" display="http://www.sangkwan.es.kr"/>
    <hyperlink ref="K778" r:id="rId772" display="http://school.jbedu.kr/yongjin"/>
    <hyperlink ref="K779" r:id="rId773" display="http://www.jb-kosan.ms.kr"/>
    <hyperlink ref="K780" r:id="rId774" display="http://www.samwu.ms.kr"/>
    <hyperlink ref="K781" r:id="rId775" display="http://www.jb-wanju.ms.kr"/>
    <hyperlink ref="K782" r:id="rId776" display="http://www.youngman.es.kr"/>
    <hyperlink ref="K783" r:id="rId777" display="http://jb-wangnam.es.kr"/>
    <hyperlink ref="K784" r:id="rId778" display="http://irdongnam.es.kr"/>
    <hyperlink ref="K785" r:id="rId779" display="http://www.iryd.es.kr"/>
    <hyperlink ref="K786" r:id="rId780" display="http://www.iripalbong.es.kr"/>
    <hyperlink ref="K787" r:id="rId781" display="http://isgaon.es.kr"/>
    <hyperlink ref="K788" r:id="rId782" display="http://school.jbedu.kr/chunpo"/>
    <hyperlink ref="K789" r:id="rId783" display="http://jb-namsung.ms.kr"/>
    <hyperlink ref="K790" r:id="rId784" display="http://www.seongdang.ms.kr"/>
    <hyperlink ref="K791" r:id="rId785" display="http://school.jbedu.kr/irinam-m"/>
    <hyperlink ref="K792" r:id="rId786" display="http://www.i-il.ms.kr"/>
    <hyperlink ref="K793" r:id="rId787" display="http://busong.ms.kr"/>
    <hyperlink ref="K794" r:id="rId788" display="http://school.jbedu.kr/jb-kwanchon"/>
    <hyperlink ref="K795" r:id="rId789" display="http://www.imsil.es.kr"/>
    <hyperlink ref="K796" r:id="rId790" display="http://www.sunamcho.es.kr"/>
    <hyperlink ref="K797" display="http://www.전주덕일초등학교.kr"/>
    <hyperlink ref="K798" r:id="rId791" display="http://school.jbedu.kr/jds"/>
    <hyperlink ref="K799" r:id="rId792" display="http://school.jbedu.kr/jeonjudong"/>
    <hyperlink ref="K800" r:id="rId793" display="http://school.jbedu.kr/samnam"/>
    <hyperlink ref="K801" r:id="rId794" display="http://www.songchun.es.kr"/>
    <hyperlink ref="K802" r:id="rId795" display="http://www.yongwa.es.kr"/>
    <hyperlink ref="K803" r:id="rId796" display="http://school.jbedu.kr/ujeon"/>
    <hyperlink ref="K804" r:id="rId797" display="http://www.jochon.es.kr"/>
    <hyperlink ref="K805" r:id="rId798" display="http://jungin.kr"/>
    <hyperlink ref="K806" r:id="rId799" display="http://www.chopo.es.kr"/>
    <hyperlink ref="K807" r:id="rId800" display="http://school.jbedu.kr/jhj"/>
    <hyperlink ref="K808" r:id="rId801" display="http://school.jbedu.kr/jjhyorim"/>
    <hyperlink ref="K809" r:id="rId802" display="http://school.jbedu.kr/hyocheon"/>
    <hyperlink ref="K810" r:id="rId803" display="http://geunyeong.ms.kr"/>
    <hyperlink ref="K811" r:id="rId804" display="http://jongoul.ms.kr"/>
    <hyperlink ref="K812" r:id="rId805" display="http://www.onbit.ms.kr"/>
    <hyperlink ref="K813" r:id="rId806" display="http://www.poong-nam.ms.kr"/>
    <hyperlink ref="K814" r:id="rId807" display="http://school.jbedu.kr/hyomoon-m"/>
    <hyperlink ref="K815" r:id="rId808" display="http://school.jbedu.kr/jb-daeheung"/>
    <hyperlink ref="K816" r:id="rId809" display="http://www.backam.es.kr"/>
    <hyperlink ref="K817" r:id="rId810" display="http://www.jbs.es.kr"/>
    <hyperlink ref="K818" r:id="rId811" display="http://bukmyen.es.kr"/>
    <hyperlink ref="K819" r:id="rId812" display="http://school.jbedu.kr/jsukok"/>
    <hyperlink ref="K820" r:id="rId813" display="http://school.jbedu.kr/ju-nam"/>
    <hyperlink ref="K821" r:id="rId814" display="http://chilbo.es.kr"/>
    <hyperlink ref="K822" r:id="rId815" display="http://www.wangsin.ms.kr"/>
    <hyperlink ref="K823" r:id="rId816" display="http://www.jaja.es.kr"/>
    <hyperlink ref="K824" r:id="rId817" display="http://podu.jge.es.kr"/>
    <hyperlink ref="K825" r:id="rId818" display="http://dong-gang.ms.jne.kr"/>
    <hyperlink ref="K826" r:id="rId819" display="http://gsjungang.es.jne.kr"/>
    <hyperlink ref="K827" r:id="rId820" display="http://yongkang.jge.es.kr"/>
    <hyperlink ref="K828" r:id="rId821" display="http://gwangcheolnam.es.jne.kr"/>
    <hyperlink ref="K829" r:id="rId822" display="http://gwangcheol.es.jne.kr"/>
    <hyperlink ref="K830" r:id="rId823" display="http://gyjma.es.jne.kr"/>
    <hyperlink ref="K831" r:id="rId824" display="http://gyeong.jge.es.kr"/>
    <hyperlink ref="K832" r:id="rId825" display="http://gysh.jge.es.kr"/>
    <hyperlink ref="K833" r:id="rId826" display="http://madong.ms.jne.kr"/>
    <hyperlink ref="K834" r:id="rId827" display="http://gwangyangbaekun.jge.hs.kr"/>
    <hyperlink ref="K835" r:id="rId828" display="http://njc.hs.jne.kr"/>
    <hyperlink ref="K836" r:id="rId829" display="http://maesung.jge.hs.kr"/>
    <hyperlink ref="K837" r:id="rId830" display="http://mpjm.hs.jne.kr"/>
    <hyperlink ref="K838" r:id="rId831" display="http://mokpojoongang.hs.jne.kr"/>
    <hyperlink ref="K839" r:id="rId832" display="http://moontae.jge.hs.kr"/>
    <hyperlink ref="K840" r:id="rId833" display="http://beolgyo.hs.jne.kr"/>
    <hyperlink ref="K841" r:id="rId834" display="http://yedang.hs.jne.kr"/>
    <hyperlink ref="K842" r:id="rId835" display="http://gangnam.hs.jne.kr"/>
    <hyperlink ref="K843" r:id="rId836" display="http://hyosan.hs.jne.kr"/>
    <hyperlink ref="K844" r:id="rId837" display="http://hyocheon.hs.jne.kr"/>
    <hyperlink ref="K845" r:id="rId838" display="http://yeosu-th.jge.hs.kr"/>
    <hyperlink ref="K846" r:id="rId839" display="http://yosuis.hs.jne.kr"/>
    <hyperlink ref="K847" r:id="rId840" display="http://jsg.hs.jne.kr"/>
    <hyperlink ref="K848" r:id="rId841" display="http://yk.hs.jne.kr"/>
    <hyperlink ref="K849" r:id="rId842" display="http://gurim-tech.jge.hs.kr"/>
    <hyperlink ref="K850" r:id="rId843" display="http://sorim.sc.jne.kr"/>
    <hyperlink ref="K851" r:id="rId844" display="http://yh.sc.jne.kr"/>
    <hyperlink ref="K852" r:id="rId845" display="http://neungju.jge.hs.kr"/>
    <hyperlink ref="K853" r:id="rId846" display="http://nj-gongsan.es.jne.kr"/>
    <hyperlink ref="K854" r:id="rId847" display="http://najubuk.es.jne.kr"/>
    <hyperlink ref="K855" r:id="rId848" display="http://naju.es.jne.kr"/>
    <hyperlink ref="K856" r:id="rId849" display="http://nampyeong.jge.es.kr"/>
    <hyperlink ref="K857" r:id="rId850" display="http://njnampyong.jge.ms.kr"/>
    <hyperlink ref="K858" r:id="rId851" display="http://maesung.jge.ms.kr"/>
    <hyperlink ref="K859" r:id="rId852" display="http://seji.ms.jne.kr"/>
    <hyperlink ref="K860" r:id="rId853" display="http://ysan.ms.jne.kr"/>
    <hyperlink ref="K861" r:id="rId854" display="http://dy-nammyeon.es.jne.kr"/>
    <hyperlink ref="K862" r:id="rId855" display="http://mujeong.es.jne.kr"/>
    <hyperlink ref="K863" r:id="rId856" display="http://mokposeobu.es.jne.kr"/>
    <hyperlink ref="K864" r:id="rId857" display="http://mokpogirls.ms.jne.kr"/>
    <hyperlink ref="K865" r:id="rId858" display="http://mokpoyudal.ms.jne.kr"/>
    <hyperlink ref="K866" r:id="rId859" display="http://jeongmyeong.ms.jne.kr"/>
    <hyperlink ref="K867" r:id="rId860" display="http://mokpojeil.ms.jne.kr"/>
    <hyperlink ref="K868" r:id="rId861" display="http://mpjoongang.ms.jne.kr"/>
    <hyperlink ref="K869" r:id="rId862" display="http://yeongheung.jge.ms.kr"/>
    <hyperlink ref="K870" r:id="rId863" display="http://haengbok.jge.es.kr"/>
    <hyperlink ref="K871" r:id="rId864" display="http://oryong.jge.es.kr"/>
    <hyperlink ref="K872" r:id="rId865" display="http://muanhaengbok.ms.jne.kr"/>
    <hyperlink ref="K873" r:id="rId866" display="http://gyeombaek.jge.es.kr"/>
    <hyperlink ref="K874" r:id="rId867" display="http://scdongsan.es.jne.kr"/>
    <hyperlink ref="K875" r:id="rId868" display="http://dosa.es.jne.kr"/>
    <hyperlink ref="K876" r:id="rId869" display="http://jeungdo.es.jne.kr"/>
    <hyperlink ref="K877" r:id="rId870" display="http://jaeun.ms.jne.kr"/>
    <hyperlink ref="K878" r:id="rId871" display="http://ysgb.es.jne.kr"/>
    <hyperlink ref="K879" r:id="rId872" display="http://jonggo.es.jne.kr"/>
    <hyperlink ref="K880" r:id="rId873" display="http://hallyo.jge.es.kr"/>
    <hyperlink ref="K881" r:id="rId874" display="http://yeocheon.es.jne.kr"/>
    <hyperlink ref="K882" r:id="rId875" display="http://ungchun.jge.es.kr"/>
    <hyperlink ref="K884" r:id="rId876" display="http://yeomsan.jge.ms.kr"/>
    <hyperlink ref="K885" r:id="rId877" display="http://daebul.es.jne.kr"/>
    <hyperlink ref="K886" r:id="rId878" display="http://sijong.jge.es.kr"/>
    <hyperlink ref="K887" r:id="rId879" display="http://samho.ms.jne.kr"/>
    <hyperlink ref="K888" r:id="rId880" display="http://geumil.jge.es.kr"/>
    <hyperlink ref="K889" r:id="rId881" display="http://nohwa.es.jne.kr"/>
    <hyperlink ref="K890" r:id="rId882" display="http://wdja.es.jne.kr"/>
    <hyperlink ref="K891" r:id="rId883" display="http://wando.jge.es.kr"/>
    <hyperlink ref="K892" r:id="rId884" display="http://cheonghae.es.jne.kr"/>
    <hyperlink ref="K893" r:id="rId885" display="http://donghwa.es.jne.kr"/>
    <hyperlink ref="K894" r:id="rId886" display="http://js-sachang.jge.es.kr"/>
    <hyperlink ref="K895" r:id="rId887" display="http://jsja.jge.es.kr"/>
    <hyperlink ref="K896" r:id="rId888" display="http://jinwon.es.jne.kr"/>
    <hyperlink ref="K897" r:id="rId889" display="http://jindoseo.jge.es.kr"/>
    <hyperlink ref="K898" r:id="rId890" display="http://jindojisan.ms.jne.kr"/>
    <hyperlink ref="K899" r:id="rId891" display="http://gisan.es.jne.kr"/>
    <hyperlink ref="K900" r:id="rId892" display="http://ddhyanggyo.es.jne.kr"/>
    <hyperlink ref="K901" r:id="rId893" display="http://eomda.es.jne.kr"/>
    <hyperlink ref="K902" r:id="rId894" display="http://hn-dong.es.jne.kr"/>
    <hyperlink ref="K903" r:id="rId895" display="http://hnjeil.ms.jne.kr"/>
    <hyperlink ref="K904" r:id="rId896" display="http://asan.es.jne.kr"/>
    <hyperlink ref="K905" r:id="rId897" display="http://hs-hancheon.es.jne.kr"/>
    <hyperlink ref="K906" r:id="rId898" display="http://hsmy.es.jne.kr"/>
    <hyperlink ref="K907" r:id="rId899" display="http://hsji.es.jne.kr"/>
    <hyperlink ref="K908" r:id="rId900" display="http://hwasun.jge.es.kr"/>
    <hyperlink ref="K909" r:id="rId901" display="http://school.gyo6.net/ksdongbues"/>
    <hyperlink ref="K910" r:id="rId902" display="http://school.gyo6.net/gssb"/>
    <hyperlink ref="K911" r:id="rId903" display="http://school.gyo6.net/kyedang"/>
    <hyperlink ref="K912" r:id="rId904" display="http://school.gyo6.net/kns"/>
    <hyperlink ref="K913" r:id="rId905" display="http://school.gyo6.net/n1000es"/>
    <hyperlink ref="K914" r:id="rId906" display="http://school.gyo6.net/seongam"/>
    <hyperlink ref="K915" r:id="rId907" display="http://school.gyo6.net/gsokes"/>
    <hyperlink ref="K916" r:id="rId908" display="http://school.gyo6.net/jsan"/>
    <hyperlink ref="K917" r:id="rId909" display="http://school.gyo6.net/jeongpyeong"/>
    <hyperlink ref="K918" r:id="rId910" display="http://school.gyo6.net/psps"/>
    <hyperlink ref="K919" r:id="rId911" display="http://school.gyo6.net/hayanges"/>
    <hyperlink ref="K920" r:id="rId912" display="http://school.gyo6.net/hajues"/>
    <hyperlink ref="K921" r:id="rId913" display="http://school.gyo6.net/gsgm"/>
    <hyperlink ref="K922" r:id="rId914" display="http://school.gyo6.net/munmyeongms"/>
    <hyperlink ref="K923" r:id="rId915" display="http://school.gyo6.net/geumjanges"/>
    <hyperlink ref="K924" r:id="rId916" display="http://school.gyo6.net/you"/>
    <hyperlink ref="K925" r:id="rId917" display="http://school.gyo6.net/gyerimms"/>
    <hyperlink ref="K926" r:id="rId918" display="http://school.gyo6.net/geunhwams"/>
    <hyperlink ref="K927" r:id="rId919" display="http://school.gyo6.net/moonhwams"/>
    <hyperlink ref="K928" r:id="rId920" display="http://school.gyo6.net/seondeokms"/>
    <hyperlink ref="K929" r:id="rId921" display="http://school.gyo6.net/goryonges"/>
    <hyperlink ref="K930" r:id="rId922" display="http://school.gyo6.net/seongsan"/>
    <hyperlink ref="K931" r:id="rId923" display="http://school.gyo6.net/ssangrimes"/>
    <hyperlink ref="K932" r:id="rId924" display="http://school.gyo6.net/gsshs"/>
    <hyperlink ref="K933" r:id="rId925" display="http://school.gyo6.net/munmyeonghs"/>
    <hyperlink ref="K934" r:id="rId926" display="http://school.gyo6.net/yn36"/>
    <hyperlink ref="K935" r:id="rId927" display="http://school.gyo6.net/newschool"/>
    <hyperlink ref="K936" r:id="rId928" display="http://school.gyo6.net/interneths"/>
    <hyperlink ref="K937" r:id="rId929" display="http://school.gyo6.net/moonhwa"/>
    <hyperlink ref="K938" r:id="rId930" display="http://school.gyo6.net/hyochung"/>
    <hyperlink ref="K939" r:id="rId931" display="http://school.gyo6.net/gyeonghui"/>
    <hyperlink ref="K940" r:id="rId932" display="http://school.gyo6.net/daegaya"/>
    <hyperlink ref="K941" r:id="rId933" display="http://school.gyo6.net/gumigo"/>
    <hyperlink ref="K942" r:id="rId934" display="http://school.gyo6.net/gumigirlhs"/>
    <hyperlink ref="K943" r:id="rId935" display="http://school.gyo6.net/koths"/>
    <hyperlink ref="K944" r:id="rId936" display="http://school.gyo6.net/dogaehs"/>
    <hyperlink ref="K945" r:id="rId937" display="http://school.gyo6.net/sagok"/>
    <hyperlink ref="K946" r:id="rId938" display="http://school.gyo6.net/seonsanhs"/>
    <hyperlink ref="K947" r:id="rId939" display="http://school.gyo6.net/seonjuhs"/>
    <hyperlink ref="K948" r:id="rId940" display="http://school.gyo6.net/osanghs"/>
    <hyperlink ref="K949" r:id="rId941" display="http://school.gyo6.net/hyunilhs"/>
    <hyperlink ref="K950" r:id="rId942" display="http://www.hyedang.sc.kr"/>
    <hyperlink ref="K951" r:id="rId943" display="http://school.gyo6.net/gimcheon"/>
    <hyperlink ref="K952" r:id="rId944" display="http://school.gyo6.net/mungyeong-th"/>
    <hyperlink ref="K953" r:id="rId945" display="http://school.gyo6.net/daeyoung"/>
    <hyperlink ref="K954" r:id="rId946" display="http://school.gyo6.net/yeong-gwang"/>
    <hyperlink ref="K955" r:id="rId947" display="http://school.gyo6.net/yg"/>
    <hyperlink ref="K956" r:id="rId948" display="http://school.gyo6.net/gbm"/>
    <hyperlink ref="K957" r:id="rId949" display="http://school.gyo6.net/khumantech"/>
    <hyperlink ref="K958" r:id="rId950" display="http://school.gyo6.net/yeongcheon-e"/>
    <hyperlink ref="K959" r:id="rId951" display="http://school.gyo6.net/gbsw"/>
    <hyperlink ref="K960" r:id="rId952" display="http://school.gyo6.net/eseohhs"/>
    <hyperlink ref="K961" r:id="rId953" display="http://school.gyo6.net/dongjihs"/>
    <hyperlink ref="K962" r:id="rId954" display="http://www.ocheon.hs.kr"/>
    <hyperlink ref="K963" r:id="rId955" display="http://school.gyo6.net/yuseong-g"/>
    <hyperlink ref="K964" r:id="rId956" display="http://school.gyo6.net/phds"/>
    <hyperlink ref="K965" r:id="rId957" display="http://school.gyo6.net/pocheoltechhs"/>
    <hyperlink ref="K966" r:id="rId958" display="http://school.gyo6.net/phmd"/>
    <hyperlink ref="K967" r:id="rId959" display="http://school.gyo6.net/gmsung"/>
    <hyperlink ref="K968" r:id="rId960" display="http://school.gyo6.net/bonggokes"/>
    <hyperlink ref="K969" r:id="rId961" display="http://school.gyo6.net/gumisagok"/>
    <hyperlink ref="K970" r:id="rId962" display="http://school.gyo6.net/gumiwondang"/>
    <hyperlink ref="K971" r:id="rId963" display="http://school.gyo6.net/gmindeokes"/>
    <hyperlink ref="K972" r:id="rId964" display="http://school.gyo6.net/dosan"/>
    <hyperlink ref="K973" r:id="rId965" display="http://school.gyo6.net/gumibisanes"/>
    <hyperlink ref="K974" r:id="rId966" display="http://school.gyo6.net/seonju"/>
    <hyperlink ref="K975" r:id="rId967" display="http://school.gyo6.net/songjeung"/>
    <hyperlink ref="K976" r:id="rId968" display="http://school.gyo6.net/yangpo"/>
    <hyperlink ref="K977" r:id="rId969" display="http://school.gyo6.net/okgyedongbues"/>
    <hyperlink ref="K978" r:id="rId970" display="http://school.gyo6.net/okgyees"/>
    <hyperlink ref="K979" r:id="rId971" display="http://school.gyo6.net/wonho"/>
    <hyperlink ref="K980" r:id="rId972" display="http://school.gyo6.net/haemaru"/>
    <hyperlink ref="K981" r:id="rId973" display="http://school.gyo6.net/dogaehs"/>
    <hyperlink ref="K982" r:id="rId974" display="http://school.gyo6.net/indongms"/>
    <hyperlink ref="K983" r:id="rId975" display="http://school.gyo6.net/bigdragon"/>
    <hyperlink ref="K984" r:id="rId976" display="http://school.gyo6.net/gimcheonms"/>
    <hyperlink ref="K985" r:id="rId977" display="http://school.gyo6.net/munseong"/>
    <hyperlink ref="K986" r:id="rId978" display="http://school.gyo6.net/seongui1901"/>
    <hyperlink ref="K987" r:id="rId979" display="http://school.gyo6.net/jpcm"/>
    <hyperlink ref="K988" r:id="rId980" display="http://school.gyo6.net/han"/>
    <hyperlink ref="K989" r:id="rId981" display="http://school.gyo6.net/dongro"/>
    <hyperlink ref="K990" r:id="rId982" display="http://school.gyo6.net/mojeon"/>
    <hyperlink ref="K991" r:id="rId983" display="http://school.gyo6.net/mungyeonges"/>
    <hyperlink ref="K992" r:id="rId984" display="http://school.gyo6.net/singie"/>
    <hyperlink ref="K993" r:id="rId985" display="http://school.gyo6.net/jeomchonbuk"/>
    <hyperlink ref="K994" r:id="rId986" display="http://school.gyo6.net/mulyaes"/>
    <hyperlink ref="K995" r:id="rId987" display="http://school.gyo6.net/sangsanes"/>
    <hyperlink ref="K996" r:id="rId988" display="http://school.gyo6.net/euncheok"/>
    <hyperlink ref="K997" r:id="rId989" display="http://school.gyo6.net/sjjungdong"/>
    <hyperlink ref="K998" r:id="rId990" display="http://school.gyo6.net/hamchanges"/>
    <hyperlink ref="K999" r:id="rId991" display="http://school.gyo6.net/hamchangms"/>
    <hyperlink ref="K1000" r:id="rId992" display="http://school.gyo6.net/suryunms"/>
    <hyperlink ref="K1001" r:id="rId993" display="http://school.gyo6.net/pb"/>
    <hyperlink ref="K1002" r:id="rId994" display="http://school.gyo6.net/poongsanms"/>
    <hyperlink ref="K1003" r:id="rId995" display="http://school.gyo6.net/yeongdeokyasung"/>
    <hyperlink ref="K1004" r:id="rId996" display="http://school.gyo6.net/changsu"/>
    <hyperlink ref="K1005" r:id="rId997" display="http://school.gyo6.net/yeongyang"/>
    <hyperlink ref="K1006" r:id="rId998" display="http://school.gyo6.net/il-wol"/>
    <hyperlink ref="K1007" r:id="rId999" display="http://school.gyo6.net/yjgh"/>
    <hyperlink ref="K1008" r:id="rId1000" display="http://school.gyo6.net/yjjae"/>
    <hyperlink ref="K1009" r:id="rId1001" display="http://school.gyo6.net/punggi"/>
    <hyperlink ref="K1010" r:id="rId1002" display="http://school.gyo6.net/yeonggwang"/>
    <hyperlink ref="K1011" r:id="rId1003" display="http://school.gyo6.net/yeongju-m"/>
    <hyperlink ref="K1012" r:id="rId1004" display="http://school.gyo6.net/danpoes"/>
    <hyperlink ref="K1013" r:id="rId1005" display="http://school.gyo6.net/poeun"/>
    <hyperlink ref="K1014" r:id="rId1006" display="http://school.gyo6.net/gumhoms"/>
    <hyperlink ref="K1015" r:id="rId1007" display="http://school.gyo6.net/sandongms"/>
    <hyperlink ref="K1016" r:id="rId1008" display="http://school.gyo6.net/youngdongms"/>
    <hyperlink ref="K1017" r:id="rId1009" display="http://school.gyo6.net/yecheones"/>
    <hyperlink ref="K1018" r:id="rId1010" display="http://school.gyo6.net/homyeong"/>
    <hyperlink ref="K1019" r:id="rId1011" display="http://school.gyo6.net/e-kiseonges"/>
    <hyperlink ref="K1020" r:id="rId1012" display="http://school.gyo6.net/bugues"/>
    <hyperlink ref="K1021" r:id="rId1013" display="http://school.gyo6.net/guchunes"/>
    <hyperlink ref="K1022" r:id="rId1014" display="http://school.gyo6.net/bian"/>
    <hyperlink ref="K1023" r:id="rId1015" display="http://school.gyo6.net/nsh"/>
    <hyperlink ref="K1024" r:id="rId1016" display="http://school.gyo6.net/iseo"/>
    <hyperlink ref="K1025" r:id="rId1017" display="http://school.gyo6.net/eseoms"/>
    <hyperlink ref="K1026" r:id="rId1018" display="http://cheongdo.ms.kr"/>
    <hyperlink ref="K1027" r:id="rId1019" display="http://school.gyo6.net/jin-sungms"/>
    <hyperlink ref="K1028" r:id="rId1020" display="http://school.gyo6.net/buk-sames"/>
    <hyperlink ref="K1029" r:id="rId1021" display="http://school.gyo6.net/waedonges"/>
    <hyperlink ref="K1030" r:id="rId1022" display="http://school.gyo6.net/wgja"/>
    <hyperlink ref="K1031" r:id="rId1023" display="http://school.gyo6.net/inpyounges"/>
    <hyperlink ref="K1032" r:id="rId1024" display="http://school.gyo6.net/janggokes"/>
    <hyperlink ref="K1033" r:id="rId1025" display="http://school.gyo6.net/booksamms"/>
    <hyperlink ref="K1034" r:id="rId1026" display="http://school.gyo6.net/daljeon"/>
    <hyperlink ref="K1035" r:id="rId1027" display="http://school.gyo6.net/daei"/>
    <hyperlink ref="K1036" r:id="rId1028" display="http://school.gyo6.net/daehae"/>
    <hyperlink ref="K1037" r:id="rId1029" display="http://school.gyo6.net/munchung"/>
    <hyperlink ref="K1038" r:id="rId1030" display="http://school.gyo6.net/singwang"/>
    <hyperlink ref="K1039" r:id="rId1031" display="http://school.gyo6.net/yangseo"/>
    <hyperlink ref="K1040" r:id="rId1032" display="http://school.gyo6.net/edong"/>
    <hyperlink ref="K1041" r:id="rId1033" display="http://school.gyo6.net/jukdo"/>
    <hyperlink ref="K1042" r:id="rId1034" display="http://school.gyo6.net/choseo"/>
    <hyperlink ref="K1043" r:id="rId1035" display="http://school.gyo6.net/phsges"/>
    <hyperlink ref="K1044" r:id="rId1036" display="http://school.gyo6.net/ph-one"/>
    <hyperlink ref="K1045" r:id="rId1037" display="http://school.gyo6.net/posjigok"/>
    <hyperlink ref="K1046" r:id="rId1038" display="http://school.gyo6.net/posco"/>
    <hyperlink ref="K1047" r:id="rId1039" display="http://school.gyo6.net/phpentaes"/>
    <hyperlink ref="K1048" r:id="rId1040" display="http://school.gyo6.net/haeschool"/>
    <hyperlink ref="K1049" r:id="rId1041" display="http://school.gyo6.net/dreami"/>
    <hyperlink ref="K1050" r:id="rId1042" display="http://school.gyo6.net/hyojacho"/>
    <hyperlink ref="K1051" r:id="rId1043" display="http://school.gyo6.net/daedo"/>
    <hyperlink ref="K1052" r:id="rId1044" display="http://school.gyo6.net/phdaedong"/>
    <hyperlink ref="K1053" r:id="rId1045" display="http://school.gyo6.net/sgmiddle"/>
    <hyperlink ref="K1054" r:id="rId1046" display="http://school.gyo6.net/pjh"/>
    <hyperlink ref="K1055" r:id="rId1047" display="http://school.gyo6.net/cheonghams"/>
    <hyperlink ref="K1056" r:id="rId1048" display="http://school.gyo6.net/ph-g"/>
    <hyperlink ref="K1057" r:id="rId1049" display="http://school.gyo6.net/phhangdo"/>
    <hyperlink ref="K1058" r:id="rId1050" display="http://school.gyo6.net/heunghaem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5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2026-10-02T07:07:10Z</dcterms:created>
  <dc:creator>openpyxl</dc:creator>
  <dc:description/>
  <dc:language>en-US</dc:language>
  <cp:lastModifiedBy/>
  <dcterms:modified xsi:type="dcterms:W3CDTF">2026-10-02T07:07:12Z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